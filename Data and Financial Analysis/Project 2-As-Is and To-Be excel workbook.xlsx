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916d33734ddf85d6/Mrunal Personal/Mrunal/Course files/Semester 4/BA project Files/"/>
    </mc:Choice>
  </mc:AlternateContent>
  <xr:revisionPtr revIDLastSave="0" documentId="8_{C15D76B9-F1AA-472B-8FC0-CDEDDDC60020}" xr6:coauthVersionLast="47" xr6:coauthVersionMax="47" xr10:uidLastSave="{00000000-0000-0000-0000-000000000000}"/>
  <bookViews>
    <workbookView xWindow="-108" yWindow="-108" windowWidth="23256" windowHeight="12456" firstSheet="5" activeTab="8" xr2:uid="{49E1FB7D-4FC6-46DC-8835-D129FEAA0472}"/>
  </bookViews>
  <sheets>
    <sheet name="ReadMeFirst" sheetId="1" r:id="rId1"/>
    <sheet name="Components" sheetId="2" r:id="rId2"/>
    <sheet name="A Picking" sheetId="3" r:id="rId3"/>
    <sheet name="T Picking" sheetId="15" r:id="rId4"/>
    <sheet name="A Assembly" sheetId="10" r:id="rId5"/>
    <sheet name="T Assembly" sheetId="16" r:id="rId6"/>
    <sheet name="A P&amp;L" sheetId="13" r:id="rId7"/>
    <sheet name="T P&amp;L" sheetId="17" r:id="rId8"/>
    <sheet name="Sunny Day" sheetId="19" r:id="rId9"/>
    <sheet name="Rainy Day" sheetId="20" r:id="rId10"/>
    <sheet name="Employees" sheetId="5" r:id="rId11"/>
    <sheet name="A Schedule" sheetId="6" r:id="rId12"/>
    <sheet name="T Schedule" sheetId="18" r:id="rId13"/>
    <sheet name="WholeSale" sheetId="8" r:id="rId14"/>
    <sheet name="DayProdn" sheetId="9" r:id="rId15"/>
    <sheet name="VerAvgProdn" sheetId="11" r:id="rId16"/>
    <sheet name="POs" sheetId="12" r:id="rId17"/>
    <sheet name="Shelving Inventory list" sheetId="14" r:id="rId18"/>
  </sheets>
  <definedNames>
    <definedName name="_xlnm._FilterDatabase" localSheetId="16" hidden="1">POs!$A$1:$L$46</definedName>
  </definedNames>
  <calcPr calcId="191028"/>
  <pivotCaches>
    <pivotCache cacheId="0" r:id="rId19"/>
    <pivotCache cacheId="1" r:id="rId20"/>
    <pivotCache cacheId="2"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E51" i="15" l="1"/>
  <c r="N39" i="16"/>
  <c r="N40" i="16"/>
  <c r="N41" i="16" s="1"/>
  <c r="N42" i="16" s="1"/>
  <c r="N43" i="16" s="1"/>
  <c r="N44" i="16" s="1"/>
  <c r="N45" i="16" s="1"/>
  <c r="N46" i="16" s="1"/>
  <c r="N47" i="16" s="1"/>
  <c r="N48" i="16" s="1"/>
  <c r="N49" i="16" s="1"/>
  <c r="N50" i="16" s="1"/>
  <c r="G39" i="16"/>
  <c r="D35" i="20"/>
  <c r="D34" i="20"/>
  <c r="D35" i="19"/>
  <c r="D107" i="20"/>
  <c r="E93" i="20"/>
  <c r="D93" i="20"/>
  <c r="I93" i="20" s="1"/>
  <c r="E92" i="20"/>
  <c r="D92" i="20"/>
  <c r="I92" i="20" s="1"/>
  <c r="E91" i="20"/>
  <c r="D91" i="20"/>
  <c r="I91" i="20" s="1"/>
  <c r="E90" i="20"/>
  <c r="I90" i="20" s="1"/>
  <c r="D90" i="20"/>
  <c r="E89" i="20"/>
  <c r="I89" i="20" s="1"/>
  <c r="D89" i="20"/>
  <c r="I88" i="20"/>
  <c r="E88" i="20"/>
  <c r="D88" i="20"/>
  <c r="I87" i="20"/>
  <c r="E87" i="20"/>
  <c r="D87" i="20"/>
  <c r="I86" i="20"/>
  <c r="E86" i="20"/>
  <c r="D82" i="20"/>
  <c r="D105" i="20" s="1"/>
  <c r="F78" i="20"/>
  <c r="D78" i="20"/>
  <c r="D77" i="20"/>
  <c r="D76" i="20"/>
  <c r="E62" i="20"/>
  <c r="F62" i="20" s="1"/>
  <c r="D62" i="20"/>
  <c r="F61" i="20"/>
  <c r="E61" i="20"/>
  <c r="D61" i="20"/>
  <c r="C52" i="20"/>
  <c r="C51" i="20"/>
  <c r="D47" i="20"/>
  <c r="D40" i="20"/>
  <c r="D39" i="20"/>
  <c r="D53" i="20" s="1"/>
  <c r="D49" i="20"/>
  <c r="D107" i="19"/>
  <c r="E93" i="19"/>
  <c r="D93" i="19"/>
  <c r="I93" i="19" s="1"/>
  <c r="E92" i="19"/>
  <c r="D92" i="19"/>
  <c r="I92" i="19" s="1"/>
  <c r="E91" i="19"/>
  <c r="D91" i="19"/>
  <c r="I91" i="19" s="1"/>
  <c r="E90" i="19"/>
  <c r="D90" i="19"/>
  <c r="I90" i="19" s="1"/>
  <c r="E89" i="19"/>
  <c r="I89" i="19" s="1"/>
  <c r="D89" i="19"/>
  <c r="E88" i="19"/>
  <c r="D88" i="19"/>
  <c r="I88" i="19" s="1"/>
  <c r="E87" i="19"/>
  <c r="I87" i="19" s="1"/>
  <c r="D87" i="19"/>
  <c r="I86" i="19"/>
  <c r="I94" i="19" s="1"/>
  <c r="D97" i="19" s="1"/>
  <c r="D106" i="19" s="1"/>
  <c r="E86" i="19"/>
  <c r="F78" i="19"/>
  <c r="D78" i="19"/>
  <c r="D77" i="19"/>
  <c r="D76" i="19"/>
  <c r="D82" i="19" s="1"/>
  <c r="D105" i="19" s="1"/>
  <c r="D62" i="19"/>
  <c r="E62" i="19" s="1"/>
  <c r="F62" i="19" s="1"/>
  <c r="F61" i="19"/>
  <c r="E61" i="19"/>
  <c r="D61" i="19"/>
  <c r="C52" i="19"/>
  <c r="C51" i="19"/>
  <c r="D47" i="19"/>
  <c r="D53" i="19"/>
  <c r="D35" i="17"/>
  <c r="D35" i="13"/>
  <c r="D34" i="13"/>
  <c r="I31" i="15"/>
  <c r="L31" i="15" s="1"/>
  <c r="I32" i="15"/>
  <c r="I33" i="15"/>
  <c r="I34" i="15"/>
  <c r="I35" i="15"/>
  <c r="I36" i="15"/>
  <c r="I37" i="15"/>
  <c r="I38" i="15"/>
  <c r="I39" i="15"/>
  <c r="I40" i="15"/>
  <c r="I41" i="15"/>
  <c r="I42" i="15"/>
  <c r="I43" i="15"/>
  <c r="H31" i="15"/>
  <c r="K31" i="15" s="1"/>
  <c r="H32" i="15"/>
  <c r="H33" i="15"/>
  <c r="H34" i="15"/>
  <c r="H35" i="15"/>
  <c r="H36" i="15"/>
  <c r="H37" i="15"/>
  <c r="H38" i="15"/>
  <c r="H39" i="15"/>
  <c r="H40" i="15"/>
  <c r="H41" i="15"/>
  <c r="H42" i="15"/>
  <c r="H43" i="15"/>
  <c r="N129" i="18"/>
  <c r="M135" i="18" s="1"/>
  <c r="M129" i="18"/>
  <c r="L129" i="18"/>
  <c r="J129" i="18"/>
  <c r="I135" i="18" s="1"/>
  <c r="I129" i="18"/>
  <c r="H129" i="18"/>
  <c r="F129" i="18"/>
  <c r="E135" i="18" s="1"/>
  <c r="E129" i="18"/>
  <c r="D129" i="18"/>
  <c r="N128" i="18"/>
  <c r="M134" i="18" s="1"/>
  <c r="M128" i="18"/>
  <c r="L128" i="18"/>
  <c r="J128" i="18"/>
  <c r="I134" i="18" s="1"/>
  <c r="I128" i="18"/>
  <c r="H128" i="18"/>
  <c r="F128" i="18"/>
  <c r="E134" i="18" s="1"/>
  <c r="E128" i="18"/>
  <c r="D128" i="18"/>
  <c r="N127" i="18"/>
  <c r="M133" i="18" s="1"/>
  <c r="M127" i="18"/>
  <c r="L127" i="18"/>
  <c r="J127" i="18"/>
  <c r="I133" i="18" s="1"/>
  <c r="I127" i="18"/>
  <c r="H127" i="18"/>
  <c r="F127" i="18"/>
  <c r="E133" i="18" s="1"/>
  <c r="E127" i="18"/>
  <c r="D127" i="18"/>
  <c r="N126" i="18"/>
  <c r="M126" i="18"/>
  <c r="L126" i="18"/>
  <c r="J126" i="18"/>
  <c r="I126" i="18"/>
  <c r="H126" i="18"/>
  <c r="F126" i="18"/>
  <c r="E126" i="18"/>
  <c r="D126" i="18"/>
  <c r="C78" i="18"/>
  <c r="C79" i="18" s="1"/>
  <c r="C80" i="18" s="1"/>
  <c r="C81" i="18" s="1"/>
  <c r="C82" i="18" s="1"/>
  <c r="C66" i="18"/>
  <c r="C67" i="18" s="1"/>
  <c r="C68" i="18" s="1"/>
  <c r="C69" i="18" s="1"/>
  <c r="C70" i="18" s="1"/>
  <c r="C54" i="18"/>
  <c r="C55" i="18" s="1"/>
  <c r="C56" i="18" s="1"/>
  <c r="C57" i="18" s="1"/>
  <c r="C58" i="18" s="1"/>
  <c r="C42" i="18"/>
  <c r="C43" i="18" s="1"/>
  <c r="C44" i="18" s="1"/>
  <c r="C45" i="18" s="1"/>
  <c r="C46" i="18" s="1"/>
  <c r="C31" i="18"/>
  <c r="C32" i="18" s="1"/>
  <c r="C33" i="18" s="1"/>
  <c r="C34" i="18" s="1"/>
  <c r="C35" i="18" s="1"/>
  <c r="C36" i="18" s="1"/>
  <c r="C37" i="18" s="1"/>
  <c r="C38" i="18" s="1"/>
  <c r="C39" i="18" s="1"/>
  <c r="C40" i="18" s="1"/>
  <c r="C30" i="18"/>
  <c r="L8" i="18"/>
  <c r="D107" i="17"/>
  <c r="E93" i="17"/>
  <c r="D93" i="17"/>
  <c r="I93" i="17" s="1"/>
  <c r="I92" i="17"/>
  <c r="E92" i="17"/>
  <c r="D92" i="17"/>
  <c r="E91" i="17"/>
  <c r="I91" i="17" s="1"/>
  <c r="D91" i="17"/>
  <c r="E90" i="17"/>
  <c r="I90" i="17" s="1"/>
  <c r="D90" i="17"/>
  <c r="E89" i="17"/>
  <c r="D89" i="17"/>
  <c r="I89" i="17" s="1"/>
  <c r="I88" i="17"/>
  <c r="E88" i="17"/>
  <c r="D88" i="17"/>
  <c r="I87" i="17"/>
  <c r="E87" i="17"/>
  <c r="D87" i="17"/>
  <c r="E86" i="17"/>
  <c r="I86" i="17" s="1"/>
  <c r="D82" i="17"/>
  <c r="D105" i="17" s="1"/>
  <c r="F78" i="17"/>
  <c r="D78" i="17"/>
  <c r="F77" i="17"/>
  <c r="D77" i="17"/>
  <c r="F76" i="17"/>
  <c r="D76" i="17"/>
  <c r="E62" i="17"/>
  <c r="F62" i="17" s="1"/>
  <c r="D62" i="17"/>
  <c r="F61" i="17"/>
  <c r="E61" i="17"/>
  <c r="D61" i="17"/>
  <c r="C52" i="17"/>
  <c r="C51" i="17"/>
  <c r="D47" i="17"/>
  <c r="D40" i="17"/>
  <c r="D39" i="17"/>
  <c r="D53" i="17" s="1"/>
  <c r="H141" i="16"/>
  <c r="G141" i="16"/>
  <c r="H140" i="16"/>
  <c r="G140" i="16"/>
  <c r="H139" i="16"/>
  <c r="G139" i="16"/>
  <c r="E138" i="16"/>
  <c r="H138" i="16" s="1"/>
  <c r="H137" i="16"/>
  <c r="G137" i="16"/>
  <c r="E136" i="16"/>
  <c r="H136" i="16" s="1"/>
  <c r="H135" i="16"/>
  <c r="G135" i="16"/>
  <c r="M134" i="16"/>
  <c r="L134" i="16"/>
  <c r="H134" i="16"/>
  <c r="G134" i="16"/>
  <c r="E133" i="16"/>
  <c r="F133" i="16" s="1"/>
  <c r="F134" i="16" s="1"/>
  <c r="F135" i="16" s="1"/>
  <c r="H128" i="16"/>
  <c r="G128" i="16"/>
  <c r="H127" i="16"/>
  <c r="G127" i="16"/>
  <c r="H126" i="16"/>
  <c r="G126" i="16"/>
  <c r="H125" i="16"/>
  <c r="E125" i="16"/>
  <c r="G125" i="16" s="1"/>
  <c r="H124" i="16"/>
  <c r="G124" i="16"/>
  <c r="E123" i="16"/>
  <c r="H123" i="16" s="1"/>
  <c r="H122" i="16"/>
  <c r="G122" i="16"/>
  <c r="M121" i="16"/>
  <c r="L121" i="16"/>
  <c r="H121" i="16"/>
  <c r="G121" i="16"/>
  <c r="E120" i="16"/>
  <c r="H120" i="16" s="1"/>
  <c r="H115" i="16"/>
  <c r="G115" i="16"/>
  <c r="H114" i="16"/>
  <c r="G114" i="16"/>
  <c r="H113" i="16"/>
  <c r="G113" i="16"/>
  <c r="E112" i="16"/>
  <c r="G112" i="16" s="1"/>
  <c r="H111" i="16"/>
  <c r="G111" i="16"/>
  <c r="E110" i="16"/>
  <c r="G110" i="16" s="1"/>
  <c r="M109" i="16"/>
  <c r="L109" i="16"/>
  <c r="U50" i="16" s="1"/>
  <c r="H109" i="16"/>
  <c r="G109" i="16"/>
  <c r="H108" i="16"/>
  <c r="G108" i="16"/>
  <c r="E107" i="16"/>
  <c r="F107" i="16" s="1"/>
  <c r="F108" i="16" s="1"/>
  <c r="F109" i="16" s="1"/>
  <c r="M102" i="16"/>
  <c r="L102" i="16"/>
  <c r="H102" i="16"/>
  <c r="G102" i="16"/>
  <c r="M101" i="16"/>
  <c r="O101" i="16" s="1"/>
  <c r="O102" i="16" s="1"/>
  <c r="L101" i="16"/>
  <c r="H101" i="16"/>
  <c r="G101" i="16"/>
  <c r="F101" i="16"/>
  <c r="F102" i="16" s="1"/>
  <c r="R46" i="16" s="1"/>
  <c r="O100" i="16"/>
  <c r="N100" i="16"/>
  <c r="N101" i="16" s="1"/>
  <c r="J100" i="16"/>
  <c r="J101" i="16" s="1"/>
  <c r="J102" i="16" s="1"/>
  <c r="I100" i="16"/>
  <c r="I101" i="16" s="1"/>
  <c r="I102" i="16" s="1"/>
  <c r="H100" i="16"/>
  <c r="G100" i="16"/>
  <c r="F100" i="16"/>
  <c r="H94" i="16"/>
  <c r="G94" i="16"/>
  <c r="H93" i="16"/>
  <c r="G93" i="16"/>
  <c r="E92" i="16"/>
  <c r="H92" i="16" s="1"/>
  <c r="M91" i="16"/>
  <c r="L91" i="16"/>
  <c r="H91" i="16"/>
  <c r="G91" i="16"/>
  <c r="E90" i="16"/>
  <c r="H90" i="16" s="1"/>
  <c r="M89" i="16"/>
  <c r="L89" i="16"/>
  <c r="U43" i="16" s="1"/>
  <c r="H89" i="16"/>
  <c r="G89" i="16"/>
  <c r="H88" i="16"/>
  <c r="G88" i="16"/>
  <c r="E87" i="16"/>
  <c r="H87" i="16" s="1"/>
  <c r="O87" i="16" s="1"/>
  <c r="O88" i="16" s="1"/>
  <c r="O89" i="16" s="1"/>
  <c r="H83" i="16"/>
  <c r="G83" i="16"/>
  <c r="H82" i="16"/>
  <c r="G82" i="16"/>
  <c r="E81" i="16"/>
  <c r="H81" i="16" s="1"/>
  <c r="H80" i="16"/>
  <c r="G80" i="16"/>
  <c r="E79" i="16"/>
  <c r="H79" i="16" s="1"/>
  <c r="H78" i="16"/>
  <c r="G78" i="16"/>
  <c r="M77" i="16"/>
  <c r="L77" i="16"/>
  <c r="H77" i="16"/>
  <c r="G77" i="16"/>
  <c r="E76" i="16"/>
  <c r="H76" i="16" s="1"/>
  <c r="Z69" i="16"/>
  <c r="H69" i="16"/>
  <c r="G69" i="16"/>
  <c r="Z68" i="16"/>
  <c r="H68" i="16"/>
  <c r="G68" i="16"/>
  <c r="Z67" i="16"/>
  <c r="H67" i="16"/>
  <c r="G67" i="16"/>
  <c r="Z66" i="16"/>
  <c r="H66" i="16"/>
  <c r="G66" i="16"/>
  <c r="Z65" i="16"/>
  <c r="H65" i="16"/>
  <c r="G65" i="16"/>
  <c r="Z64" i="16"/>
  <c r="H64" i="16"/>
  <c r="G64" i="16"/>
  <c r="Z63" i="16"/>
  <c r="H63" i="16"/>
  <c r="G63" i="16"/>
  <c r="Z62" i="16"/>
  <c r="H62" i="16"/>
  <c r="G62" i="16"/>
  <c r="Z61" i="16"/>
  <c r="M61" i="16"/>
  <c r="L61" i="16"/>
  <c r="H61" i="16"/>
  <c r="G61" i="16"/>
  <c r="Z60" i="16"/>
  <c r="H60" i="16"/>
  <c r="G60" i="16"/>
  <c r="Z59" i="16"/>
  <c r="M59" i="16"/>
  <c r="L59" i="16"/>
  <c r="H59" i="16"/>
  <c r="G59" i="16"/>
  <c r="Z58" i="16"/>
  <c r="M58" i="16"/>
  <c r="L58" i="16"/>
  <c r="H58" i="16"/>
  <c r="G58" i="16"/>
  <c r="Z57" i="16"/>
  <c r="V57" i="16"/>
  <c r="U57" i="16"/>
  <c r="M57" i="16"/>
  <c r="L57" i="16"/>
  <c r="H57" i="16"/>
  <c r="G57" i="16"/>
  <c r="Z56" i="16"/>
  <c r="H56" i="16"/>
  <c r="G56" i="16"/>
  <c r="Z55" i="16"/>
  <c r="H55" i="16"/>
  <c r="G55" i="16"/>
  <c r="Z54" i="16"/>
  <c r="M54" i="16"/>
  <c r="L54" i="16"/>
  <c r="H54" i="16"/>
  <c r="G54" i="16"/>
  <c r="Z53" i="16"/>
  <c r="U53" i="16"/>
  <c r="H53" i="16"/>
  <c r="G53" i="16"/>
  <c r="Z52" i="16"/>
  <c r="H52" i="16"/>
  <c r="G52" i="16"/>
  <c r="Z51" i="16"/>
  <c r="M51" i="16"/>
  <c r="L51" i="16"/>
  <c r="H51" i="16"/>
  <c r="G51" i="16"/>
  <c r="Z50" i="16"/>
  <c r="V50" i="16"/>
  <c r="H50" i="16"/>
  <c r="G50" i="16"/>
  <c r="Z49" i="16"/>
  <c r="H49" i="16"/>
  <c r="G49" i="16"/>
  <c r="Z48" i="16"/>
  <c r="M48" i="16"/>
  <c r="L48" i="16"/>
  <c r="H48" i="16"/>
  <c r="G48" i="16"/>
  <c r="Z47" i="16"/>
  <c r="H47" i="16"/>
  <c r="G47" i="16"/>
  <c r="Z46" i="16"/>
  <c r="U46" i="16"/>
  <c r="H46" i="16"/>
  <c r="G46" i="16"/>
  <c r="Z45" i="16"/>
  <c r="M45" i="16"/>
  <c r="L45" i="16"/>
  <c r="H45" i="16"/>
  <c r="G45" i="16"/>
  <c r="Z44" i="16"/>
  <c r="M44" i="16"/>
  <c r="L44" i="16"/>
  <c r="H44" i="16"/>
  <c r="G44" i="16"/>
  <c r="Z43" i="16"/>
  <c r="V43" i="16"/>
  <c r="H43" i="16"/>
  <c r="G43" i="16"/>
  <c r="Z42" i="16"/>
  <c r="M42" i="16"/>
  <c r="L42" i="16"/>
  <c r="H42" i="16"/>
  <c r="G42" i="16"/>
  <c r="Z41" i="16"/>
  <c r="M41" i="16"/>
  <c r="L41" i="16"/>
  <c r="H41" i="16"/>
  <c r="G41" i="16"/>
  <c r="AA40" i="16"/>
  <c r="AA41" i="16" s="1"/>
  <c r="AA42" i="16" s="1"/>
  <c r="Z40" i="16"/>
  <c r="V40" i="16"/>
  <c r="U40" i="16"/>
  <c r="J40" i="16"/>
  <c r="J41" i="16" s="1"/>
  <c r="J42" i="16" s="1"/>
  <c r="J43" i="16" s="1"/>
  <c r="J44" i="16" s="1"/>
  <c r="J45" i="16" s="1"/>
  <c r="H40" i="16"/>
  <c r="G40" i="16"/>
  <c r="F40" i="16"/>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F64" i="16" s="1"/>
  <c r="F65" i="16" s="1"/>
  <c r="F66" i="16" s="1"/>
  <c r="F67" i="16" s="1"/>
  <c r="F68" i="16" s="1"/>
  <c r="F69" i="16" s="1"/>
  <c r="D34" i="19" s="1"/>
  <c r="D49" i="19" s="1"/>
  <c r="AA39" i="16"/>
  <c r="Y39" i="16"/>
  <c r="W39" i="16"/>
  <c r="O39" i="16"/>
  <c r="O40" i="16" s="1"/>
  <c r="O41" i="16" s="1"/>
  <c r="O42" i="16" s="1"/>
  <c r="O43" i="16" s="1"/>
  <c r="O44" i="16" s="1"/>
  <c r="O45" i="16" s="1"/>
  <c r="O46" i="16" s="1"/>
  <c r="O47" i="16" s="1"/>
  <c r="O48" i="16" s="1"/>
  <c r="O49" i="16" s="1"/>
  <c r="O50" i="16" s="1"/>
  <c r="M39" i="16"/>
  <c r="L39" i="16"/>
  <c r="J39" i="16"/>
  <c r="H39" i="16"/>
  <c r="H18" i="16"/>
  <c r="H13" i="16"/>
  <c r="D5" i="16"/>
  <c r="D4" i="16"/>
  <c r="F43" i="15"/>
  <c r="E43" i="15"/>
  <c r="F42" i="15"/>
  <c r="E42" i="15"/>
  <c r="F41" i="15"/>
  <c r="E41" i="15"/>
  <c r="F40" i="15"/>
  <c r="E40" i="15"/>
  <c r="F39" i="15"/>
  <c r="E39" i="15"/>
  <c r="F38" i="15"/>
  <c r="E38" i="15"/>
  <c r="F37" i="15"/>
  <c r="E37" i="15"/>
  <c r="F36" i="15"/>
  <c r="E36" i="15"/>
  <c r="F35" i="15"/>
  <c r="E35" i="15"/>
  <c r="F34" i="15"/>
  <c r="E34" i="15"/>
  <c r="F33" i="15"/>
  <c r="E33" i="15"/>
  <c r="F32" i="15"/>
  <c r="E32" i="15"/>
  <c r="F31" i="15"/>
  <c r="E31" i="15"/>
  <c r="W41" i="10"/>
  <c r="W42" i="10"/>
  <c r="W43" i="10" s="1"/>
  <c r="W44" i="10" s="1"/>
  <c r="W45" i="10" s="1"/>
  <c r="W46" i="10" s="1"/>
  <c r="W47" i="10" s="1"/>
  <c r="W48" i="10" s="1"/>
  <c r="W49" i="10" s="1"/>
  <c r="W50" i="10" s="1"/>
  <c r="W51" i="10" s="1"/>
  <c r="W52" i="10" s="1"/>
  <c r="W53" i="10" s="1"/>
  <c r="W54" i="10" s="1"/>
  <c r="W55" i="10" s="1"/>
  <c r="W56" i="10" s="1"/>
  <c r="W57" i="10" s="1"/>
  <c r="W58" i="10" s="1"/>
  <c r="W59" i="10" s="1"/>
  <c r="W60" i="10" s="1"/>
  <c r="W61" i="10" s="1"/>
  <c r="W62" i="10" s="1"/>
  <c r="W63" i="10" s="1"/>
  <c r="W64" i="10" s="1"/>
  <c r="W65" i="10" s="1"/>
  <c r="W66" i="10" s="1"/>
  <c r="W67" i="10" s="1"/>
  <c r="W68" i="10" s="1"/>
  <c r="W69" i="10" s="1"/>
  <c r="W40" i="10"/>
  <c r="AA41" i="10"/>
  <c r="AA42" i="10" s="1"/>
  <c r="AA43" i="10" s="1"/>
  <c r="AA44" i="10" s="1"/>
  <c r="AA45" i="10" s="1"/>
  <c r="AA46" i="10" s="1"/>
  <c r="AA47" i="10" s="1"/>
  <c r="AA48" i="10" s="1"/>
  <c r="AA49" i="10" s="1"/>
  <c r="AA50" i="10" s="1"/>
  <c r="AA51" i="10" s="1"/>
  <c r="AA52" i="10" s="1"/>
  <c r="AA53" i="10" s="1"/>
  <c r="AA54" i="10" s="1"/>
  <c r="AA55" i="10" s="1"/>
  <c r="AA56" i="10" s="1"/>
  <c r="AA57" i="10" s="1"/>
  <c r="AA58" i="10" s="1"/>
  <c r="AA59" i="10" s="1"/>
  <c r="AA60" i="10" s="1"/>
  <c r="AA61" i="10" s="1"/>
  <c r="AA62" i="10" s="1"/>
  <c r="AA63" i="10" s="1"/>
  <c r="AA64" i="10" s="1"/>
  <c r="AA65" i="10" s="1"/>
  <c r="AA66" i="10" s="1"/>
  <c r="AA67" i="10" s="1"/>
  <c r="AA68" i="10" s="1"/>
  <c r="AA69" i="10" s="1"/>
  <c r="B16" i="11"/>
  <c r="B17" i="11"/>
  <c r="B15" i="11"/>
  <c r="D61" i="13"/>
  <c r="E61" i="13"/>
  <c r="F61" i="13"/>
  <c r="D107" i="13"/>
  <c r="F77" i="13"/>
  <c r="F78" i="13"/>
  <c r="F76" i="13"/>
  <c r="G5" i="2"/>
  <c r="G6" i="2"/>
  <c r="G7" i="2"/>
  <c r="G8" i="2"/>
  <c r="G9" i="2"/>
  <c r="G10" i="2"/>
  <c r="G11" i="2"/>
  <c r="F38" i="3" s="1"/>
  <c r="G12" i="2"/>
  <c r="G13" i="2"/>
  <c r="G14" i="2"/>
  <c r="G15" i="2"/>
  <c r="G16" i="2"/>
  <c r="G17" i="2"/>
  <c r="G18" i="2"/>
  <c r="G19" i="2"/>
  <c r="F43" i="3" s="1"/>
  <c r="G20" i="2"/>
  <c r="G4" i="2"/>
  <c r="F5" i="2"/>
  <c r="F6" i="2"/>
  <c r="F7" i="2"/>
  <c r="F8" i="2"/>
  <c r="F9" i="2"/>
  <c r="F10" i="2"/>
  <c r="F11" i="2"/>
  <c r="E38" i="3" s="1"/>
  <c r="F12" i="2"/>
  <c r="F13" i="2"/>
  <c r="F14" i="2"/>
  <c r="F15" i="2"/>
  <c r="F16" i="2"/>
  <c r="F17" i="2"/>
  <c r="F18" i="2"/>
  <c r="F19" i="2"/>
  <c r="E43" i="3" s="1"/>
  <c r="F20" i="2"/>
  <c r="F4" i="2"/>
  <c r="E31" i="3" s="1"/>
  <c r="D5" i="10"/>
  <c r="D4" i="10"/>
  <c r="E52" i="3"/>
  <c r="E51" i="3"/>
  <c r="F32" i="3"/>
  <c r="F33" i="3"/>
  <c r="F34" i="3"/>
  <c r="F35" i="3"/>
  <c r="F36" i="3"/>
  <c r="F37" i="3"/>
  <c r="F39" i="3"/>
  <c r="F40" i="3"/>
  <c r="F41" i="3"/>
  <c r="F42" i="3"/>
  <c r="F31" i="3"/>
  <c r="E32" i="3"/>
  <c r="E33" i="3"/>
  <c r="E34" i="3"/>
  <c r="E35" i="3"/>
  <c r="E36" i="3"/>
  <c r="E37" i="3"/>
  <c r="E39" i="3"/>
  <c r="E40" i="3"/>
  <c r="E41" i="3"/>
  <c r="E42" i="3"/>
  <c r="P42" i="2"/>
  <c r="P43" i="2"/>
  <c r="P44" i="2"/>
  <c r="P45" i="2"/>
  <c r="P46" i="2"/>
  <c r="P47" i="2"/>
  <c r="P48" i="2"/>
  <c r="P49" i="2"/>
  <c r="P50" i="2"/>
  <c r="P51" i="2"/>
  <c r="P52" i="2"/>
  <c r="P53" i="2"/>
  <c r="P54" i="2"/>
  <c r="P24" i="2"/>
  <c r="P25" i="2"/>
  <c r="P26" i="2"/>
  <c r="P27" i="2"/>
  <c r="P28" i="2"/>
  <c r="P29" i="2"/>
  <c r="P30" i="2"/>
  <c r="P31" i="2"/>
  <c r="P32" i="2"/>
  <c r="P33" i="2"/>
  <c r="P34" i="2"/>
  <c r="P35" i="2"/>
  <c r="P36" i="2"/>
  <c r="P4" i="2"/>
  <c r="P5" i="2"/>
  <c r="P6" i="2"/>
  <c r="P7" i="2"/>
  <c r="P8" i="2"/>
  <c r="P9" i="2"/>
  <c r="P10" i="2"/>
  <c r="P11" i="2"/>
  <c r="P12" i="2"/>
  <c r="P13" i="2"/>
  <c r="P14" i="2"/>
  <c r="P15" i="2"/>
  <c r="P16" i="2"/>
  <c r="I4" i="2"/>
  <c r="I5" i="2"/>
  <c r="M41" i="10" s="1"/>
  <c r="I6" i="2"/>
  <c r="I7" i="2"/>
  <c r="I8" i="2"/>
  <c r="I9" i="2"/>
  <c r="I10" i="2"/>
  <c r="M109" i="10" s="1"/>
  <c r="V50" i="10" s="1"/>
  <c r="I11" i="2"/>
  <c r="I12" i="2"/>
  <c r="I13" i="2"/>
  <c r="M101" i="10" s="1"/>
  <c r="I14" i="2"/>
  <c r="I15" i="2"/>
  <c r="I16" i="2"/>
  <c r="I17" i="2"/>
  <c r="I18" i="2"/>
  <c r="I19" i="2"/>
  <c r="I20" i="2"/>
  <c r="D77" i="13"/>
  <c r="L31" i="3"/>
  <c r="L32" i="3" s="1"/>
  <c r="L33" i="3" s="1"/>
  <c r="L34" i="3" s="1"/>
  <c r="L35" i="3" s="1"/>
  <c r="L36" i="3" s="1"/>
  <c r="L37" i="3" s="1"/>
  <c r="L38" i="3" s="1"/>
  <c r="L39" i="3" s="1"/>
  <c r="L40" i="3" s="1"/>
  <c r="L41" i="3" s="1"/>
  <c r="L42" i="3" s="1"/>
  <c r="L43" i="3" s="1"/>
  <c r="K31" i="3"/>
  <c r="K32" i="3" s="1"/>
  <c r="K33" i="3" s="1"/>
  <c r="K34" i="3" s="1"/>
  <c r="K35" i="3" s="1"/>
  <c r="K36" i="3" s="1"/>
  <c r="K37" i="3" s="1"/>
  <c r="K38" i="3" s="1"/>
  <c r="K39" i="3" s="1"/>
  <c r="K40" i="3" s="1"/>
  <c r="K41" i="3" s="1"/>
  <c r="K42" i="3" s="1"/>
  <c r="K43" i="3" s="1"/>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D88" i="13"/>
  <c r="AA39" i="10"/>
  <c r="Z40" i="10"/>
  <c r="AA40" i="10" s="1"/>
  <c r="W39" i="10"/>
  <c r="H134" i="10"/>
  <c r="H135" i="10"/>
  <c r="H137" i="10"/>
  <c r="H139" i="10"/>
  <c r="H140" i="10"/>
  <c r="H141" i="10"/>
  <c r="G134" i="10"/>
  <c r="G135" i="10"/>
  <c r="G137" i="10"/>
  <c r="G139" i="10"/>
  <c r="G140" i="10"/>
  <c r="G141" i="10"/>
  <c r="E138" i="10"/>
  <c r="G138" i="10" s="1"/>
  <c r="E136" i="10"/>
  <c r="H136" i="10" s="1"/>
  <c r="E133" i="10"/>
  <c r="H133" i="10" s="1"/>
  <c r="H12" i="2"/>
  <c r="H121" i="10"/>
  <c r="H122" i="10"/>
  <c r="H124" i="10"/>
  <c r="H126" i="10"/>
  <c r="H127" i="10"/>
  <c r="H128" i="10"/>
  <c r="G121" i="10"/>
  <c r="G122" i="10"/>
  <c r="G124" i="10"/>
  <c r="G126" i="10"/>
  <c r="G127" i="10"/>
  <c r="G128" i="10"/>
  <c r="F120" i="10"/>
  <c r="F121" i="10" s="1"/>
  <c r="F122" i="10" s="1"/>
  <c r="F123" i="10" s="1"/>
  <c r="F124" i="10" s="1"/>
  <c r="F125" i="10" s="1"/>
  <c r="F126" i="10" s="1"/>
  <c r="F127" i="10" s="1"/>
  <c r="F128" i="10" s="1"/>
  <c r="R53" i="10" s="1"/>
  <c r="E125" i="10"/>
  <c r="H125" i="10" s="1"/>
  <c r="E123" i="10"/>
  <c r="H123" i="10" s="1"/>
  <c r="E120" i="10"/>
  <c r="H120" i="10" s="1"/>
  <c r="O120" i="10" s="1"/>
  <c r="E87" i="13"/>
  <c r="E88" i="13"/>
  <c r="E89" i="13"/>
  <c r="E90" i="13"/>
  <c r="E91" i="13"/>
  <c r="E92" i="13"/>
  <c r="E93" i="13"/>
  <c r="E86" i="13"/>
  <c r="D87" i="13"/>
  <c r="D89" i="13"/>
  <c r="D90" i="13"/>
  <c r="D91" i="13"/>
  <c r="D92" i="13"/>
  <c r="D93" i="13"/>
  <c r="H108" i="10"/>
  <c r="H109" i="10"/>
  <c r="H111" i="10"/>
  <c r="H113" i="10"/>
  <c r="H114" i="10"/>
  <c r="H115" i="10"/>
  <c r="G108" i="10"/>
  <c r="G109" i="10"/>
  <c r="G111" i="10"/>
  <c r="G113" i="10"/>
  <c r="G114" i="10"/>
  <c r="G115" i="10"/>
  <c r="E112" i="10"/>
  <c r="G112" i="10" s="1"/>
  <c r="E110" i="10"/>
  <c r="H110" i="10" s="1"/>
  <c r="E107" i="10"/>
  <c r="H107" i="10" s="1"/>
  <c r="L101" i="10"/>
  <c r="D78" i="13"/>
  <c r="D76" i="13"/>
  <c r="N100" i="10"/>
  <c r="L102" i="10"/>
  <c r="H101" i="10"/>
  <c r="H102" i="10"/>
  <c r="H100" i="10"/>
  <c r="O100" i="10" s="1"/>
  <c r="G101" i="10"/>
  <c r="G102" i="10"/>
  <c r="G100" i="10"/>
  <c r="I100" i="10" s="1"/>
  <c r="F100" i="10"/>
  <c r="F101" i="10" s="1"/>
  <c r="F102" i="10" s="1"/>
  <c r="R46" i="10" s="1"/>
  <c r="D62" i="13"/>
  <c r="M91" i="10"/>
  <c r="D40" i="13"/>
  <c r="D39" i="13"/>
  <c r="E87" i="10"/>
  <c r="G87" i="10" s="1"/>
  <c r="F87" i="10"/>
  <c r="F88" i="10" s="1"/>
  <c r="F89" i="10" s="1"/>
  <c r="G88" i="10"/>
  <c r="H88" i="10"/>
  <c r="G89" i="10"/>
  <c r="H89" i="10"/>
  <c r="E90" i="10"/>
  <c r="G90" i="10" s="1"/>
  <c r="G91" i="10"/>
  <c r="H91" i="10"/>
  <c r="E92" i="10"/>
  <c r="G92" i="10" s="1"/>
  <c r="G93" i="10"/>
  <c r="H93" i="10"/>
  <c r="G94" i="10"/>
  <c r="H94" i="10"/>
  <c r="O24" i="2"/>
  <c r="O25" i="2"/>
  <c r="O26" i="2"/>
  <c r="O27" i="2"/>
  <c r="O28" i="2"/>
  <c r="O29" i="2"/>
  <c r="O30" i="2"/>
  <c r="O31" i="2"/>
  <c r="O32" i="2"/>
  <c r="O33" i="2"/>
  <c r="O34" i="2"/>
  <c r="O35" i="2"/>
  <c r="O36" i="2"/>
  <c r="O42" i="2"/>
  <c r="O43" i="2"/>
  <c r="O44" i="2"/>
  <c r="O45" i="2"/>
  <c r="O46" i="2"/>
  <c r="O47" i="2"/>
  <c r="O48" i="2"/>
  <c r="O49" i="2"/>
  <c r="O50" i="2"/>
  <c r="O51" i="2"/>
  <c r="O52" i="2"/>
  <c r="O53" i="2"/>
  <c r="O54" i="2"/>
  <c r="O4" i="2"/>
  <c r="O5" i="2"/>
  <c r="O6" i="2"/>
  <c r="O7" i="2"/>
  <c r="O8" i="2"/>
  <c r="O9" i="2"/>
  <c r="O10" i="2"/>
  <c r="O11" i="2"/>
  <c r="O12" i="2"/>
  <c r="O13" i="2"/>
  <c r="O14" i="2"/>
  <c r="O15" i="2"/>
  <c r="O16" i="2"/>
  <c r="M77" i="10"/>
  <c r="M59" i="10"/>
  <c r="M102" i="10"/>
  <c r="M121" i="10"/>
  <c r="M58" i="10"/>
  <c r="M134" i="10"/>
  <c r="V57" i="10" s="1"/>
  <c r="M61" i="10"/>
  <c r="M57" i="10"/>
  <c r="H4" i="2"/>
  <c r="H5" i="2"/>
  <c r="L41" i="10" s="1"/>
  <c r="H6" i="2"/>
  <c r="H7" i="2"/>
  <c r="H8" i="2"/>
  <c r="L121" i="10" s="1"/>
  <c r="U53" i="10" s="1"/>
  <c r="H9" i="2"/>
  <c r="H10" i="2"/>
  <c r="L109" i="10" s="1"/>
  <c r="U50" i="10" s="1"/>
  <c r="H11" i="2"/>
  <c r="L134" i="10" s="1"/>
  <c r="U57" i="10" s="1"/>
  <c r="H13" i="2"/>
  <c r="H14" i="2"/>
  <c r="L57" i="10" s="1"/>
  <c r="H15" i="2"/>
  <c r="L91" i="10" s="1"/>
  <c r="H16" i="2"/>
  <c r="H17" i="2"/>
  <c r="H18" i="2"/>
  <c r="H19" i="2"/>
  <c r="H20" i="2"/>
  <c r="M45" i="10"/>
  <c r="M51" i="10"/>
  <c r="M42" i="10"/>
  <c r="L77" i="10"/>
  <c r="L61" i="10"/>
  <c r="H77" i="10"/>
  <c r="H78" i="10"/>
  <c r="H80" i="10"/>
  <c r="H81" i="10"/>
  <c r="H82" i="10"/>
  <c r="H83" i="10"/>
  <c r="G77" i="10"/>
  <c r="G78" i="10"/>
  <c r="G80" i="10"/>
  <c r="G81" i="10"/>
  <c r="G82" i="10"/>
  <c r="G83" i="10"/>
  <c r="E81" i="10"/>
  <c r="E79" i="10"/>
  <c r="H79" i="10" s="1"/>
  <c r="E76" i="10"/>
  <c r="H76" i="10" s="1"/>
  <c r="M48" i="10"/>
  <c r="M54" i="10"/>
  <c r="M39" i="10"/>
  <c r="L42" i="10"/>
  <c r="L44" i="10"/>
  <c r="L45" i="10"/>
  <c r="L48" i="10"/>
  <c r="L58" i="10"/>
  <c r="L59" i="10"/>
  <c r="L39" i="10"/>
  <c r="F40" i="10"/>
  <c r="F41" i="10" s="1"/>
  <c r="F42" i="10" s="1"/>
  <c r="F43" i="10" s="1"/>
  <c r="F44" i="10" s="1"/>
  <c r="F45" i="10" s="1"/>
  <c r="F46" i="10" s="1"/>
  <c r="F47" i="10" s="1"/>
  <c r="F48" i="10" s="1"/>
  <c r="F49" i="10" s="1"/>
  <c r="F50" i="10" s="1"/>
  <c r="F51" i="10" s="1"/>
  <c r="F52" i="10" s="1"/>
  <c r="F53" i="10" s="1"/>
  <c r="F54" i="10" s="1"/>
  <c r="F55" i="10" s="1"/>
  <c r="F56" i="10" s="1"/>
  <c r="F57" i="10" s="1"/>
  <c r="F58" i="10" s="1"/>
  <c r="F59" i="10" s="1"/>
  <c r="F60" i="10" s="1"/>
  <c r="F61" i="10" s="1"/>
  <c r="F62" i="10" s="1"/>
  <c r="F63" i="10" s="1"/>
  <c r="F64" i="10" s="1"/>
  <c r="F65" i="10" s="1"/>
  <c r="F66" i="10" s="1"/>
  <c r="F67" i="10" s="1"/>
  <c r="F68" i="10" s="1"/>
  <c r="F69" i="10" s="1"/>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39" i="10"/>
  <c r="J39" i="10" s="1"/>
  <c r="J40" i="10" s="1"/>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39" i="10"/>
  <c r="F63" i="13"/>
  <c r="E63" i="13"/>
  <c r="D63" i="13"/>
  <c r="G10" i="11"/>
  <c r="G9" i="11"/>
  <c r="G8" i="11"/>
  <c r="C10" i="11"/>
  <c r="C9" i="11"/>
  <c r="C8" i="11"/>
  <c r="D60" i="13"/>
  <c r="E60" i="13"/>
  <c r="F60" i="13"/>
  <c r="F63" i="17"/>
  <c r="E63" i="17"/>
  <c r="F60" i="17"/>
  <c r="D63" i="17"/>
  <c r="E60" i="17"/>
  <c r="D60" i="17"/>
  <c r="F63" i="20"/>
  <c r="E63" i="20"/>
  <c r="F60" i="20"/>
  <c r="D63" i="20"/>
  <c r="E60" i="20"/>
  <c r="D60" i="20"/>
  <c r="E63" i="19"/>
  <c r="F60" i="19"/>
  <c r="D63" i="19"/>
  <c r="E60" i="19"/>
  <c r="D60" i="19"/>
  <c r="F63" i="19"/>
  <c r="O51" i="16" l="1"/>
  <c r="O52" i="16" s="1"/>
  <c r="O53" i="16" s="1"/>
  <c r="O54" i="16" s="1"/>
  <c r="O55" i="16" s="1"/>
  <c r="O56" i="16" s="1"/>
  <c r="O57" i="16" s="1"/>
  <c r="O58" i="16" s="1"/>
  <c r="O59" i="16" s="1"/>
  <c r="O60" i="16" s="1"/>
  <c r="O61" i="16" s="1"/>
  <c r="O62" i="16" s="1"/>
  <c r="O63" i="16" s="1"/>
  <c r="O64" i="16" s="1"/>
  <c r="O65" i="16" s="1"/>
  <c r="O66" i="16" s="1"/>
  <c r="O67" i="16" s="1"/>
  <c r="O68" i="16" s="1"/>
  <c r="O69" i="16" s="1"/>
  <c r="N51" i="16"/>
  <c r="N52" i="16" s="1"/>
  <c r="N53" i="16" s="1"/>
  <c r="N54" i="16" s="1"/>
  <c r="N55" i="16" s="1"/>
  <c r="N56" i="16" s="1"/>
  <c r="N57" i="16" s="1"/>
  <c r="N58" i="16" s="1"/>
  <c r="N59" i="16" s="1"/>
  <c r="N60" i="16" s="1"/>
  <c r="N61" i="16" s="1"/>
  <c r="N62" i="16" s="1"/>
  <c r="N63" i="16" s="1"/>
  <c r="N64" i="16" s="1"/>
  <c r="N65" i="16" s="1"/>
  <c r="N66" i="16" s="1"/>
  <c r="N67" i="16" s="1"/>
  <c r="N68" i="16" s="1"/>
  <c r="N69" i="16" s="1"/>
  <c r="D50" i="20"/>
  <c r="D51" i="20" s="1"/>
  <c r="D52" i="20" s="1"/>
  <c r="D54" i="20" s="1"/>
  <c r="E71" i="20" s="1"/>
  <c r="D50" i="19"/>
  <c r="D51" i="19" s="1"/>
  <c r="D52" i="19" s="1"/>
  <c r="D54" i="19" s="1"/>
  <c r="E71" i="19" s="1"/>
  <c r="D65" i="20"/>
  <c r="E65" i="20"/>
  <c r="D64" i="20"/>
  <c r="F65" i="20"/>
  <c r="E64" i="20"/>
  <c r="F64" i="20"/>
  <c r="I94" i="20"/>
  <c r="D97" i="20" s="1"/>
  <c r="D106" i="20" s="1"/>
  <c r="F64" i="19"/>
  <c r="D65" i="19"/>
  <c r="E65" i="19"/>
  <c r="D64" i="19"/>
  <c r="F65" i="19"/>
  <c r="E64" i="19"/>
  <c r="H110" i="16"/>
  <c r="L32" i="15"/>
  <c r="L33" i="15" s="1"/>
  <c r="L34" i="15" s="1"/>
  <c r="L35" i="15" s="1"/>
  <c r="L36" i="15" s="1"/>
  <c r="L37" i="15" s="1"/>
  <c r="L38" i="15" s="1"/>
  <c r="L39" i="15" s="1"/>
  <c r="L40" i="15" s="1"/>
  <c r="L41" i="15" s="1"/>
  <c r="L42" i="15" s="1"/>
  <c r="L43" i="15" s="1"/>
  <c r="F136" i="16"/>
  <c r="F137" i="16" s="1"/>
  <c r="F138" i="16" s="1"/>
  <c r="F139" i="16" s="1"/>
  <c r="F140" i="16" s="1"/>
  <c r="F141" i="16" s="1"/>
  <c r="R57" i="16" s="1"/>
  <c r="G136" i="16"/>
  <c r="H112" i="16"/>
  <c r="H107" i="16"/>
  <c r="O107" i="16" s="1"/>
  <c r="O108" i="16" s="1"/>
  <c r="O109" i="16" s="1"/>
  <c r="O110" i="16" s="1"/>
  <c r="O111" i="16" s="1"/>
  <c r="O112" i="16" s="1"/>
  <c r="O113" i="16" s="1"/>
  <c r="O114" i="16" s="1"/>
  <c r="O115" i="16" s="1"/>
  <c r="G107" i="16"/>
  <c r="N107" i="16" s="1"/>
  <c r="N108" i="16" s="1"/>
  <c r="N109" i="16" s="1"/>
  <c r="N110" i="16" s="1"/>
  <c r="N111" i="16" s="1"/>
  <c r="N112" i="16" s="1"/>
  <c r="N113" i="16" s="1"/>
  <c r="N114" i="16" s="1"/>
  <c r="N115" i="16" s="1"/>
  <c r="O90" i="16"/>
  <c r="O91" i="16" s="1"/>
  <c r="O92" i="16" s="1"/>
  <c r="O93" i="16" s="1"/>
  <c r="O94" i="16" s="1"/>
  <c r="G90" i="16"/>
  <c r="F87" i="16"/>
  <c r="F88" i="16" s="1"/>
  <c r="F89" i="16" s="1"/>
  <c r="F90" i="16" s="1"/>
  <c r="F91" i="16" s="1"/>
  <c r="F92" i="16" s="1"/>
  <c r="F93" i="16" s="1"/>
  <c r="F94" i="16" s="1"/>
  <c r="R43" i="16" s="1"/>
  <c r="T43" i="16" s="1"/>
  <c r="G87" i="16"/>
  <c r="N87" i="16" s="1"/>
  <c r="N88" i="16" s="1"/>
  <c r="N89" i="16" s="1"/>
  <c r="K32" i="15"/>
  <c r="K33" i="15" s="1"/>
  <c r="K34" i="15" s="1"/>
  <c r="K35" i="15" s="1"/>
  <c r="K36" i="15" s="1"/>
  <c r="K37" i="15" s="1"/>
  <c r="K38" i="15" s="1"/>
  <c r="K39" i="15" s="1"/>
  <c r="K40" i="15" s="1"/>
  <c r="K41" i="15" s="1"/>
  <c r="K42" i="15" s="1"/>
  <c r="K43" i="15" s="1"/>
  <c r="F110" i="16"/>
  <c r="F111" i="16" s="1"/>
  <c r="F112" i="16" s="1"/>
  <c r="F113" i="16" s="1"/>
  <c r="F114" i="16" s="1"/>
  <c r="F115" i="16" s="1"/>
  <c r="R50" i="16" s="1"/>
  <c r="S50" i="16" s="1"/>
  <c r="G81" i="16"/>
  <c r="G92" i="16"/>
  <c r="G133" i="16"/>
  <c r="H133" i="16"/>
  <c r="O133" i="16" s="1"/>
  <c r="O134" i="16" s="1"/>
  <c r="O135" i="16" s="1"/>
  <c r="O136" i="16" s="1"/>
  <c r="O137" i="16" s="1"/>
  <c r="O138" i="16" s="1"/>
  <c r="O139" i="16" s="1"/>
  <c r="O140" i="16" s="1"/>
  <c r="O141" i="16" s="1"/>
  <c r="F76" i="16"/>
  <c r="F77" i="16" s="1"/>
  <c r="F78" i="16" s="1"/>
  <c r="F79" i="16" s="1"/>
  <c r="F80" i="16" s="1"/>
  <c r="F81" i="16" s="1"/>
  <c r="F82" i="16" s="1"/>
  <c r="F83" i="16" s="1"/>
  <c r="R40" i="16" s="1"/>
  <c r="W40" i="16" s="1"/>
  <c r="W41" i="16" s="1"/>
  <c r="W42" i="16" s="1"/>
  <c r="L135" i="18"/>
  <c r="L141" i="18" s="1"/>
  <c r="L133" i="18"/>
  <c r="M139" i="18" s="1"/>
  <c r="L134" i="18"/>
  <c r="L140" i="18" s="1"/>
  <c r="H134" i="18"/>
  <c r="H140" i="18" s="1"/>
  <c r="H135" i="18"/>
  <c r="I141" i="18" s="1"/>
  <c r="H133" i="18"/>
  <c r="H139" i="18" s="1"/>
  <c r="D133" i="18"/>
  <c r="D139" i="18" s="1"/>
  <c r="D134" i="18"/>
  <c r="D140" i="18" s="1"/>
  <c r="D135" i="18"/>
  <c r="D141" i="18" s="1"/>
  <c r="D65" i="17"/>
  <c r="E65" i="17"/>
  <c r="D64" i="17"/>
  <c r="F65" i="17"/>
  <c r="E64" i="17"/>
  <c r="F64" i="17"/>
  <c r="I94" i="17"/>
  <c r="D97" i="17" s="1"/>
  <c r="D106" i="17" s="1"/>
  <c r="T46" i="16"/>
  <c r="S46" i="16"/>
  <c r="AA45" i="16"/>
  <c r="AA46" i="16" s="1"/>
  <c r="AA47" i="16" s="1"/>
  <c r="AA48" i="16" s="1"/>
  <c r="AA49" i="16" s="1"/>
  <c r="AA50" i="16" s="1"/>
  <c r="AA51" i="16" s="1"/>
  <c r="AA52" i="16" s="1"/>
  <c r="AA53" i="16" s="1"/>
  <c r="AA54" i="16" s="1"/>
  <c r="AA55" i="16" s="1"/>
  <c r="AA56" i="16" s="1"/>
  <c r="AA57" i="16" s="1"/>
  <c r="AA58" i="16" s="1"/>
  <c r="AA59" i="16" s="1"/>
  <c r="AA60" i="16" s="1"/>
  <c r="AA61" i="16" s="1"/>
  <c r="AA62" i="16" s="1"/>
  <c r="AA63" i="16" s="1"/>
  <c r="AA64" i="16" s="1"/>
  <c r="AA65" i="16" s="1"/>
  <c r="AA66" i="16" s="1"/>
  <c r="AA67" i="16" s="1"/>
  <c r="AA68" i="16" s="1"/>
  <c r="AA69" i="16" s="1"/>
  <c r="O120" i="16"/>
  <c r="O121" i="16" s="1"/>
  <c r="O122" i="16" s="1"/>
  <c r="O123" i="16" s="1"/>
  <c r="O124" i="16" s="1"/>
  <c r="O125" i="16" s="1"/>
  <c r="O126" i="16" s="1"/>
  <c r="O127" i="16" s="1"/>
  <c r="O128" i="16" s="1"/>
  <c r="J120" i="16"/>
  <c r="J121" i="16" s="1"/>
  <c r="J122" i="16" s="1"/>
  <c r="J123" i="16" s="1"/>
  <c r="J124" i="16" s="1"/>
  <c r="J125" i="16" s="1"/>
  <c r="J126" i="16" s="1"/>
  <c r="J127" i="16" s="1"/>
  <c r="J128" i="16" s="1"/>
  <c r="I39" i="16"/>
  <c r="I40" i="16" s="1"/>
  <c r="I41" i="16" s="1"/>
  <c r="I42" i="16" s="1"/>
  <c r="I43" i="16" s="1"/>
  <c r="I44" i="16" s="1"/>
  <c r="I45" i="16" s="1"/>
  <c r="I46" i="16" s="1"/>
  <c r="I47" i="16" s="1"/>
  <c r="I48" i="16" s="1"/>
  <c r="I49" i="16" s="1"/>
  <c r="I50" i="16" s="1"/>
  <c r="I51" i="16" s="1"/>
  <c r="I52" i="16" s="1"/>
  <c r="I53" i="16" s="1"/>
  <c r="I54" i="16" s="1"/>
  <c r="I55" i="16" s="1"/>
  <c r="I56" i="16" s="1"/>
  <c r="I57" i="16" s="1"/>
  <c r="I58" i="16" s="1"/>
  <c r="I59" i="16" s="1"/>
  <c r="I60" i="16" s="1"/>
  <c r="I61" i="16" s="1"/>
  <c r="I62" i="16" s="1"/>
  <c r="I63" i="16" s="1"/>
  <c r="I64" i="16" s="1"/>
  <c r="I65" i="16" s="1"/>
  <c r="I66" i="16" s="1"/>
  <c r="I67" i="16" s="1"/>
  <c r="I68" i="16" s="1"/>
  <c r="I69" i="16" s="1"/>
  <c r="X39" i="16"/>
  <c r="AA43" i="16"/>
  <c r="AA44" i="16" s="1"/>
  <c r="N102" i="16"/>
  <c r="J46" i="16"/>
  <c r="J47" i="16" s="1"/>
  <c r="J48" i="16" s="1"/>
  <c r="J49" i="16" s="1"/>
  <c r="J50" i="16" s="1"/>
  <c r="J51" i="16" s="1"/>
  <c r="J52" i="16" s="1"/>
  <c r="J53" i="16" s="1"/>
  <c r="J54" i="16" s="1"/>
  <c r="J55" i="16" s="1"/>
  <c r="J56" i="16" s="1"/>
  <c r="J57" i="16" s="1"/>
  <c r="J58" i="16" s="1"/>
  <c r="J59" i="16" s="1"/>
  <c r="J60" i="16" s="1"/>
  <c r="J61" i="16" s="1"/>
  <c r="J62" i="16" s="1"/>
  <c r="J63" i="16" s="1"/>
  <c r="J64" i="16" s="1"/>
  <c r="J65" i="16" s="1"/>
  <c r="J66" i="16" s="1"/>
  <c r="J67" i="16" s="1"/>
  <c r="J68" i="16" s="1"/>
  <c r="J69" i="16" s="1"/>
  <c r="O76" i="16"/>
  <c r="O77" i="16" s="1"/>
  <c r="O78" i="16" s="1"/>
  <c r="O79" i="16" s="1"/>
  <c r="O80" i="16" s="1"/>
  <c r="O81" i="16" s="1"/>
  <c r="O82" i="16" s="1"/>
  <c r="O83" i="16" s="1"/>
  <c r="J76" i="16"/>
  <c r="J77" i="16" s="1"/>
  <c r="J78" i="16" s="1"/>
  <c r="J79" i="16" s="1"/>
  <c r="J80" i="16" s="1"/>
  <c r="J81" i="16" s="1"/>
  <c r="J82" i="16" s="1"/>
  <c r="J83" i="16" s="1"/>
  <c r="V46" i="16"/>
  <c r="G76" i="16"/>
  <c r="G79" i="16"/>
  <c r="J87" i="16"/>
  <c r="J88" i="16" s="1"/>
  <c r="J89" i="16" s="1"/>
  <c r="J90" i="16" s="1"/>
  <c r="J91" i="16" s="1"/>
  <c r="J92" i="16" s="1"/>
  <c r="J93" i="16" s="1"/>
  <c r="J94" i="16" s="1"/>
  <c r="F120" i="16"/>
  <c r="F121" i="16" s="1"/>
  <c r="F122" i="16" s="1"/>
  <c r="F123" i="16" s="1"/>
  <c r="F124" i="16" s="1"/>
  <c r="F125" i="16" s="1"/>
  <c r="F126" i="16" s="1"/>
  <c r="F127" i="16" s="1"/>
  <c r="F128" i="16" s="1"/>
  <c r="R53" i="16" s="1"/>
  <c r="G120" i="16"/>
  <c r="G123" i="16"/>
  <c r="G138" i="16"/>
  <c r="D82" i="13"/>
  <c r="D105" i="13" s="1"/>
  <c r="G123" i="10"/>
  <c r="H138" i="10"/>
  <c r="F107" i="10"/>
  <c r="F108" i="10" s="1"/>
  <c r="F109" i="10" s="1"/>
  <c r="F110" i="10" s="1"/>
  <c r="F111" i="10" s="1"/>
  <c r="F112" i="10" s="1"/>
  <c r="F113" i="10" s="1"/>
  <c r="F114" i="10" s="1"/>
  <c r="F115" i="10" s="1"/>
  <c r="R50" i="10" s="1"/>
  <c r="T50" i="10" s="1"/>
  <c r="J41" i="10"/>
  <c r="J42" i="10" s="1"/>
  <c r="J43" i="10" s="1"/>
  <c r="J44" i="10" s="1"/>
  <c r="G120" i="10"/>
  <c r="N120" i="10" s="1"/>
  <c r="H87" i="10"/>
  <c r="O87" i="10" s="1"/>
  <c r="O88" i="10" s="1"/>
  <c r="I101" i="10"/>
  <c r="I102" i="10" s="1"/>
  <c r="H112" i="10"/>
  <c r="F90" i="10"/>
  <c r="F91" i="10" s="1"/>
  <c r="F92" i="10" s="1"/>
  <c r="F93" i="10" s="1"/>
  <c r="F94" i="10" s="1"/>
  <c r="R43" i="10" s="1"/>
  <c r="H90" i="10"/>
  <c r="O39" i="10"/>
  <c r="O40" i="10" s="1"/>
  <c r="O41" i="10" s="1"/>
  <c r="O42" i="10" s="1"/>
  <c r="O43" i="10" s="1"/>
  <c r="D53" i="13"/>
  <c r="M89" i="10"/>
  <c r="V43" i="10" s="1"/>
  <c r="M44" i="10"/>
  <c r="U46" i="10"/>
  <c r="N121" i="10"/>
  <c r="N122" i="10" s="1"/>
  <c r="N123" i="10" s="1"/>
  <c r="N124" i="10" s="1"/>
  <c r="E64" i="13"/>
  <c r="F64" i="13"/>
  <c r="T53" i="10"/>
  <c r="S53" i="10"/>
  <c r="O121" i="10"/>
  <c r="O122" i="10" s="1"/>
  <c r="O123" i="10" s="1"/>
  <c r="O124" i="10" s="1"/>
  <c r="O125" i="10" s="1"/>
  <c r="O126" i="10" s="1"/>
  <c r="O127" i="10" s="1"/>
  <c r="O128" i="10" s="1"/>
  <c r="I87" i="10"/>
  <c r="I88" i="10" s="1"/>
  <c r="I89" i="10" s="1"/>
  <c r="I90" i="10" s="1"/>
  <c r="I91" i="10" s="1"/>
  <c r="I92" i="10" s="1"/>
  <c r="I93" i="10" s="1"/>
  <c r="I94" i="10" s="1"/>
  <c r="N87" i="10"/>
  <c r="N88" i="10" s="1"/>
  <c r="J133" i="10"/>
  <c r="J134" i="10" s="1"/>
  <c r="J135" i="10" s="1"/>
  <c r="J136" i="10" s="1"/>
  <c r="J137" i="10" s="1"/>
  <c r="J138" i="10" s="1"/>
  <c r="J139" i="10" s="1"/>
  <c r="J140" i="10" s="1"/>
  <c r="J141" i="10" s="1"/>
  <c r="O133" i="10"/>
  <c r="O134" i="10" s="1"/>
  <c r="O135" i="10" s="1"/>
  <c r="O136" i="10" s="1"/>
  <c r="O137" i="10" s="1"/>
  <c r="O76" i="10"/>
  <c r="J76" i="10"/>
  <c r="J77" i="10" s="1"/>
  <c r="J78" i="10" s="1"/>
  <c r="J79" i="10" s="1"/>
  <c r="J80" i="10" s="1"/>
  <c r="J81" i="10" s="1"/>
  <c r="J82" i="10" s="1"/>
  <c r="J83" i="10" s="1"/>
  <c r="T43" i="10"/>
  <c r="S43" i="10"/>
  <c r="V46" i="10"/>
  <c r="O101" i="10"/>
  <c r="O102" i="10" s="1"/>
  <c r="O77" i="10"/>
  <c r="O78" i="10" s="1"/>
  <c r="O79" i="10" s="1"/>
  <c r="O80" i="10" s="1"/>
  <c r="O81" i="10" s="1"/>
  <c r="O82" i="10" s="1"/>
  <c r="O83" i="10" s="1"/>
  <c r="V40" i="10"/>
  <c r="O107" i="10"/>
  <c r="O108" i="10" s="1"/>
  <c r="O109" i="10" s="1"/>
  <c r="O110" i="10" s="1"/>
  <c r="O111" i="10" s="1"/>
  <c r="O112" i="10" s="1"/>
  <c r="O113" i="10" s="1"/>
  <c r="O114" i="10" s="1"/>
  <c r="O115" i="10" s="1"/>
  <c r="J107" i="10"/>
  <c r="J108" i="10" s="1"/>
  <c r="J109" i="10" s="1"/>
  <c r="J110" i="10" s="1"/>
  <c r="J111" i="10" s="1"/>
  <c r="J112" i="10" s="1"/>
  <c r="J113" i="10" s="1"/>
  <c r="J114" i="10" s="1"/>
  <c r="J115" i="10" s="1"/>
  <c r="J45" i="10"/>
  <c r="J46" i="10" s="1"/>
  <c r="J47" i="10" s="1"/>
  <c r="J48" i="10" s="1"/>
  <c r="J49" i="10" s="1"/>
  <c r="J50" i="10" s="1"/>
  <c r="J51" i="10" s="1"/>
  <c r="J52" i="10" s="1"/>
  <c r="J53" i="10" s="1"/>
  <c r="J54" i="10" s="1"/>
  <c r="J55" i="10" s="1"/>
  <c r="J56" i="10" s="1"/>
  <c r="J57" i="10" s="1"/>
  <c r="J58" i="10" s="1"/>
  <c r="J59" i="10" s="1"/>
  <c r="J60" i="10" s="1"/>
  <c r="J61" i="10" s="1"/>
  <c r="J62" i="10" s="1"/>
  <c r="J63" i="10" s="1"/>
  <c r="J64" i="10" s="1"/>
  <c r="J65" i="10" s="1"/>
  <c r="J66" i="10" s="1"/>
  <c r="J67" i="10" s="1"/>
  <c r="J68" i="10" s="1"/>
  <c r="J69" i="10" s="1"/>
  <c r="I39" i="10"/>
  <c r="I40" i="10" s="1"/>
  <c r="I41" i="10" s="1"/>
  <c r="I42" i="10" s="1"/>
  <c r="I43" i="10" s="1"/>
  <c r="I44" i="10" s="1"/>
  <c r="I45" i="10" s="1"/>
  <c r="I46" i="10" s="1"/>
  <c r="I47" i="10" s="1"/>
  <c r="I48" i="10" s="1"/>
  <c r="I49" i="10" s="1"/>
  <c r="I50" i="10" s="1"/>
  <c r="I51" i="10" s="1"/>
  <c r="I52" i="10" s="1"/>
  <c r="I53" i="10" s="1"/>
  <c r="I54" i="10" s="1"/>
  <c r="I55" i="10" s="1"/>
  <c r="I56" i="10" s="1"/>
  <c r="I57" i="10" s="1"/>
  <c r="I58" i="10" s="1"/>
  <c r="I59" i="10" s="1"/>
  <c r="I60" i="10" s="1"/>
  <c r="I61" i="10" s="1"/>
  <c r="I62" i="10" s="1"/>
  <c r="I63" i="10" s="1"/>
  <c r="I64" i="10" s="1"/>
  <c r="I65" i="10" s="1"/>
  <c r="I66" i="10" s="1"/>
  <c r="I67" i="10" s="1"/>
  <c r="I68" i="10" s="1"/>
  <c r="I69" i="10" s="1"/>
  <c r="X39" i="10"/>
  <c r="S46" i="10"/>
  <c r="T46" i="10"/>
  <c r="N39" i="10"/>
  <c r="N40" i="10" s="1"/>
  <c r="N41" i="10" s="1"/>
  <c r="N42" i="10" s="1"/>
  <c r="N43" i="10" s="1"/>
  <c r="N44" i="10" s="1"/>
  <c r="N45" i="10" s="1"/>
  <c r="N46" i="10" s="1"/>
  <c r="N47" i="10" s="1"/>
  <c r="N48" i="10" s="1"/>
  <c r="N49" i="10" s="1"/>
  <c r="N50" i="10" s="1"/>
  <c r="N101" i="10"/>
  <c r="N102" i="10" s="1"/>
  <c r="L54" i="10"/>
  <c r="J87" i="10"/>
  <c r="J88" i="10" s="1"/>
  <c r="J89" i="10" s="1"/>
  <c r="J90" i="10" s="1"/>
  <c r="J91" i="10" s="1"/>
  <c r="J100" i="10"/>
  <c r="J101" i="10" s="1"/>
  <c r="J102" i="10" s="1"/>
  <c r="G136" i="10"/>
  <c r="L51" i="10"/>
  <c r="F76" i="10"/>
  <c r="F77" i="10" s="1"/>
  <c r="F78" i="10" s="1"/>
  <c r="F79" i="10" s="1"/>
  <c r="F80" i="10" s="1"/>
  <c r="F81" i="10" s="1"/>
  <c r="F82" i="10" s="1"/>
  <c r="F83" i="10" s="1"/>
  <c r="R40" i="10" s="1"/>
  <c r="G76" i="10"/>
  <c r="I120" i="10"/>
  <c r="I121" i="10" s="1"/>
  <c r="I122" i="10" s="1"/>
  <c r="I123" i="10" s="1"/>
  <c r="I124" i="10" s="1"/>
  <c r="I125" i="10" s="1"/>
  <c r="I126" i="10" s="1"/>
  <c r="I127" i="10" s="1"/>
  <c r="I128" i="10" s="1"/>
  <c r="F133" i="10"/>
  <c r="F134" i="10" s="1"/>
  <c r="F135" i="10" s="1"/>
  <c r="F136" i="10" s="1"/>
  <c r="F137" i="10" s="1"/>
  <c r="F138" i="10" s="1"/>
  <c r="F139" i="10" s="1"/>
  <c r="F140" i="10" s="1"/>
  <c r="F141" i="10" s="1"/>
  <c r="R57" i="10" s="1"/>
  <c r="J120" i="10"/>
  <c r="J121" i="10" s="1"/>
  <c r="J122" i="10" s="1"/>
  <c r="J123" i="10" s="1"/>
  <c r="J124" i="10" s="1"/>
  <c r="J125" i="10" s="1"/>
  <c r="J126" i="10" s="1"/>
  <c r="J127" i="10" s="1"/>
  <c r="J128" i="10" s="1"/>
  <c r="G133" i="10"/>
  <c r="Y39" i="10"/>
  <c r="L89" i="10"/>
  <c r="U43" i="10" s="1"/>
  <c r="G110" i="10"/>
  <c r="G125" i="10"/>
  <c r="H92" i="10"/>
  <c r="G107" i="10"/>
  <c r="G79" i="10"/>
  <c r="U40" i="10"/>
  <c r="B16" i="5"/>
  <c r="D139" i="6"/>
  <c r="D126" i="6"/>
  <c r="E126" i="6"/>
  <c r="F126" i="6"/>
  <c r="H126" i="6"/>
  <c r="I126" i="6"/>
  <c r="J126" i="6"/>
  <c r="L126" i="6"/>
  <c r="M126" i="6"/>
  <c r="N126" i="6"/>
  <c r="D127" i="6"/>
  <c r="E127" i="6"/>
  <c r="F127" i="6"/>
  <c r="E133" i="6" s="1"/>
  <c r="H127" i="6"/>
  <c r="I127" i="6"/>
  <c r="J127" i="6"/>
  <c r="I133" i="6" s="1"/>
  <c r="L127" i="6"/>
  <c r="M127" i="6"/>
  <c r="N127" i="6"/>
  <c r="M133" i="6" s="1"/>
  <c r="D128" i="6"/>
  <c r="E128" i="6"/>
  <c r="F128" i="6"/>
  <c r="E134" i="6" s="1"/>
  <c r="H128" i="6"/>
  <c r="I128" i="6"/>
  <c r="J128" i="6"/>
  <c r="I134" i="6" s="1"/>
  <c r="L128" i="6"/>
  <c r="M128" i="6"/>
  <c r="N128" i="6"/>
  <c r="M134" i="6" s="1"/>
  <c r="D129" i="6"/>
  <c r="E129" i="6"/>
  <c r="F129" i="6"/>
  <c r="E135" i="6" s="1"/>
  <c r="H129" i="6"/>
  <c r="I129" i="6"/>
  <c r="J129" i="6"/>
  <c r="I135" i="6" s="1"/>
  <c r="L129" i="6"/>
  <c r="M129" i="6"/>
  <c r="N129" i="6"/>
  <c r="M135" i="6" s="1"/>
  <c r="B30" i="6"/>
  <c r="C30" i="6"/>
  <c r="B31" i="6"/>
  <c r="C31" i="6"/>
  <c r="B32" i="6"/>
  <c r="C32" i="6"/>
  <c r="B33" i="6"/>
  <c r="C33" i="6"/>
  <c r="B34" i="6"/>
  <c r="C34" i="6"/>
  <c r="B35" i="6"/>
  <c r="C35" i="6"/>
  <c r="B36" i="6"/>
  <c r="C36" i="6"/>
  <c r="B37" i="6"/>
  <c r="C37" i="6"/>
  <c r="B38" i="6"/>
  <c r="C38" i="6"/>
  <c r="B39" i="6"/>
  <c r="C39" i="6"/>
  <c r="B40" i="6"/>
  <c r="C40" i="6"/>
  <c r="B41" i="6"/>
  <c r="B42" i="6"/>
  <c r="C42" i="6"/>
  <c r="B43" i="6"/>
  <c r="C43" i="6"/>
  <c r="B44" i="6"/>
  <c r="C44" i="6"/>
  <c r="B45" i="6"/>
  <c r="C45" i="6"/>
  <c r="B46" i="6"/>
  <c r="C46" i="6"/>
  <c r="B47" i="6"/>
  <c r="B48" i="6"/>
  <c r="B49" i="6"/>
  <c r="B50" i="6"/>
  <c r="B51" i="6"/>
  <c r="B52" i="6"/>
  <c r="C54" i="6"/>
  <c r="C55" i="6"/>
  <c r="C56" i="6"/>
  <c r="C57" i="6"/>
  <c r="C58" i="6"/>
  <c r="C66" i="6"/>
  <c r="C67" i="6"/>
  <c r="C68" i="6"/>
  <c r="C69" i="6"/>
  <c r="C70" i="6"/>
  <c r="C78" i="6"/>
  <c r="C79" i="6"/>
  <c r="C80" i="6"/>
  <c r="C81" i="6"/>
  <c r="C82" i="6"/>
  <c r="C90" i="6"/>
  <c r="C91" i="6"/>
  <c r="C92" i="6"/>
  <c r="C93" i="6"/>
  <c r="C94" i="6"/>
  <c r="C102" i="6"/>
  <c r="C103" i="6"/>
  <c r="C104" i="6"/>
  <c r="C105" i="6"/>
  <c r="C106" i="6"/>
  <c r="C114" i="6"/>
  <c r="C115" i="6"/>
  <c r="C116" i="6"/>
  <c r="C117" i="6"/>
  <c r="C118" i="6"/>
  <c r="L8" i="6"/>
  <c r="P55" i="2"/>
  <c r="E35" i="12"/>
  <c r="D35" i="12"/>
  <c r="E34" i="12"/>
  <c r="F34" i="12" s="1"/>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 r="D71" i="20" l="1"/>
  <c r="F71" i="20"/>
  <c r="D68" i="20"/>
  <c r="F68" i="19"/>
  <c r="F68" i="20"/>
  <c r="E68" i="20"/>
  <c r="D73" i="20" s="1"/>
  <c r="D104" i="20" s="1"/>
  <c r="D109" i="20" s="1"/>
  <c r="D71" i="19"/>
  <c r="E68" i="19"/>
  <c r="F71" i="19"/>
  <c r="D68" i="19"/>
  <c r="I87" i="16"/>
  <c r="I88" i="16" s="1"/>
  <c r="I89" i="16" s="1"/>
  <c r="I90" i="16" s="1"/>
  <c r="I91" i="16" s="1"/>
  <c r="I92" i="16" s="1"/>
  <c r="I93" i="16" s="1"/>
  <c r="I94" i="16" s="1"/>
  <c r="T57" i="16"/>
  <c r="S57" i="16"/>
  <c r="J133" i="16"/>
  <c r="J134" i="16" s="1"/>
  <c r="J135" i="16" s="1"/>
  <c r="J136" i="16" s="1"/>
  <c r="J137" i="16" s="1"/>
  <c r="J138" i="16" s="1"/>
  <c r="J139" i="16" s="1"/>
  <c r="J140" i="16" s="1"/>
  <c r="J141" i="16" s="1"/>
  <c r="J107" i="16"/>
  <c r="J108" i="16" s="1"/>
  <c r="J109" i="16" s="1"/>
  <c r="J110" i="16" s="1"/>
  <c r="J111" i="16" s="1"/>
  <c r="J112" i="16" s="1"/>
  <c r="J113" i="16" s="1"/>
  <c r="J114" i="16" s="1"/>
  <c r="J115" i="16" s="1"/>
  <c r="T50" i="16"/>
  <c r="I107" i="16"/>
  <c r="I108" i="16" s="1"/>
  <c r="I109" i="16" s="1"/>
  <c r="I110" i="16" s="1"/>
  <c r="I111" i="16" s="1"/>
  <c r="I112" i="16" s="1"/>
  <c r="I113" i="16" s="1"/>
  <c r="I114" i="16" s="1"/>
  <c r="I115" i="16" s="1"/>
  <c r="N90" i="16"/>
  <c r="N91" i="16" s="1"/>
  <c r="N92" i="16" s="1"/>
  <c r="N93" i="16" s="1"/>
  <c r="N94" i="16" s="1"/>
  <c r="W43" i="16"/>
  <c r="W44" i="16" s="1"/>
  <c r="W45" i="16" s="1"/>
  <c r="W46" i="16" s="1"/>
  <c r="W47" i="16" s="1"/>
  <c r="W48" i="16" s="1"/>
  <c r="W49" i="16" s="1"/>
  <c r="W50" i="16" s="1"/>
  <c r="W51" i="16" s="1"/>
  <c r="W52" i="16" s="1"/>
  <c r="W53" i="16" s="1"/>
  <c r="W54" i="16" s="1"/>
  <c r="W55" i="16" s="1"/>
  <c r="W56" i="16" s="1"/>
  <c r="W57" i="16" s="1"/>
  <c r="W58" i="16" s="1"/>
  <c r="W59" i="16" s="1"/>
  <c r="W60" i="16" s="1"/>
  <c r="W61" i="16" s="1"/>
  <c r="W62" i="16" s="1"/>
  <c r="W63" i="16" s="1"/>
  <c r="W64" i="16" s="1"/>
  <c r="W65" i="16" s="1"/>
  <c r="W66" i="16" s="1"/>
  <c r="W67" i="16" s="1"/>
  <c r="W68" i="16" s="1"/>
  <c r="W69" i="16" s="1"/>
  <c r="D34" i="17" s="1"/>
  <c r="D49" i="17" s="1"/>
  <c r="D50" i="17" s="1"/>
  <c r="D51" i="17" s="1"/>
  <c r="D52" i="17" s="1"/>
  <c r="S43" i="16"/>
  <c r="E52" i="15"/>
  <c r="S40" i="16"/>
  <c r="X40" i="16" s="1"/>
  <c r="X41" i="16" s="1"/>
  <c r="X42" i="16" s="1"/>
  <c r="X43" i="16" s="1"/>
  <c r="X44" i="16" s="1"/>
  <c r="X45" i="16" s="1"/>
  <c r="X46" i="16" s="1"/>
  <c r="X47" i="16" s="1"/>
  <c r="X48" i="16" s="1"/>
  <c r="X49" i="16" s="1"/>
  <c r="X50" i="16" s="1"/>
  <c r="X51" i="16" s="1"/>
  <c r="X52" i="16" s="1"/>
  <c r="X53" i="16" s="1"/>
  <c r="X54" i="16" s="1"/>
  <c r="X55" i="16" s="1"/>
  <c r="X56" i="16" s="1"/>
  <c r="T40" i="16"/>
  <c r="Y40" i="16" s="1"/>
  <c r="Y41" i="16" s="1"/>
  <c r="Y42" i="16" s="1"/>
  <c r="Y43" i="16" s="1"/>
  <c r="Y44" i="16" s="1"/>
  <c r="Y45" i="16" s="1"/>
  <c r="Y46" i="16" s="1"/>
  <c r="Y47" i="16" s="1"/>
  <c r="Y48" i="16" s="1"/>
  <c r="Y49" i="16" s="1"/>
  <c r="N133" i="16"/>
  <c r="N134" i="16" s="1"/>
  <c r="N135" i="16" s="1"/>
  <c r="N136" i="16" s="1"/>
  <c r="N137" i="16" s="1"/>
  <c r="N138" i="16" s="1"/>
  <c r="N139" i="16" s="1"/>
  <c r="N140" i="16" s="1"/>
  <c r="N141" i="16" s="1"/>
  <c r="I133" i="16"/>
  <c r="I134" i="16" s="1"/>
  <c r="I135" i="16" s="1"/>
  <c r="I136" i="16" s="1"/>
  <c r="I137" i="16" s="1"/>
  <c r="I138" i="16" s="1"/>
  <c r="I139" i="16" s="1"/>
  <c r="I140" i="16" s="1"/>
  <c r="I141" i="16" s="1"/>
  <c r="M141" i="18"/>
  <c r="M140" i="18"/>
  <c r="L139" i="18"/>
  <c r="I140" i="18"/>
  <c r="H141" i="18"/>
  <c r="I139" i="18"/>
  <c r="E139" i="18"/>
  <c r="E141" i="18"/>
  <c r="E140" i="18"/>
  <c r="N120" i="16"/>
  <c r="N121" i="16" s="1"/>
  <c r="N122" i="16" s="1"/>
  <c r="N123" i="16" s="1"/>
  <c r="N124" i="16" s="1"/>
  <c r="N125" i="16" s="1"/>
  <c r="N126" i="16" s="1"/>
  <c r="N127" i="16" s="1"/>
  <c r="N128" i="16" s="1"/>
  <c r="I120" i="16"/>
  <c r="I121" i="16" s="1"/>
  <c r="I122" i="16" s="1"/>
  <c r="I123" i="16" s="1"/>
  <c r="I124" i="16" s="1"/>
  <c r="I125" i="16" s="1"/>
  <c r="I126" i="16" s="1"/>
  <c r="I127" i="16" s="1"/>
  <c r="I128" i="16" s="1"/>
  <c r="N76" i="16"/>
  <c r="N77" i="16" s="1"/>
  <c r="N78" i="16" s="1"/>
  <c r="N79" i="16" s="1"/>
  <c r="N80" i="16" s="1"/>
  <c r="N81" i="16" s="1"/>
  <c r="N82" i="16" s="1"/>
  <c r="N83" i="16" s="1"/>
  <c r="I76" i="16"/>
  <c r="I77" i="16" s="1"/>
  <c r="I78" i="16" s="1"/>
  <c r="I79" i="16" s="1"/>
  <c r="I80" i="16" s="1"/>
  <c r="I81" i="16" s="1"/>
  <c r="I82" i="16" s="1"/>
  <c r="I83" i="16" s="1"/>
  <c r="T53" i="16"/>
  <c r="S53" i="16"/>
  <c r="S50" i="10"/>
  <c r="O138" i="10"/>
  <c r="O139" i="10" s="1"/>
  <c r="O140" i="10" s="1"/>
  <c r="O141" i="10" s="1"/>
  <c r="O44" i="10"/>
  <c r="O45" i="10" s="1"/>
  <c r="O46" i="10" s="1"/>
  <c r="O47" i="10" s="1"/>
  <c r="O48" i="10" s="1"/>
  <c r="O49" i="10" s="1"/>
  <c r="O50" i="10" s="1"/>
  <c r="O51" i="10" s="1"/>
  <c r="O52" i="10" s="1"/>
  <c r="O53" i="10" s="1"/>
  <c r="O54" i="10" s="1"/>
  <c r="O55" i="10" s="1"/>
  <c r="O56" i="10" s="1"/>
  <c r="O57" i="10" s="1"/>
  <c r="O58" i="10" s="1"/>
  <c r="O59" i="10" s="1"/>
  <c r="O60" i="10" s="1"/>
  <c r="O61" i="10" s="1"/>
  <c r="O62" i="10" s="1"/>
  <c r="O63" i="10" s="1"/>
  <c r="O64" i="10" s="1"/>
  <c r="O65" i="10" s="1"/>
  <c r="O66" i="10" s="1"/>
  <c r="O67" i="10" s="1"/>
  <c r="O68" i="10" s="1"/>
  <c r="O69" i="10" s="1"/>
  <c r="N125" i="10"/>
  <c r="N126" i="10" s="1"/>
  <c r="N127" i="10" s="1"/>
  <c r="N128" i="10" s="1"/>
  <c r="O89" i="10"/>
  <c r="O90" i="10" s="1"/>
  <c r="O91" i="10" s="1"/>
  <c r="O92" i="10" s="1"/>
  <c r="O93" i="10" s="1"/>
  <c r="O94" i="10" s="1"/>
  <c r="N51" i="10"/>
  <c r="N52" i="10" s="1"/>
  <c r="N53" i="10" s="1"/>
  <c r="N54" i="10" s="1"/>
  <c r="N55" i="10" s="1"/>
  <c r="N56" i="10" s="1"/>
  <c r="N57" i="10" s="1"/>
  <c r="N58" i="10" s="1"/>
  <c r="N59" i="10" s="1"/>
  <c r="N60" i="10" s="1"/>
  <c r="N61" i="10" s="1"/>
  <c r="N62" i="10" s="1"/>
  <c r="N63" i="10" s="1"/>
  <c r="N64" i="10" s="1"/>
  <c r="N65" i="10" s="1"/>
  <c r="N66" i="10" s="1"/>
  <c r="N67" i="10" s="1"/>
  <c r="N68" i="10" s="1"/>
  <c r="N69" i="10" s="1"/>
  <c r="I107" i="10"/>
  <c r="I108" i="10" s="1"/>
  <c r="I109" i="10" s="1"/>
  <c r="I110" i="10" s="1"/>
  <c r="I111" i="10" s="1"/>
  <c r="I112" i="10" s="1"/>
  <c r="I113" i="10" s="1"/>
  <c r="I114" i="10" s="1"/>
  <c r="I115" i="10" s="1"/>
  <c r="N107" i="10"/>
  <c r="N108" i="10" s="1"/>
  <c r="N109" i="10" s="1"/>
  <c r="N110" i="10" s="1"/>
  <c r="N111" i="10" s="1"/>
  <c r="N112" i="10" s="1"/>
  <c r="N113" i="10" s="1"/>
  <c r="N114" i="10" s="1"/>
  <c r="N115" i="10" s="1"/>
  <c r="N89" i="10"/>
  <c r="N90" i="10" s="1"/>
  <c r="N91" i="10" s="1"/>
  <c r="N92" i="10" s="1"/>
  <c r="N93" i="10" s="1"/>
  <c r="N94" i="10" s="1"/>
  <c r="T57" i="10"/>
  <c r="S57" i="10"/>
  <c r="I76" i="10"/>
  <c r="I77" i="10" s="1"/>
  <c r="I78" i="10" s="1"/>
  <c r="I79" i="10" s="1"/>
  <c r="I80" i="10" s="1"/>
  <c r="I81" i="10" s="1"/>
  <c r="I82" i="10" s="1"/>
  <c r="I83" i="10" s="1"/>
  <c r="N76" i="10"/>
  <c r="N77" i="10" s="1"/>
  <c r="N78" i="10" s="1"/>
  <c r="N79" i="10" s="1"/>
  <c r="N80" i="10" s="1"/>
  <c r="N81" i="10" s="1"/>
  <c r="N82" i="10" s="1"/>
  <c r="N83" i="10" s="1"/>
  <c r="T40" i="10"/>
  <c r="Y40" i="10" s="1"/>
  <c r="Y41" i="10" s="1"/>
  <c r="Y42" i="10" s="1"/>
  <c r="Y43" i="10" s="1"/>
  <c r="Y44" i="10" s="1"/>
  <c r="Y45" i="10" s="1"/>
  <c r="Y46" i="10" s="1"/>
  <c r="Y47" i="10" s="1"/>
  <c r="Y48" i="10" s="1"/>
  <c r="Y49" i="10" s="1"/>
  <c r="Y50" i="10" s="1"/>
  <c r="Y51" i="10" s="1"/>
  <c r="Y52" i="10" s="1"/>
  <c r="Y53" i="10" s="1"/>
  <c r="Y54" i="10" s="1"/>
  <c r="Y55" i="10" s="1"/>
  <c r="Y56" i="10" s="1"/>
  <c r="Y57" i="10" s="1"/>
  <c r="Y58" i="10" s="1"/>
  <c r="Y59" i="10" s="1"/>
  <c r="Y60" i="10" s="1"/>
  <c r="Y61" i="10" s="1"/>
  <c r="Y62" i="10" s="1"/>
  <c r="Y63" i="10" s="1"/>
  <c r="Y64" i="10" s="1"/>
  <c r="Y65" i="10" s="1"/>
  <c r="Y66" i="10" s="1"/>
  <c r="Y67" i="10" s="1"/>
  <c r="Y68" i="10" s="1"/>
  <c r="Y69" i="10" s="1"/>
  <c r="S40" i="10"/>
  <c r="X40" i="10" s="1"/>
  <c r="X41" i="10" s="1"/>
  <c r="X42" i="10" s="1"/>
  <c r="X43" i="10" s="1"/>
  <c r="X44" i="10" s="1"/>
  <c r="X45" i="10" s="1"/>
  <c r="X46" i="10" s="1"/>
  <c r="X47" i="10" s="1"/>
  <c r="X48" i="10" s="1"/>
  <c r="X49" i="10" s="1"/>
  <c r="X50" i="10" s="1"/>
  <c r="X51" i="10" s="1"/>
  <c r="X52" i="10" s="1"/>
  <c r="X53" i="10" s="1"/>
  <c r="X54" i="10" s="1"/>
  <c r="X55" i="10" s="1"/>
  <c r="X56" i="10" s="1"/>
  <c r="X57" i="10" s="1"/>
  <c r="X58" i="10" s="1"/>
  <c r="X59" i="10" s="1"/>
  <c r="X60" i="10" s="1"/>
  <c r="X61" i="10" s="1"/>
  <c r="X62" i="10" s="1"/>
  <c r="X63" i="10" s="1"/>
  <c r="X64" i="10" s="1"/>
  <c r="X65" i="10" s="1"/>
  <c r="X66" i="10" s="1"/>
  <c r="X67" i="10" s="1"/>
  <c r="X68" i="10" s="1"/>
  <c r="X69" i="10" s="1"/>
  <c r="I133" i="10"/>
  <c r="I134" i="10" s="1"/>
  <c r="I135" i="10" s="1"/>
  <c r="I136" i="10" s="1"/>
  <c r="I137" i="10" s="1"/>
  <c r="I138" i="10" s="1"/>
  <c r="I139" i="10" s="1"/>
  <c r="I140" i="10" s="1"/>
  <c r="I141" i="10" s="1"/>
  <c r="N133" i="10"/>
  <c r="N134" i="10" s="1"/>
  <c r="N135" i="10" s="1"/>
  <c r="N136" i="10" s="1"/>
  <c r="N137" i="10" s="1"/>
  <c r="N138" i="10" s="1"/>
  <c r="N139" i="10" s="1"/>
  <c r="N140" i="10" s="1"/>
  <c r="N141" i="10" s="1"/>
  <c r="J92" i="10"/>
  <c r="J93" i="10" s="1"/>
  <c r="J94" i="10" s="1"/>
  <c r="L135" i="6"/>
  <c r="H135" i="6"/>
  <c r="D135" i="6"/>
  <c r="L134" i="6"/>
  <c r="H134" i="6"/>
  <c r="D134" i="6"/>
  <c r="L133" i="6"/>
  <c r="H133" i="6"/>
  <c r="D133" i="6"/>
  <c r="P37" i="2"/>
  <c r="P17" i="2"/>
  <c r="F35" i="12"/>
  <c r="D54" i="17" l="1"/>
  <c r="F71" i="17" s="1"/>
  <c r="D73" i="19"/>
  <c r="D104" i="19" s="1"/>
  <c r="D109" i="19" s="1"/>
  <c r="X57" i="16"/>
  <c r="X58" i="16" s="1"/>
  <c r="X59" i="16" s="1"/>
  <c r="X60" i="16" s="1"/>
  <c r="X61" i="16" s="1"/>
  <c r="X62" i="16" s="1"/>
  <c r="X63" i="16" s="1"/>
  <c r="X64" i="16" s="1"/>
  <c r="X65" i="16" s="1"/>
  <c r="X66" i="16" s="1"/>
  <c r="X67" i="16" s="1"/>
  <c r="X68" i="16" s="1"/>
  <c r="X69" i="16" s="1"/>
  <c r="Y50" i="16"/>
  <c r="Y51" i="16" s="1"/>
  <c r="Y52" i="16" s="1"/>
  <c r="Y53" i="16" s="1"/>
  <c r="Y54" i="16" s="1"/>
  <c r="Y55" i="16" s="1"/>
  <c r="Y56" i="16" s="1"/>
  <c r="Y57" i="16" s="1"/>
  <c r="Y58" i="16" s="1"/>
  <c r="Y59" i="16" s="1"/>
  <c r="Y60" i="16" s="1"/>
  <c r="Y61" i="16" s="1"/>
  <c r="Y62" i="16" s="1"/>
  <c r="Y63" i="16" s="1"/>
  <c r="Y64" i="16" s="1"/>
  <c r="Y65" i="16" s="1"/>
  <c r="Y66" i="16" s="1"/>
  <c r="Y67" i="16" s="1"/>
  <c r="Y68" i="16" s="1"/>
  <c r="Y69" i="16" s="1"/>
  <c r="E139" i="6"/>
  <c r="H139" i="6"/>
  <c r="I139" i="6"/>
  <c r="L139" i="6"/>
  <c r="M139" i="6"/>
  <c r="D140" i="6"/>
  <c r="E140" i="6"/>
  <c r="H140" i="6"/>
  <c r="I140" i="6"/>
  <c r="L140" i="6"/>
  <c r="M140" i="6"/>
  <c r="D141" i="6"/>
  <c r="E141" i="6"/>
  <c r="H141" i="6"/>
  <c r="I141" i="6"/>
  <c r="L141" i="6"/>
  <c r="M141" i="6"/>
  <c r="D71" i="17" l="1"/>
  <c r="E71" i="17"/>
  <c r="E68" i="17"/>
  <c r="D68" i="17"/>
  <c r="F68" i="17"/>
  <c r="I93" i="13"/>
  <c r="I92" i="13"/>
  <c r="I91" i="13"/>
  <c r="I90" i="13"/>
  <c r="I89" i="13"/>
  <c r="I88" i="13"/>
  <c r="I87" i="13"/>
  <c r="I86" i="13"/>
  <c r="D64" i="13"/>
  <c r="E62" i="13"/>
  <c r="F62" i="13" s="1"/>
  <c r="C52" i="13"/>
  <c r="C51" i="13"/>
  <c r="D49" i="13"/>
  <c r="D47" i="13"/>
  <c r="H18" i="10"/>
  <c r="H13" i="10"/>
  <c r="D73" i="17" l="1"/>
  <c r="D104" i="17" s="1"/>
  <c r="D109" i="17" s="1"/>
  <c r="I94" i="13"/>
  <c r="D97" i="13" s="1"/>
  <c r="D106" i="13" s="1"/>
  <c r="D50" i="13"/>
  <c r="D65" i="13"/>
  <c r="E65" i="13"/>
  <c r="F65" i="13"/>
  <c r="D51" i="13" l="1"/>
  <c r="D52" i="13" l="1"/>
  <c r="D54" i="13" l="1"/>
  <c r="E71" i="13" s="1"/>
  <c r="D68" i="13" l="1"/>
  <c r="F68" i="13"/>
  <c r="F71" i="13"/>
  <c r="D71" i="13"/>
  <c r="E68" i="13"/>
  <c r="D73" i="13" l="1"/>
  <c r="D104" i="13" l="1"/>
  <c r="D109" i="13" s="1"/>
</calcChain>
</file>

<file path=xl/sharedStrings.xml><?xml version="1.0" encoding="utf-8"?>
<sst xmlns="http://schemas.openxmlformats.org/spreadsheetml/2006/main" count="3702" uniqueCount="596">
  <si>
    <t>Read Me First - Documentation for this Excel Workbook</t>
  </si>
  <si>
    <t>Date</t>
  </si>
  <si>
    <t>6C</t>
  </si>
  <si>
    <t xml:space="preserve">Description </t>
  </si>
  <si>
    <t>This Excel Workbook holds TrackR Production data on Components, Employees, WholeSale Prices</t>
  </si>
  <si>
    <t>This Excel Workbook documents the many AS-Is calculations of the Trackr manufacturing process.</t>
  </si>
  <si>
    <t>This Excel Workbook also holds the additional To-Be Calculation sheets for Team Member - &lt;your name here&gt;</t>
  </si>
  <si>
    <t>The TrackR Production Data Sheets (B, F, H, J, L) and As-Is Sheets (C, D, E, G, K) were developed thru Team Work</t>
  </si>
  <si>
    <t>The As-Is sheets (C, D, E, G, K) were duplicated, then modified, to make To-Be Sheets (&lt;sheet codes here&gt;)for one person's work</t>
  </si>
  <si>
    <t>The As-Is sheets (C, D, E, G, K) were not adjusted in any way during the To-Be phase of this work.</t>
  </si>
  <si>
    <t>These sheets hold calculation models of the TrackR Production business, and can be used to generate predictions</t>
  </si>
  <si>
    <t>Many cells in these sheets use values that come from other sheets, thru Vlookup, =&lt;Cell&gt;, or similar functions.</t>
  </si>
  <si>
    <t>All Core Data Values (walking speed, assembly times, costs, etc.) have Minimum and Maximum values, not just one value</t>
  </si>
  <si>
    <t>Authors Team</t>
  </si>
  <si>
    <t>To-Be Sheets Author</t>
  </si>
  <si>
    <t>Short Forms</t>
  </si>
  <si>
    <t>Prodn</t>
  </si>
  <si>
    <t>Production</t>
  </si>
  <si>
    <t>Avg</t>
  </si>
  <si>
    <t>Average</t>
  </si>
  <si>
    <t>Ver</t>
  </si>
  <si>
    <t>Version</t>
  </si>
  <si>
    <t>A Prefix in Tab Names</t>
  </si>
  <si>
    <t>As-Is</t>
  </si>
  <si>
    <t>T Prefix in Tab Names</t>
  </si>
  <si>
    <t>To-Be</t>
  </si>
  <si>
    <t>P&amp;L</t>
  </si>
  <si>
    <t>Profit and Loss</t>
  </si>
  <si>
    <t>Below is the list of all the sheets included along with their authors</t>
  </si>
  <si>
    <t>Code</t>
  </si>
  <si>
    <t>Tab Name</t>
  </si>
  <si>
    <t>Full Sheet Name</t>
  </si>
  <si>
    <t>Authors</t>
  </si>
  <si>
    <t>Notes</t>
  </si>
  <si>
    <t>A</t>
  </si>
  <si>
    <t>ReadMeFirst</t>
  </si>
  <si>
    <t>B</t>
  </si>
  <si>
    <t>Components</t>
  </si>
  <si>
    <t>Components, Pricing, Inventory Location</t>
  </si>
  <si>
    <t>C</t>
  </si>
  <si>
    <t>A Picking</t>
  </si>
  <si>
    <t>Picking Distances, Times, Walking Speeds</t>
  </si>
  <si>
    <t>D</t>
  </si>
  <si>
    <t>A Assembly</t>
  </si>
  <si>
    <t>TrackR Assembly, Responses to Failures, Times, Costs, Summaries</t>
  </si>
  <si>
    <t>See the videos</t>
  </si>
  <si>
    <t>E</t>
  </si>
  <si>
    <t>A P&amp;L</t>
  </si>
  <si>
    <t>As-Is Profit and Loss</t>
  </si>
  <si>
    <t>F</t>
  </si>
  <si>
    <t>Employees</t>
  </si>
  <si>
    <t>Employees, PayRates, Attitudes</t>
  </si>
  <si>
    <t>G</t>
  </si>
  <si>
    <t>A Schedule</t>
  </si>
  <si>
    <t>As-Is 8 hour Three Table Schedule for 9 Assembly Workers</t>
  </si>
  <si>
    <t>10 minutes break every hour, 30 minute lunch</t>
  </si>
  <si>
    <t>H</t>
  </si>
  <si>
    <t>WholeSale</t>
  </si>
  <si>
    <t>TrackR WholeSale Prices for 2016 to 2019</t>
  </si>
  <si>
    <t>J</t>
  </si>
  <si>
    <t>DayProdn</t>
  </si>
  <si>
    <t>Day's Production of TrackR Versions - Data Table</t>
  </si>
  <si>
    <t>K</t>
  </si>
  <si>
    <t>VerAvgProdn</t>
  </si>
  <si>
    <t>Average Daily Production of TrackR versions 2018 Q4 and 2019 Q1</t>
  </si>
  <si>
    <t>Pivot Table</t>
  </si>
  <si>
    <t>L</t>
  </si>
  <si>
    <t>POs</t>
  </si>
  <si>
    <t>Purchase Order Data for Components</t>
  </si>
  <si>
    <t>Assumptions:</t>
  </si>
  <si>
    <t>(some Assumptions are given at the top of sheets - ie Picking)</t>
  </si>
  <si>
    <t>The time period of this project work</t>
  </si>
  <si>
    <t>Choice 1</t>
  </si>
  <si>
    <t>as of now 2021</t>
  </si>
  <si>
    <t>Choice 2</t>
  </si>
  <si>
    <t>as of May 2019</t>
  </si>
  <si>
    <t>Decision</t>
  </si>
  <si>
    <t>All Components, No TrackR Version Totals</t>
  </si>
  <si>
    <t>All Components, with TrackR Version Totals</t>
  </si>
  <si>
    <t>Unit Cost</t>
  </si>
  <si>
    <t>TrackR A</t>
  </si>
  <si>
    <t>ID #</t>
  </si>
  <si>
    <t>Manufacturer</t>
  </si>
  <si>
    <t>Part Number</t>
  </si>
  <si>
    <t>Description</t>
  </si>
  <si>
    <t>TrackR Version</t>
  </si>
  <si>
    <t>Shelf</t>
  </si>
  <si>
    <t>Bay</t>
  </si>
  <si>
    <t>Min</t>
  </si>
  <si>
    <t>Max</t>
  </si>
  <si>
    <t>Mitchell’s Plastics</t>
  </si>
  <si>
    <t>MPC432119-2</t>
  </si>
  <si>
    <t xml:space="preserve">Vulcanized Rubber casing </t>
  </si>
  <si>
    <t>ABC</t>
  </si>
  <si>
    <t>MPC44422</t>
  </si>
  <si>
    <t>Rigid plastic pins</t>
  </si>
  <si>
    <t>American Vanadium</t>
  </si>
  <si>
    <t>SFLV25</t>
  </si>
  <si>
    <t>Slimflex Lithium-Vanadium printed battery</t>
  </si>
  <si>
    <t>Foxconn</t>
  </si>
  <si>
    <t>FnOFI-GN1212</t>
  </si>
  <si>
    <t>Main printed circuit board (PCB)</t>
  </si>
  <si>
    <t>Qualcomm</t>
  </si>
  <si>
    <t>BD2098733AAB</t>
  </si>
  <si>
    <t>Secure housing for orientation equipment</t>
  </si>
  <si>
    <t>BD20911131BB</t>
  </si>
  <si>
    <t>Micro-transmitter for LTE communication</t>
  </si>
  <si>
    <t>ST Microelectronics</t>
  </si>
  <si>
    <t>HG213123-221</t>
  </si>
  <si>
    <t>3-axis digital gyroscope</t>
  </si>
  <si>
    <t>STMA11233</t>
  </si>
  <si>
    <t>2-axis analogue accelerometer</t>
  </si>
  <si>
    <t>Samsung</t>
  </si>
  <si>
    <t>SS98AAIS</t>
  </si>
  <si>
    <t>18mm x 29mm OLED screen</t>
  </si>
  <si>
    <t>Sandisk</t>
  </si>
  <si>
    <t>SDMALBB3033G</t>
  </si>
  <si>
    <t>2GB FLASH NAND</t>
  </si>
  <si>
    <t>BlueGiga</t>
  </si>
  <si>
    <t>BLE112</t>
  </si>
  <si>
    <t>Bluetooth 4.0 low energy chipset</t>
  </si>
  <si>
    <t>Banda Bracelets (HK) Ltd.</t>
  </si>
  <si>
    <t>LS1121</t>
  </si>
  <si>
    <t>Plastic wrist strap</t>
  </si>
  <si>
    <t>LS1124</t>
  </si>
  <si>
    <t>Leather wrist strap</t>
  </si>
  <si>
    <t>KK433</t>
  </si>
  <si>
    <t>LS1128</t>
  </si>
  <si>
    <t>Gold expansion strap</t>
  </si>
  <si>
    <t>Total</t>
  </si>
  <si>
    <t>KK425</t>
  </si>
  <si>
    <t>Economy TrackR Packaging</t>
  </si>
  <si>
    <t>Standard TrackR packaging</t>
  </si>
  <si>
    <t>KK438</t>
  </si>
  <si>
    <t>DeLuxe TrackR packaging</t>
  </si>
  <si>
    <t>TrackR B</t>
  </si>
  <si>
    <t>Increase max to 5%</t>
  </si>
  <si>
    <t>TrackR C</t>
  </si>
  <si>
    <t>Data Sources</t>
  </si>
  <si>
    <t>The distance data in this table comes from:</t>
  </si>
  <si>
    <t>Assumptions</t>
  </si>
  <si>
    <t>Issue</t>
  </si>
  <si>
    <t>Options #</t>
  </si>
  <si>
    <t>Chosen</t>
  </si>
  <si>
    <t>Notes and Sources of Knowledge</t>
  </si>
  <si>
    <t>What is the Slow Walking Speed for Picking?</t>
  </si>
  <si>
    <t>m/sec</t>
  </si>
  <si>
    <t>Tired persons walking at the end of the shift</t>
  </si>
  <si>
    <t>take the standard value from google</t>
  </si>
  <si>
    <t>What is the Fast Walking Speed for Picking?</t>
  </si>
  <si>
    <t>Persons walking at the start of the shift</t>
  </si>
  <si>
    <t>What is the time spent picking up a part from a shelf's bay, after a person has walked and is standing in front of it?</t>
  </si>
  <si>
    <t>seconds</t>
  </si>
  <si>
    <t>Additional Process Knowledge</t>
  </si>
  <si>
    <t>The picking Strategy is:</t>
  </si>
  <si>
    <t>The parts closer to the production area will be picked up first and then the parts which are far from the production area will be picked up</t>
  </si>
  <si>
    <t xml:space="preserve">What is the best way to pick? </t>
  </si>
  <si>
    <t>Picking up multiple parts at the same time while also making sure no part is dropped or damaged in any way which are closer to the production area and then going for parts which are far .</t>
  </si>
  <si>
    <t>Would this be the same route used for the entire day by everyone? How boring!</t>
  </si>
  <si>
    <t xml:space="preserve"> Yes</t>
  </si>
  <si>
    <t>The OHT VP Production VP tells me that each person decides for themselves how to pick components.</t>
  </si>
  <si>
    <t>- OHT VP Production, May 16</t>
  </si>
  <si>
    <t>Calculations for Distance, Min and Max Times to pick One Set of Components in preparation for Assembly of those Components</t>
  </si>
  <si>
    <t>Component</t>
  </si>
  <si>
    <t>Distance</t>
  </si>
  <si>
    <t>- time in seconds -</t>
  </si>
  <si>
    <t>Cumulative Time (seconds)</t>
  </si>
  <si>
    <t>Pick Seq</t>
  </si>
  <si>
    <t>ID</t>
  </si>
  <si>
    <t>Part #</t>
  </si>
  <si>
    <t>(Meters)</t>
  </si>
  <si>
    <t>Slow Walk</t>
  </si>
  <si>
    <t>Fast Walk</t>
  </si>
  <si>
    <t>Pick from Shelf</t>
  </si>
  <si>
    <t>Maximum</t>
  </si>
  <si>
    <t>Minimum</t>
  </si>
  <si>
    <t> </t>
  </si>
  <si>
    <t>Total Minimum Walking and Picking Time</t>
  </si>
  <si>
    <t>Total Maximum Walking and Picking Time</t>
  </si>
  <si>
    <t>Labour Costing</t>
  </si>
  <si>
    <t>Type</t>
  </si>
  <si>
    <t>Worker Type</t>
  </si>
  <si>
    <t>Cost Per Hour</t>
  </si>
  <si>
    <t>Per Second</t>
  </si>
  <si>
    <t>What is the Walking Speed for Assemblers?</t>
  </si>
  <si>
    <t>(This is used in the Responses to Failed tests)</t>
  </si>
  <si>
    <t>Slow Walking Speed from Picking</t>
  </si>
  <si>
    <t>Average of speeds from Picking Sheet</t>
  </si>
  <si>
    <t>Fast Walking Speed from Picking</t>
  </si>
  <si>
    <t>Average of the Fast and Slow</t>
  </si>
  <si>
    <t>Who does the final shipping of the packaged TrackR's?</t>
  </si>
  <si>
    <t>Maintenance Workers</t>
  </si>
  <si>
    <t>Assembly Workers</t>
  </si>
  <si>
    <t>Someone else?</t>
  </si>
  <si>
    <t>Who keeps the replacement parts shelf stocked?</t>
  </si>
  <si>
    <t>Tug Test Process</t>
  </si>
  <si>
    <t xml:space="preserve">The assembly worker grasps the recently soldered part with a special pair of forceps, and pulls with the required amount of force, and no more. </t>
  </si>
  <si>
    <t>Newly trained assembly workers tend to fail more tug tests, because they pull with too much force. - Comment from Production Lead Hand - May 17th</t>
  </si>
  <si>
    <t>Common Calculation Factors</t>
  </si>
  <si>
    <t>Time to record a failed test for QC</t>
  </si>
  <si>
    <t>sec</t>
  </si>
  <si>
    <t>(This is done into either a log book or a computer screen on the Return Goods Shelf)</t>
  </si>
  <si>
    <t>Distance from Assembly Table to Return Goods Shelf</t>
  </si>
  <si>
    <t>meters</t>
  </si>
  <si>
    <t>Distance from Return Goods to Replacement Parts</t>
  </si>
  <si>
    <t>Distance from Return Goods Shelf to Assembly Table</t>
  </si>
  <si>
    <t>Assembly Steps - Master List</t>
  </si>
  <si>
    <t>Picking is not included in this list, and does not need to be included in this list.</t>
  </si>
  <si>
    <t>Step #</t>
  </si>
  <si>
    <t>Task</t>
  </si>
  <si>
    <t>Duration(sec)</t>
  </si>
  <si>
    <t>Total Time</t>
  </si>
  <si>
    <t>Labour Task Cost (min)</t>
  </si>
  <si>
    <t>Labour Task Cost (Max)</t>
  </si>
  <si>
    <t>Labour Cost Total to Task(min)</t>
  </si>
  <si>
    <t>Labour Cost Total to Task (Max)</t>
  </si>
  <si>
    <t>Componenent ID#</t>
  </si>
  <si>
    <t>Component Cost (Min)</t>
  </si>
  <si>
    <t>Component Cost (Max)</t>
  </si>
  <si>
    <t>All Total Cost to Task(Min)</t>
  </si>
  <si>
    <t>All Total Cost to Task (Max)</t>
  </si>
  <si>
    <t>Failure %</t>
  </si>
  <si>
    <t>Action if Test Failed</t>
  </si>
  <si>
    <t>Additional Time (sec)</t>
  </si>
  <si>
    <t>More Labour Cost (Min)</t>
  </si>
  <si>
    <t>More Labour Cost (Max)</t>
  </si>
  <si>
    <t>Extra Component Cost (Min)</t>
  </si>
  <si>
    <t>Extra Component Cost (Max)</t>
  </si>
  <si>
    <t>Total Time to Task with 1 fail and Good Repeat</t>
  </si>
  <si>
    <t>All Total Cost to Task (Min)</t>
  </si>
  <si>
    <t>Reliability</t>
  </si>
  <si>
    <t>Reliability to Task</t>
  </si>
  <si>
    <t>Unbox MPC432119-2</t>
  </si>
  <si>
    <t>Inspect MPC432119-2 Test A</t>
  </si>
  <si>
    <t>Redo Test A</t>
  </si>
  <si>
    <t>MPC44422 is slid into LS1121</t>
  </si>
  <si>
    <t>Connect LS112 to MPC432119-2</t>
  </si>
  <si>
    <t>Tug Test B</t>
  </si>
  <si>
    <t>Redo Test B</t>
  </si>
  <si>
    <t>Place SDMALBB3033G on FnOFI-GN1212</t>
  </si>
  <si>
    <t>Solder FnOFI-GN1212 to SDMALBB3033G</t>
  </si>
  <si>
    <t>Visual Examination Test C</t>
  </si>
  <si>
    <t>Redo Test C</t>
  </si>
  <si>
    <t>Clamp LS112</t>
  </si>
  <si>
    <t>Solder HG213123-221 to BD2098733AAB</t>
  </si>
  <si>
    <t xml:space="preserve">Wait to Ensure bond </t>
  </si>
  <si>
    <t>Tug Test D</t>
  </si>
  <si>
    <t>Redo Test D</t>
  </si>
  <si>
    <t>Solder BD2098733AAB on FnOFI-GN1212</t>
  </si>
  <si>
    <t>Tug Test E</t>
  </si>
  <si>
    <t>Redo Test E</t>
  </si>
  <si>
    <t>Solder STMA11233 to HG213123-221</t>
  </si>
  <si>
    <t>Tug Test F</t>
  </si>
  <si>
    <t>Slide BLE112 on FnOFI-GN1212</t>
  </si>
  <si>
    <t>Redo Test F</t>
  </si>
  <si>
    <t xml:space="preserve">Slide BD20911131BB on FnOFI-GN1212 </t>
  </si>
  <si>
    <t xml:space="preserve">Place SFLV25 </t>
  </si>
  <si>
    <t>SFLV25 is OK - Test G</t>
  </si>
  <si>
    <t xml:space="preserve">Slid SS98AAIS into MPC432119-2 </t>
  </si>
  <si>
    <t>Redo Test G</t>
  </si>
  <si>
    <t>Remove TrackR from Clamp</t>
  </si>
  <si>
    <t>Chemical Weld Assmbly</t>
  </si>
  <si>
    <t>Heat Test H</t>
  </si>
  <si>
    <t>Redo Test H</t>
  </si>
  <si>
    <t>Move to Testing PC</t>
  </si>
  <si>
    <t>Turn on TrackR</t>
  </si>
  <si>
    <t>Wait for Radio Connectivity/ Sync - Test J</t>
  </si>
  <si>
    <t>Redo Test J</t>
  </si>
  <si>
    <t>Put TrackR into Version Packaging</t>
  </si>
  <si>
    <t>Place Packed TrackR on Conveyor</t>
  </si>
  <si>
    <t>Responses to Failed Tests</t>
  </si>
  <si>
    <t>Response A</t>
  </si>
  <si>
    <t>ReDo A</t>
  </si>
  <si>
    <t>If Test A Fails - Get another MPC4321119-2 from the shelf, and inspect it.  Assume that the replacement part is OK.</t>
  </si>
  <si>
    <t>Distance (m)</t>
  </si>
  <si>
    <t>Walk to Return Goods Shelf</t>
  </si>
  <si>
    <t>Put down the Failed Part</t>
  </si>
  <si>
    <t>Record the failure</t>
  </si>
  <si>
    <t>Walk to the Replacement Parts Shelf</t>
  </si>
  <si>
    <t>Pick Up the Replacement Part</t>
  </si>
  <si>
    <t>Walk back to the Assembly Table</t>
  </si>
  <si>
    <t>Inspect MPC432119-2</t>
  </si>
  <si>
    <t>ReDo B</t>
  </si>
  <si>
    <t>If Test B Fails - Detach MPC44422, get another LS112 from the shelf, and repeat the assembly steps</t>
  </si>
  <si>
    <t>Connect LS1121 to MPC432119-2</t>
  </si>
  <si>
    <t>ReDo C</t>
  </si>
  <si>
    <t>Response C</t>
  </si>
  <si>
    <t>If Test C Fails - Board must be cleaned of old solder and soldered again properly</t>
  </si>
  <si>
    <t>Clean old solder on board</t>
  </si>
  <si>
    <t>ReDo D</t>
  </si>
  <si>
    <t>Response D</t>
  </si>
  <si>
    <t>If Test D Fails - Dispose Component HG213123-221 and record as porduct waste</t>
  </si>
  <si>
    <t>Clean-up</t>
  </si>
  <si>
    <t>ReDO E</t>
  </si>
  <si>
    <t>Response E</t>
  </si>
  <si>
    <t>If Test E Fails - Dispose Component BD2098733AAB and record as product waste</t>
  </si>
  <si>
    <t>ReDo F</t>
  </si>
  <si>
    <t>Response F</t>
  </si>
  <si>
    <t>If Test F Fails - Dispose Component STMA11233 and record as product waste</t>
  </si>
  <si>
    <t>As-Is Profit And loss</t>
  </si>
  <si>
    <t>Is the Final Testing time included in the Assembly time (Calc Factor 1) for this model?</t>
  </si>
  <si>
    <t>No</t>
  </si>
  <si>
    <t>Directed by the Senior BA</t>
  </si>
  <si>
    <t>*** Final Testing is Done at the 4th Assembly Table ***</t>
  </si>
  <si>
    <t>Yes</t>
  </si>
  <si>
    <t>Should the production limit per day be built into this Calculation Model?</t>
  </si>
  <si>
    <t>** See point 1 in Additional Process Knowledge ***</t>
  </si>
  <si>
    <t>Are shipping costs included in this model?</t>
  </si>
  <si>
    <t>Shipping is Paid back by the TrackR Buyer</t>
  </si>
  <si>
    <t>Current policy - Daily Limit of TrackR Production</t>
  </si>
  <si>
    <t>OHT will not build more TrackR's that it can sell in one day.  In fact, it doesn't build a TRackR until it has an order for that TrackR.</t>
  </si>
  <si>
    <t>So, when enough TrackR's are built to meet orders, then production stops.</t>
  </si>
  <si>
    <t>Source - OHT Production VP - May 16</t>
  </si>
  <si>
    <t>Current Policy - Picking of Components, and then Assembly</t>
  </si>
  <si>
    <t>Each Assembly worker - Lead Hand or not - walks and picks the needed components for one TrackR,</t>
  </si>
  <si>
    <t>and then, when an Assembly Table is available, steps to the assembly table</t>
  </si>
  <si>
    <t>and proceeds to perform all necessary actions and tests to asemble a Good TrackR.</t>
  </si>
  <si>
    <t>All 3 Assembly Tables must be used continually until the daily limit is met</t>
  </si>
  <si>
    <t>So, often persons are standing still, with their picked components, waiting for an assembly table.</t>
  </si>
  <si>
    <t>Average Time for one worker to assemble and test one TrackR</t>
  </si>
  <si>
    <t>Minutes</t>
  </si>
  <si>
    <t>Average Time for one worker to pick one set of TrackR components, for one version</t>
  </si>
  <si>
    <t>Hours of shift per day</t>
  </si>
  <si>
    <t>Hours</t>
  </si>
  <si>
    <t>Number of Assembly Tables in Use</t>
  </si>
  <si>
    <t>Tables</t>
  </si>
  <si>
    <t>Number of Shifts Per Day</t>
  </si>
  <si>
    <t>Shifts</t>
  </si>
  <si>
    <t>Failure Rate of Final Test</t>
  </si>
  <si>
    <t>Failure Rate of Heat Test</t>
  </si>
  <si>
    <t>Marketing Cost per TrackR (income for the Marketing Group)</t>
  </si>
  <si>
    <t>TrackR Production - Profit and Loss Estimate Model</t>
  </si>
  <si>
    <t>Gross Income Per Average Day</t>
  </si>
  <si>
    <t>Productive Work Time per hour (1 - Maintenance Time)</t>
  </si>
  <si>
    <t>Hours shift per day</t>
  </si>
  <si>
    <t>TrackRs made per hour Per Table</t>
  </si>
  <si>
    <t>TrackRs per Hour</t>
  </si>
  <si>
    <t>TrackRs made per Table Per Shift</t>
  </si>
  <si>
    <t>TrackRs per Shift</t>
  </si>
  <si>
    <t>TrackR</t>
  </si>
  <si>
    <t>Defective Rate (failing either the final or Heat tests)</t>
  </si>
  <si>
    <t>Good TrackRs built per day</t>
  </si>
  <si>
    <t>Gross Profit (Good TrackR's * WholeSale Price) per Day</t>
  </si>
  <si>
    <t xml:space="preserve">  is not calculated, because of the need to calculate for 3 versions</t>
  </si>
  <si>
    <t>Wholesale price of TrackR for 2019 Qtr 1</t>
  </si>
  <si>
    <t>Component Cost of One TrackR</t>
  </si>
  <si>
    <t xml:space="preserve">Marketing Cost </t>
  </si>
  <si>
    <t>126 days in 6 months</t>
  </si>
  <si>
    <t>Daily TrackR Built for 2018 Qtr 4 and 2019 Qtr 1</t>
  </si>
  <si>
    <t>Percentage of TrackR Version Built per Day</t>
  </si>
  <si>
    <t>Profit Per Good TrackR</t>
  </si>
  <si>
    <t>Net Income Per Average Day</t>
  </si>
  <si>
    <t>Net Profit per TrackR Version for "Good TrackRs Built Per Day"</t>
  </si>
  <si>
    <t>( Net Profit = Gross Profit - Component Costs - Marketing Costs )</t>
  </si>
  <si>
    <t>Less: Component Costs of Failed TRackR's that were built</t>
  </si>
  <si>
    <t>Total Net Profit for Good TrackR's of 3 Versions per Day</t>
  </si>
  <si>
    <t>Direct Labour Costs Per Day</t>
  </si>
  <si>
    <t>Payrate</t>
  </si>
  <si>
    <t>Number of Staff</t>
  </si>
  <si>
    <t>per hour</t>
  </si>
  <si>
    <t>Maintenance</t>
  </si>
  <si>
    <t>Payroll Burden</t>
  </si>
  <si>
    <t>Total Direct Labour Cost Per Day</t>
  </si>
  <si>
    <t>InDirect Labour Costs Per Day - For both TrackR and Medical Imaging</t>
  </si>
  <si>
    <t>** This should be hidden **</t>
  </si>
  <si>
    <t>Role</t>
  </si>
  <si>
    <t>Amount per hour</t>
  </si>
  <si>
    <t xml:space="preserve">Number of workers </t>
  </si>
  <si>
    <t>Hours per day</t>
  </si>
  <si>
    <t>Indirect labour expense for one day</t>
  </si>
  <si>
    <t>Team Lead</t>
  </si>
  <si>
    <t>Shift / Maintenance Manager</t>
  </si>
  <si>
    <t>QC Staff</t>
  </si>
  <si>
    <t>Product and Process Designers</t>
  </si>
  <si>
    <t>Purchasing Agents</t>
  </si>
  <si>
    <t>Shipper / Receivers</t>
  </si>
  <si>
    <t>Human Resources</t>
  </si>
  <si>
    <t>Production VP / Plant Manager</t>
  </si>
  <si>
    <t>TrackR Share of Indirect Labour Costs Per Day</t>
  </si>
  <si>
    <t>Total InDirect Labour Cost Per Day</t>
  </si>
  <si>
    <t>Other Expenses</t>
  </si>
  <si>
    <t>Plant Operational Expenses (Electricity, Water, Insurance, etc)</t>
  </si>
  <si>
    <t>per Hour</t>
  </si>
  <si>
    <t xml:space="preserve">  for TrackR</t>
  </si>
  <si>
    <t>Hours per Working Day</t>
  </si>
  <si>
    <t>Summary for 1 Day and Profit / Loss Calculations</t>
  </si>
  <si>
    <t>Net Income</t>
  </si>
  <si>
    <t>Direct Labour</t>
  </si>
  <si>
    <t>Indirect Labout</t>
  </si>
  <si>
    <t>One Day Profit / Loss</t>
  </si>
  <si>
    <t>Attitudes towards Change</t>
  </si>
  <si>
    <t>Employee #</t>
  </si>
  <si>
    <t>Years Old</t>
  </si>
  <si>
    <t>Shift</t>
  </si>
  <si>
    <t>Attitude Code</t>
  </si>
  <si>
    <t>Comments</t>
  </si>
  <si>
    <t>TrackR Prodn Staff as of Mar 22, 2019</t>
  </si>
  <si>
    <t>Count</t>
  </si>
  <si>
    <t>of Attitudes toward Change as of Mar 24, 2019</t>
  </si>
  <si>
    <t>No Change Needed</t>
  </si>
  <si>
    <t>Team Member</t>
  </si>
  <si>
    <t>Minor Tweaks / New Equipment Needed</t>
  </si>
  <si>
    <t>Team Maintenance</t>
  </si>
  <si>
    <t>Training / Work Optimization Needed</t>
  </si>
  <si>
    <t>Movement Changes Needed</t>
  </si>
  <si>
    <t>Layout (and 4,3,2) Changes Needed</t>
  </si>
  <si>
    <t>Total New facility needed</t>
  </si>
  <si>
    <t>Pay Rates without Company Taxes Burden</t>
  </si>
  <si>
    <t>Division</t>
  </si>
  <si>
    <t>Amount</t>
  </si>
  <si>
    <t>Per</t>
  </si>
  <si>
    <t>CDL</t>
  </si>
  <si>
    <t>as needed</t>
  </si>
  <si>
    <t>Quality Control Tech</t>
  </si>
  <si>
    <t>Days</t>
  </si>
  <si>
    <t>** Options - Different Worker Letters</t>
  </si>
  <si>
    <t>What is the time that one worker spends assembling a TrackR?</t>
  </si>
  <si>
    <t>minutes</t>
  </si>
  <si>
    <t>see assembly calculation</t>
  </si>
  <si>
    <t>What is the time that one worker spends picking a TrackR?</t>
  </si>
  <si>
    <t>less than assembly time</t>
  </si>
  <si>
    <t>The final test in Assembly is done at Table #4.  Should this be in the model?</t>
  </si>
  <si>
    <t>2 - No</t>
  </si>
  <si>
    <t>The current policy is that every worker gets, at minimum, 10 minutes of break in every hour</t>
  </si>
  <si>
    <t>The current policy is that every worker gets 30 minutes for a meal break somewhere in hours 4, 5 or 6</t>
  </si>
  <si>
    <t>The current policy of 10 minute breaks every hour is to allow time for washroom, short snack, or relief from focused assembly work</t>
  </si>
  <si>
    <t>** Is walking to pick more components not a break from focused assembly? **</t>
  </si>
  <si>
    <t>Time Interval for model below</t>
  </si>
  <si>
    <t>Table</t>
  </si>
  <si>
    <t>Hour</t>
  </si>
  <si>
    <t>Minute</t>
  </si>
  <si>
    <t>Assembling</t>
  </si>
  <si>
    <t>Picking</t>
  </si>
  <si>
    <t>Standby</t>
  </si>
  <si>
    <t>I</t>
  </si>
  <si>
    <t>Summary:</t>
  </si>
  <si>
    <t>Time Analysis in Total Hours</t>
  </si>
  <si>
    <t>Productive</t>
  </si>
  <si>
    <t>Time Analysis in Percentages</t>
  </si>
  <si>
    <t>From the Senior BA:  Get data from TrackR Data Generation</t>
  </si>
  <si>
    <t>of the Wholesale Price of TrackR's for 2019 Q1 for All Versions</t>
  </si>
  <si>
    <t>This wholesale price per TrackR is the Production Facillity's income!</t>
  </si>
  <si>
    <t>SalesYear</t>
  </si>
  <si>
    <t>SalesQtr</t>
  </si>
  <si>
    <t>Row Labels</t>
  </si>
  <si>
    <t>Sum of WholeSalePrice</t>
  </si>
  <si>
    <t>Trackr A</t>
  </si>
  <si>
    <t>Trackr B</t>
  </si>
  <si>
    <t>Trackr C</t>
  </si>
  <si>
    <t>Grand Total</t>
  </si>
  <si>
    <t>of the Daily Production for Each TrackR Version for 2018 Q4 and 2019 Q1</t>
  </si>
  <si>
    <t>BuildYear</t>
  </si>
  <si>
    <t>BuildQtr</t>
  </si>
  <si>
    <t>Sum of Quantity</t>
  </si>
  <si>
    <t>From the Senior BA:  Looking for Pivot Table here</t>
  </si>
  <si>
    <t>of the Average Daily Production for Each TrackR Version for 2018 Q4 and 2019 Q1</t>
  </si>
  <si>
    <t>Average of Quantity</t>
  </si>
  <si>
    <t>ITEM #</t>
  </si>
  <si>
    <t>DESCRIPTION</t>
  </si>
  <si>
    <t>QTY</t>
  </si>
  <si>
    <t>UNIT PRICE</t>
  </si>
  <si>
    <t>TOTAL</t>
  </si>
  <si>
    <t>Date Of Order</t>
  </si>
  <si>
    <t>PO #</t>
  </si>
  <si>
    <t>REQUISITIONER</t>
  </si>
  <si>
    <t>SHIP VIA</t>
  </si>
  <si>
    <t>F.O.B.</t>
  </si>
  <si>
    <t>SHIPPING TERMS</t>
  </si>
  <si>
    <t>SS98AA1S</t>
  </si>
  <si>
    <t>18mm x 29mm OLED screen *REFURB</t>
  </si>
  <si>
    <t>T. Abhir</t>
  </si>
  <si>
    <t>Canada Post</t>
  </si>
  <si>
    <t>AB12649</t>
  </si>
  <si>
    <t>C.O.D.</t>
  </si>
  <si>
    <t>SS89BB2S</t>
  </si>
  <si>
    <t>89mm x 49mm LED screen</t>
  </si>
  <si>
    <t>SG32VD3G</t>
  </si>
  <si>
    <t>22mm x 43mm PDP screen</t>
  </si>
  <si>
    <t>SD43QCR4</t>
  </si>
  <si>
    <t>43mm x 89mm LCD screen</t>
  </si>
  <si>
    <t>HG213213-221</t>
  </si>
  <si>
    <t>3-axis analogue gyroscope XT35</t>
  </si>
  <si>
    <t>FEDEX</t>
  </si>
  <si>
    <t>3-axis digital gyroscope XT98</t>
  </si>
  <si>
    <t>HG231123-221</t>
  </si>
  <si>
    <t>3-axis digital accelerometer XT89</t>
  </si>
  <si>
    <t>STMA12133</t>
  </si>
  <si>
    <t>2-axis digital accelerometer</t>
  </si>
  <si>
    <t>STMA111233</t>
  </si>
  <si>
    <t>2-axis analogue acceleraX89$g</t>
  </si>
  <si>
    <t>SVLV25</t>
  </si>
  <si>
    <t>Purolator</t>
  </si>
  <si>
    <t>AB2232</t>
  </si>
  <si>
    <t>SVLR35</t>
  </si>
  <si>
    <t>Slimflex Ion-Lithium battery</t>
  </si>
  <si>
    <t>SFFLV22</t>
  </si>
  <si>
    <t>Slimflex Phosphate-Vanadium printed battery</t>
  </si>
  <si>
    <t>BVFL25</t>
  </si>
  <si>
    <t>Slimflex Phosphate-Magnesium battery</t>
  </si>
  <si>
    <t>PUROLATOR</t>
  </si>
  <si>
    <t>BD2099733AAB</t>
  </si>
  <si>
    <t>Micro Bluetooth transmitter</t>
  </si>
  <si>
    <t>AB2468</t>
  </si>
  <si>
    <t>BD209111131BB</t>
  </si>
  <si>
    <t>Micro-transmitter for 3G communication</t>
  </si>
  <si>
    <t>BD21111132BD</t>
  </si>
  <si>
    <t>PCB housing</t>
  </si>
  <si>
    <t>QC0334542BGD</t>
  </si>
  <si>
    <t>Snapdragon 800</t>
  </si>
  <si>
    <t>BD348279555AC</t>
  </si>
  <si>
    <t>Micro-transmitter for X7 LTE modem</t>
  </si>
  <si>
    <t>Mitchell's Plastics</t>
  </si>
  <si>
    <t>Vulcanized Rubber casing</t>
  </si>
  <si>
    <t>Packing Foam</t>
  </si>
  <si>
    <t>0.05$</t>
  </si>
  <si>
    <t>A423232</t>
  </si>
  <si>
    <t>Packing Slip</t>
  </si>
  <si>
    <t>Packaging</t>
  </si>
  <si>
    <t>71.2$</t>
  </si>
  <si>
    <t>FnOFI-OM212</t>
  </si>
  <si>
    <t>7.706.40 $</t>
  </si>
  <si>
    <t>FnOFI-GM1212</t>
  </si>
  <si>
    <t>9.838.76 $</t>
  </si>
  <si>
    <t>PnOFI-GN1242</t>
  </si>
  <si>
    <t>19.882.95 $</t>
  </si>
  <si>
    <t>21.810.45 $</t>
  </si>
  <si>
    <t>FnO0FI-GN7212</t>
  </si>
  <si>
    <t>117.988.84 $</t>
  </si>
  <si>
    <t>VnOFI-GN7212</t>
  </si>
  <si>
    <t>17.174.12$</t>
  </si>
  <si>
    <t>FnOFI-GN1213</t>
  </si>
  <si>
    <t>37.78$</t>
  </si>
  <si>
    <t>Misc [Mystery] Packaging Materials</t>
  </si>
  <si>
    <t>200$</t>
  </si>
  <si>
    <t>Row</t>
  </si>
  <si>
    <t>Fixed Location</t>
  </si>
  <si>
    <t>KXQ91CZD9HD</t>
  </si>
  <si>
    <t>TJT88COB2WC</t>
  </si>
  <si>
    <t>UIH36QWQ4HW</t>
  </si>
  <si>
    <t>XWC78UDC5SC</t>
  </si>
  <si>
    <t>QTB96PHQ5WB</t>
  </si>
  <si>
    <t>NMI74BKG4GE</t>
  </si>
  <si>
    <t>AVG29VUB7SL</t>
  </si>
  <si>
    <t>VEA77BAF2MB</t>
  </si>
  <si>
    <t>GBN66GUJ8EZ</t>
  </si>
  <si>
    <t>BXB97BSC1XM</t>
  </si>
  <si>
    <t>UEG47LXG1RJ</t>
  </si>
  <si>
    <t>UNB33PKP7LX</t>
  </si>
  <si>
    <t>XKX62IWL3WU</t>
  </si>
  <si>
    <t>YZX22KZL2HF</t>
  </si>
  <si>
    <t>IBY12CDH4SL</t>
  </si>
  <si>
    <t>EWX53SED9NM</t>
  </si>
  <si>
    <t>EAE72FYU2PL</t>
  </si>
  <si>
    <t>KXK73IRZ2HX</t>
  </si>
  <si>
    <t>VKN98WXE8YV</t>
  </si>
  <si>
    <t>UDB14FSH6CA</t>
  </si>
  <si>
    <t>ZDV52XYP7TO</t>
  </si>
  <si>
    <t>CBP81TTJ9ZZ</t>
  </si>
  <si>
    <t>KNR35NZD6GR</t>
  </si>
  <si>
    <t>SYS66SEN5OX</t>
  </si>
  <si>
    <t>IFH94FFH1AW</t>
  </si>
  <si>
    <t>WTV61KZX1HD</t>
  </si>
  <si>
    <t>PSI14ZUG7YP</t>
  </si>
  <si>
    <t>IOI59NOE3RF</t>
  </si>
  <si>
    <t>DCL19DMK4GX</t>
  </si>
  <si>
    <t>GPR42GXJ2TZ</t>
  </si>
  <si>
    <t>JHO44ISY9ED</t>
  </si>
  <si>
    <t>OZC72CMZ8WX</t>
  </si>
  <si>
    <t>MDP63HQH1YP</t>
  </si>
  <si>
    <t>ZEU24SQG6UA</t>
  </si>
  <si>
    <t>NMX53TOK5UB</t>
  </si>
  <si>
    <t>VDH12RUL7JT</t>
  </si>
  <si>
    <t>WNC89MPT8OR</t>
  </si>
  <si>
    <t>ILV42BNA8CO</t>
  </si>
  <si>
    <t>CBQ56OEO7AQ</t>
  </si>
  <si>
    <t>HCC81GBV6CA</t>
  </si>
  <si>
    <t>XKU43PZH8ZY</t>
  </si>
  <si>
    <t>PUQ55DVU2YT</t>
  </si>
  <si>
    <t>VHN44PGP3FT</t>
  </si>
  <si>
    <t>OYX53IEQ4SX</t>
  </si>
  <si>
    <t>TBE46HWQ8VP</t>
  </si>
  <si>
    <t>RNN73OKP9XR</t>
  </si>
  <si>
    <t>YAU44NWF2PW</t>
  </si>
  <si>
    <t>HQO23PLY1SX</t>
  </si>
  <si>
    <t>WAA72WHV9DB</t>
  </si>
  <si>
    <t>SNC13ELZ5LU</t>
  </si>
  <si>
    <t>BDE91XMS5AB</t>
  </si>
  <si>
    <t>EGI91LPQ4OS</t>
  </si>
  <si>
    <t>SKM76JEA5VJ</t>
  </si>
  <si>
    <t>LFR43NBR8HV</t>
  </si>
  <si>
    <t>Column1</t>
  </si>
  <si>
    <t>All Total Cost to Task (max)2</t>
  </si>
  <si>
    <t>Product Code</t>
  </si>
  <si>
    <t>Daily Average Production</t>
  </si>
  <si>
    <t>Fast Time for one worker to assemble and test one TrackR</t>
  </si>
  <si>
    <t>Testing/Packaging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</si>
</sst>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quot;$&quot;#,##0;[Red]\-&quot;$&quot;#,##0"/>
    <numFmt numFmtId="165" formatCode="_-&quot;$&quot;* #,##0.00_-;\-&quot;$&quot;* #,##0.00_-;_-&quot;$&quot;* &quot;-&quot;??_-;_-@_-"/>
    <numFmt numFmtId="166" formatCode="_-[$$-1009]* #,##0.00_-;\-[$$-1009]* #,##0.00_-;_-[$$-1009]* &quot;-&quot;??_-;_-@_-"/>
    <numFmt numFmtId="167" formatCode="0.0%"/>
    <numFmt numFmtId="168" formatCode="&quot;$&quot;#,##0.00"/>
    <numFmt numFmtId="169" formatCode="0.0"/>
  </numFmts>
  <fonts count="20" x14ac:knownFonts="1">
    <font>
      <sz val="11"/>
      <color theme="1"/>
      <name val="Calibri"/>
      <family val="2"/>
      <scheme val="minor"/>
    </font>
    <font>
      <b/>
      <sz val="11"/>
      <color theme="1"/>
      <name val="Calibri"/>
      <family val="2"/>
      <scheme val="minor"/>
    </font>
    <font>
      <b/>
      <sz val="14"/>
      <color theme="1"/>
      <name val="Calibri"/>
      <family val="2"/>
      <scheme val="minor"/>
    </font>
    <font>
      <sz val="16"/>
      <color theme="1"/>
      <name val="Calibri"/>
      <family val="2"/>
      <scheme val="minor"/>
    </font>
    <font>
      <sz val="11"/>
      <color theme="1"/>
      <name val="Calibri"/>
      <family val="2"/>
      <scheme val="minor"/>
    </font>
    <font>
      <b/>
      <sz val="15"/>
      <color theme="3"/>
      <name val="Calibri"/>
      <family val="2"/>
      <scheme val="minor"/>
    </font>
    <font>
      <sz val="11"/>
      <color rgb="FFFA7D00"/>
      <name val="Calibri"/>
      <family val="2"/>
      <scheme val="minor"/>
    </font>
    <font>
      <b/>
      <sz val="15"/>
      <color theme="5"/>
      <name val="Calibri"/>
      <family val="2"/>
      <scheme val="minor"/>
    </font>
    <font>
      <sz val="11"/>
      <name val="Calibri"/>
      <family val="2"/>
      <scheme val="minor"/>
    </font>
    <font>
      <b/>
      <sz val="10"/>
      <color indexed="9"/>
      <name val="Calibri Light"/>
      <family val="2"/>
      <scheme val="major"/>
    </font>
    <font>
      <sz val="10"/>
      <name val="Calibri"/>
      <family val="2"/>
      <scheme val="minor"/>
    </font>
    <font>
      <b/>
      <sz val="11"/>
      <color theme="0"/>
      <name val="Calibri"/>
      <family val="2"/>
      <scheme val="minor"/>
    </font>
    <font>
      <sz val="11"/>
      <color rgb="FF000000"/>
      <name val="Calibri"/>
      <family val="2"/>
    </font>
    <font>
      <sz val="11"/>
      <color rgb="FF444444"/>
      <name val="Calibri"/>
      <family val="2"/>
      <scheme val="minor"/>
    </font>
    <font>
      <sz val="11"/>
      <color rgb="FF000000"/>
      <name val="Calibri"/>
      <family val="2"/>
    </font>
    <font>
      <b/>
      <sz val="11"/>
      <color rgb="FF000000"/>
      <name val="Calibri"/>
      <family val="2"/>
    </font>
    <font>
      <sz val="11"/>
      <color rgb="FF444444"/>
      <name val="Calibri"/>
      <family val="2"/>
    </font>
    <font>
      <sz val="11"/>
      <color rgb="FF000000"/>
      <name val="Calibri"/>
      <family val="2"/>
      <scheme val="minor"/>
    </font>
    <font>
      <sz val="11"/>
      <color rgb="FF000000"/>
      <name val="Calibri"/>
      <family val="2"/>
    </font>
    <font>
      <sz val="11"/>
      <color indexed="8"/>
      <name val="Calibri"/>
      <family val="2"/>
    </font>
  </fonts>
  <fills count="10">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6"/>
        <bgColor theme="6"/>
      </patternFill>
    </fill>
    <fill>
      <patternFill patternType="solid">
        <fgColor theme="6" tint="0.79998168889431442"/>
        <bgColor theme="6" tint="0.79998168889431442"/>
      </patternFill>
    </fill>
    <fill>
      <patternFill patternType="solid">
        <fgColor theme="0" tint="-0.34998626667073579"/>
        <bgColor indexed="64"/>
      </patternFill>
    </fill>
    <fill>
      <patternFill patternType="solid">
        <fgColor rgb="FFEDEDED"/>
        <bgColor rgb="FFEDEDED"/>
      </patternFill>
    </fill>
    <fill>
      <patternFill patternType="solid">
        <fgColor rgb="FFEDEDED"/>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ck">
        <color theme="4"/>
      </bottom>
      <diagonal/>
    </border>
    <border>
      <left/>
      <right/>
      <top/>
      <bottom style="double">
        <color rgb="FFFF800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6" tint="0.39997558519241921"/>
      </left>
      <right/>
      <top/>
      <bottom/>
      <diagonal/>
    </border>
    <border>
      <left/>
      <right/>
      <top style="thin">
        <color theme="6" tint="0.39997558519241921"/>
      </top>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rgb="FFC9C9C9"/>
      </left>
      <right/>
      <top style="thin">
        <color rgb="FFC9C9C9"/>
      </top>
      <bottom style="thin">
        <color rgb="FFC9C9C9"/>
      </bottom>
      <diagonal/>
    </border>
    <border>
      <left/>
      <right/>
      <top style="thin">
        <color rgb="FFC9C9C9"/>
      </top>
      <bottom style="thin">
        <color rgb="FFC9C9C9"/>
      </bottom>
      <diagonal/>
    </border>
    <border>
      <left/>
      <right style="thin">
        <color rgb="FFC9C9C9"/>
      </right>
      <top style="thin">
        <color rgb="FFC9C9C9"/>
      </top>
      <bottom style="thin">
        <color rgb="FFC9C9C9"/>
      </bottom>
      <diagonal/>
    </border>
  </borders>
  <cellStyleXfs count="5">
    <xf numFmtId="0" fontId="0" fillId="0" borderId="0"/>
    <xf numFmtId="165" fontId="4" fillId="0" borderId="0" applyFont="0" applyFill="0" applyBorder="0" applyAlignment="0" applyProtection="0"/>
    <xf numFmtId="9" fontId="4" fillId="0" borderId="0" applyFont="0" applyFill="0" applyBorder="0" applyAlignment="0" applyProtection="0"/>
    <xf numFmtId="0" fontId="5" fillId="0" borderId="4" applyNumberFormat="0" applyFill="0" applyAlignment="0" applyProtection="0"/>
    <xf numFmtId="0" fontId="6" fillId="0" borderId="5" applyNumberFormat="0" applyFill="0" applyAlignment="0" applyProtection="0"/>
  </cellStyleXfs>
  <cellXfs count="119">
    <xf numFmtId="0" fontId="0" fillId="0" borderId="0" xfId="0"/>
    <xf numFmtId="0" fontId="0" fillId="0" borderId="0" xfId="0" applyAlignment="1">
      <alignment horizontal="left"/>
    </xf>
    <xf numFmtId="0" fontId="1" fillId="0" borderId="1" xfId="0" applyFont="1" applyBorder="1"/>
    <xf numFmtId="0" fontId="0" fillId="0" borderId="1" xfId="0" applyBorder="1"/>
    <xf numFmtId="15" fontId="0" fillId="0" borderId="0" xfId="0" applyNumberFormat="1"/>
    <xf numFmtId="0" fontId="1" fillId="0" borderId="2" xfId="0" applyFont="1" applyBorder="1"/>
    <xf numFmtId="0" fontId="0" fillId="0" borderId="2" xfId="0" applyBorder="1"/>
    <xf numFmtId="0" fontId="0" fillId="0" borderId="0" xfId="0" applyAlignment="1">
      <alignment horizontal="left" indent="1"/>
    </xf>
    <xf numFmtId="0" fontId="0" fillId="0" borderId="0" xfId="0" applyAlignment="1">
      <alignment horizontal="left" indent="2"/>
    </xf>
    <xf numFmtId="0" fontId="2" fillId="0" borderId="0" xfId="0" applyFont="1"/>
    <xf numFmtId="0" fontId="3" fillId="0" borderId="0" xfId="0" applyFont="1"/>
    <xf numFmtId="0" fontId="0" fillId="0" borderId="3" xfId="0" applyBorder="1"/>
    <xf numFmtId="0" fontId="0" fillId="0" borderId="0" xfId="0" quotePrefix="1"/>
    <xf numFmtId="0" fontId="0" fillId="0" borderId="0" xfId="0" applyAlignment="1">
      <alignment wrapText="1"/>
    </xf>
    <xf numFmtId="0" fontId="0" fillId="0" borderId="0" xfId="0" applyAlignment="1">
      <alignment horizontal="right"/>
    </xf>
    <xf numFmtId="165" fontId="0" fillId="0" borderId="0" xfId="1" applyFont="1" applyBorder="1"/>
    <xf numFmtId="165" fontId="0" fillId="0" borderId="0" xfId="0" applyNumberFormat="1"/>
    <xf numFmtId="165" fontId="0" fillId="0" borderId="0" xfId="1" applyFont="1"/>
    <xf numFmtId="0" fontId="7" fillId="0" borderId="0" xfId="3" applyFont="1" applyBorder="1" applyAlignment="1">
      <alignment horizontal="center"/>
    </xf>
    <xf numFmtId="0" fontId="7" fillId="0" borderId="0" xfId="3" applyFont="1" applyBorder="1" applyAlignment="1">
      <alignment horizontal="left"/>
    </xf>
    <xf numFmtId="0" fontId="1" fillId="0" borderId="0" xfId="0" applyFont="1"/>
    <xf numFmtId="9" fontId="0" fillId="0" borderId="0" xfId="0" applyNumberFormat="1"/>
    <xf numFmtId="9" fontId="0" fillId="0" borderId="0" xfId="2" applyFont="1"/>
    <xf numFmtId="164" fontId="0" fillId="0" borderId="0" xfId="0" applyNumberFormat="1"/>
    <xf numFmtId="0" fontId="8" fillId="0" borderId="0" xfId="4" applyFont="1" applyBorder="1" applyAlignment="1">
      <alignment horizontal="center"/>
    </xf>
    <xf numFmtId="0" fontId="0" fillId="2" borderId="0" xfId="0" applyFill="1" applyAlignment="1">
      <alignment horizontal="center"/>
    </xf>
    <xf numFmtId="0" fontId="0" fillId="2" borderId="0" xfId="0" applyFill="1" applyAlignment="1">
      <alignment horizontal="center" wrapText="1"/>
    </xf>
    <xf numFmtId="0" fontId="0" fillId="0" borderId="0" xfId="0" applyAlignment="1">
      <alignment vertical="top" wrapText="1"/>
    </xf>
    <xf numFmtId="10" fontId="9" fillId="3" borderId="1" xfId="0" applyNumberFormat="1" applyFont="1" applyFill="1" applyBorder="1" applyAlignment="1">
      <alignment horizontal="center" vertical="center" shrinkToFit="1"/>
    </xf>
    <xf numFmtId="10" fontId="9" fillId="3" borderId="1" xfId="0" applyNumberFormat="1" applyFont="1" applyFill="1" applyBorder="1" applyAlignment="1">
      <alignment vertical="center" shrinkToFit="1"/>
    </xf>
    <xf numFmtId="0" fontId="9" fillId="3" borderId="1" xfId="0" applyFont="1" applyFill="1" applyBorder="1" applyAlignment="1">
      <alignment horizontal="center" vertical="center" shrinkToFit="1"/>
    </xf>
    <xf numFmtId="0" fontId="9" fillId="3" borderId="1" xfId="0" applyFont="1" applyFill="1" applyBorder="1" applyAlignment="1">
      <alignment vertical="center" shrinkToFit="1"/>
    </xf>
    <xf numFmtId="0" fontId="0" fillId="0" borderId="1" xfId="0" applyBorder="1" applyAlignment="1">
      <alignment horizontal="left" vertical="center"/>
    </xf>
    <xf numFmtId="0" fontId="10" fillId="0" borderId="1" xfId="0" applyFont="1" applyBorder="1" applyAlignment="1">
      <alignment horizontal="left" vertical="center"/>
    </xf>
    <xf numFmtId="43" fontId="10" fillId="0" borderId="1" xfId="0" applyNumberFormat="1" applyFont="1" applyBorder="1" applyAlignment="1">
      <alignment horizontal="left" vertical="center"/>
    </xf>
    <xf numFmtId="43" fontId="10" fillId="4" borderId="1" xfId="0" applyNumberFormat="1" applyFont="1" applyFill="1" applyBorder="1" applyAlignment="1">
      <alignment horizontal="left" vertical="center"/>
    </xf>
    <xf numFmtId="14" fontId="10" fillId="0" borderId="1" xfId="0" applyNumberFormat="1" applyFont="1" applyBorder="1" applyAlignment="1">
      <alignment horizontal="left" vertical="center"/>
    </xf>
    <xf numFmtId="0" fontId="0" fillId="6" borderId="6" xfId="0" applyFill="1" applyBorder="1"/>
    <xf numFmtId="0" fontId="0" fillId="6" borderId="7" xfId="0" applyFill="1" applyBorder="1"/>
    <xf numFmtId="0" fontId="0" fillId="0" borderId="6" xfId="0" applyBorder="1"/>
    <xf numFmtId="0" fontId="0" fillId="0" borderId="7" xfId="0" applyBorder="1"/>
    <xf numFmtId="0" fontId="0" fillId="6" borderId="0" xfId="0" applyFill="1"/>
    <xf numFmtId="0" fontId="0" fillId="0" borderId="8" xfId="0" applyBorder="1"/>
    <xf numFmtId="0" fontId="0" fillId="0" borderId="9" xfId="0" applyBorder="1"/>
    <xf numFmtId="0" fontId="0" fillId="6" borderId="9" xfId="0" applyFill="1" applyBorder="1"/>
    <xf numFmtId="166" fontId="0" fillId="0" borderId="0" xfId="0" applyNumberFormat="1"/>
    <xf numFmtId="0" fontId="11" fillId="5" borderId="10" xfId="0" applyFont="1" applyFill="1" applyBorder="1"/>
    <xf numFmtId="0" fontId="11" fillId="5" borderId="11" xfId="0" applyFont="1" applyFill="1" applyBorder="1"/>
    <xf numFmtId="0" fontId="0" fillId="0" borderId="0" xfId="0" pivotButton="1"/>
    <xf numFmtId="10" fontId="0" fillId="0" borderId="0" xfId="0" applyNumberFormat="1"/>
    <xf numFmtId="0" fontId="0" fillId="7" borderId="0" xfId="0" applyFill="1"/>
    <xf numFmtId="0" fontId="0" fillId="7" borderId="1" xfId="0" applyFill="1" applyBorder="1"/>
    <xf numFmtId="0" fontId="0" fillId="7" borderId="1" xfId="0" applyFill="1" applyBorder="1" applyAlignment="1">
      <alignment horizontal="right"/>
    </xf>
    <xf numFmtId="0" fontId="13" fillId="0" borderId="0" xfId="0" applyFont="1"/>
    <xf numFmtId="0" fontId="12" fillId="0" borderId="0" xfId="0" applyFont="1"/>
    <xf numFmtId="8" fontId="12" fillId="0" borderId="0" xfId="0" applyNumberFormat="1" applyFont="1"/>
    <xf numFmtId="0" fontId="12" fillId="0" borderId="0" xfId="0" applyFont="1" applyAlignment="1">
      <alignment wrapText="1"/>
    </xf>
    <xf numFmtId="2" fontId="12" fillId="0" borderId="0" xfId="0" applyNumberFormat="1" applyFont="1"/>
    <xf numFmtId="0" fontId="14" fillId="8" borderId="12" xfId="0" applyFont="1" applyFill="1" applyBorder="1"/>
    <xf numFmtId="0" fontId="14" fillId="8" borderId="13" xfId="0" applyFont="1" applyFill="1" applyBorder="1"/>
    <xf numFmtId="0" fontId="14" fillId="8" borderId="14" xfId="0" applyFont="1" applyFill="1" applyBorder="1"/>
    <xf numFmtId="0" fontId="14" fillId="0" borderId="0" xfId="0" applyFont="1"/>
    <xf numFmtId="0" fontId="14" fillId="0" borderId="12" xfId="0" applyFont="1" applyBorder="1"/>
    <xf numFmtId="0" fontId="14" fillId="0" borderId="13" xfId="0" applyFont="1" applyBorder="1"/>
    <xf numFmtId="0" fontId="14" fillId="0" borderId="14" xfId="0" applyFont="1" applyBorder="1"/>
    <xf numFmtId="0" fontId="15" fillId="0" borderId="0" xfId="0" applyFont="1"/>
    <xf numFmtId="2" fontId="14" fillId="0" borderId="0" xfId="0" applyNumberFormat="1" applyFont="1"/>
    <xf numFmtId="0" fontId="14" fillId="0" borderId="0" xfId="0" applyFont="1" applyAlignment="1">
      <alignment wrapText="1"/>
    </xf>
    <xf numFmtId="8" fontId="14" fillId="0" borderId="0" xfId="0" applyNumberFormat="1" applyFont="1"/>
    <xf numFmtId="167" fontId="0" fillId="0" borderId="0" xfId="0" applyNumberFormat="1"/>
    <xf numFmtId="0" fontId="16" fillId="0" borderId="0" xfId="0" quotePrefix="1" applyFont="1"/>
    <xf numFmtId="167" fontId="0" fillId="0" borderId="0" xfId="2" applyNumberFormat="1" applyFont="1"/>
    <xf numFmtId="2" fontId="14" fillId="0" borderId="0" xfId="0" applyNumberFormat="1" applyFont="1" applyAlignment="1">
      <alignment wrapText="1"/>
    </xf>
    <xf numFmtId="44" fontId="12" fillId="0" borderId="0" xfId="0" applyNumberFormat="1" applyFont="1"/>
    <xf numFmtId="168" fontId="12" fillId="0" borderId="0" xfId="0" applyNumberFormat="1" applyFont="1"/>
    <xf numFmtId="0" fontId="14" fillId="9" borderId="0" xfId="0" applyFont="1" applyFill="1"/>
    <xf numFmtId="0" fontId="14" fillId="9" borderId="0" xfId="0" applyFont="1" applyFill="1" applyAlignment="1">
      <alignment wrapText="1"/>
    </xf>
    <xf numFmtId="0" fontId="17" fillId="9" borderId="0" xfId="0" applyFont="1" applyFill="1"/>
    <xf numFmtId="0" fontId="17" fillId="9" borderId="0" xfId="0" applyFont="1" applyFill="1" applyAlignment="1">
      <alignment wrapText="1"/>
    </xf>
    <xf numFmtId="0" fontId="18" fillId="0" borderId="0" xfId="0" applyFont="1"/>
    <xf numFmtId="0" fontId="17" fillId="0" borderId="0" xfId="0" applyFont="1"/>
    <xf numFmtId="44" fontId="17" fillId="0" borderId="0" xfId="0" applyNumberFormat="1" applyFont="1" applyAlignment="1">
      <alignment wrapText="1"/>
    </xf>
    <xf numFmtId="0" fontId="17" fillId="0" borderId="0" xfId="0" applyFont="1" applyAlignment="1">
      <alignment wrapText="1"/>
    </xf>
    <xf numFmtId="44" fontId="18" fillId="0" borderId="0" xfId="0" applyNumberFormat="1" applyFont="1"/>
    <xf numFmtId="44" fontId="16" fillId="0" borderId="0" xfId="0" quotePrefix="1" applyNumberFormat="1" applyFont="1"/>
    <xf numFmtId="0" fontId="19" fillId="0" borderId="0" xfId="0" applyFont="1"/>
    <xf numFmtId="2" fontId="14" fillId="8" borderId="14" xfId="0" applyNumberFormat="1" applyFont="1" applyFill="1" applyBorder="1"/>
    <xf numFmtId="2" fontId="14" fillId="0" borderId="14" xfId="0" applyNumberFormat="1" applyFont="1" applyBorder="1"/>
    <xf numFmtId="2" fontId="15" fillId="0" borderId="0" xfId="0" applyNumberFormat="1" applyFont="1"/>
    <xf numFmtId="0" fontId="0" fillId="0" borderId="0" xfId="0" applyAlignment="1">
      <alignment horizontal="center"/>
    </xf>
    <xf numFmtId="10" fontId="0" fillId="0" borderId="0" xfId="0" applyNumberFormat="1" applyAlignment="1">
      <alignment horizontal="center"/>
    </xf>
    <xf numFmtId="165" fontId="0" fillId="0" borderId="0" xfId="1" applyFont="1" applyAlignment="1">
      <alignment horizontal="center"/>
    </xf>
    <xf numFmtId="9" fontId="0" fillId="0" borderId="0" xfId="2" applyFon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65" fontId="0" fillId="0" borderId="0" xfId="1" applyFont="1" applyBorder="1" applyAlignment="1">
      <alignment horizontal="center"/>
    </xf>
    <xf numFmtId="0" fontId="0" fillId="0" borderId="0" xfId="0" applyAlignment="1">
      <alignment horizontal="center" wrapText="1"/>
    </xf>
    <xf numFmtId="0" fontId="12" fillId="0" borderId="0" xfId="0" applyFont="1" applyAlignment="1">
      <alignment horizontal="center"/>
    </xf>
    <xf numFmtId="8" fontId="12" fillId="0" borderId="0" xfId="0" applyNumberFormat="1" applyFont="1" applyAlignment="1">
      <alignment horizontal="center"/>
    </xf>
    <xf numFmtId="44" fontId="16" fillId="0" borderId="0" xfId="0" quotePrefix="1" applyNumberFormat="1" applyFont="1" applyAlignment="1">
      <alignment horizontal="center"/>
    </xf>
    <xf numFmtId="44" fontId="12" fillId="0" borderId="0" xfId="0" applyNumberFormat="1" applyFont="1" applyAlignment="1">
      <alignment horizontal="center"/>
    </xf>
    <xf numFmtId="0" fontId="12" fillId="0" borderId="0" xfId="0" applyFont="1" applyAlignment="1">
      <alignment horizontal="center" wrapText="1"/>
    </xf>
    <xf numFmtId="2" fontId="12" fillId="0" borderId="0" xfId="0" applyNumberFormat="1" applyFont="1" applyAlignment="1">
      <alignment horizontal="center"/>
    </xf>
    <xf numFmtId="8" fontId="14" fillId="0" borderId="0" xfId="0" applyNumberFormat="1" applyFont="1" applyAlignment="1">
      <alignment horizontal="center"/>
    </xf>
    <xf numFmtId="168" fontId="12" fillId="0" borderId="0" xfId="0" applyNumberFormat="1" applyFont="1" applyAlignment="1">
      <alignment horizontal="center"/>
    </xf>
    <xf numFmtId="0" fontId="16" fillId="0" borderId="0" xfId="0" quotePrefix="1" applyFont="1" applyAlignment="1">
      <alignment horizontal="center"/>
    </xf>
    <xf numFmtId="0" fontId="14" fillId="8" borderId="12" xfId="0" applyFont="1" applyFill="1" applyBorder="1" applyAlignment="1">
      <alignment horizontal="center"/>
    </xf>
    <xf numFmtId="0" fontId="14" fillId="8" borderId="13" xfId="0" applyFont="1" applyFill="1" applyBorder="1" applyAlignment="1">
      <alignment horizontal="center"/>
    </xf>
    <xf numFmtId="169" fontId="14" fillId="8" borderId="13" xfId="0" applyNumberFormat="1" applyFont="1" applyFill="1" applyBorder="1" applyAlignment="1">
      <alignment horizontal="center"/>
    </xf>
    <xf numFmtId="0" fontId="14" fillId="0" borderId="12" xfId="0" applyFont="1" applyBorder="1" applyAlignment="1">
      <alignment horizontal="center"/>
    </xf>
    <xf numFmtId="0" fontId="14" fillId="0" borderId="13" xfId="0" applyFont="1" applyBorder="1" applyAlignment="1">
      <alignment horizontal="center"/>
    </xf>
    <xf numFmtId="169" fontId="14" fillId="0" borderId="13" xfId="0" applyNumberFormat="1" applyFont="1" applyBorder="1" applyAlignment="1">
      <alignment horizontal="center"/>
    </xf>
    <xf numFmtId="0" fontId="14" fillId="8" borderId="14" xfId="0" applyFont="1" applyFill="1" applyBorder="1" applyAlignment="1">
      <alignment horizontal="center"/>
    </xf>
    <xf numFmtId="0" fontId="14" fillId="0" borderId="14" xfId="0" applyFont="1" applyBorder="1" applyAlignment="1">
      <alignment horizontal="center"/>
    </xf>
    <xf numFmtId="169" fontId="14" fillId="8" borderId="14" xfId="0" applyNumberFormat="1" applyFont="1" applyFill="1" applyBorder="1" applyAlignment="1">
      <alignment horizontal="center"/>
    </xf>
    <xf numFmtId="169" fontId="14" fillId="0" borderId="14" xfId="0" applyNumberFormat="1" applyFont="1" applyBorder="1" applyAlignment="1">
      <alignment horizontal="center"/>
    </xf>
    <xf numFmtId="2" fontId="0" fillId="0" borderId="0" xfId="0" applyNumberFormat="1"/>
    <xf numFmtId="169" fontId="0" fillId="0" borderId="0" xfId="0" applyNumberFormat="1"/>
    <xf numFmtId="0" fontId="0" fillId="0" borderId="0" xfId="0" applyAlignment="1">
      <alignment horizontal="center"/>
    </xf>
  </cellXfs>
  <cellStyles count="5">
    <cellStyle name="Currency" xfId="1" builtinId="4"/>
    <cellStyle name="Heading 1" xfId="3" builtinId="16"/>
    <cellStyle name="Linked Cell" xfId="4" builtinId="24"/>
    <cellStyle name="Normal" xfId="0" builtinId="0"/>
    <cellStyle name="Percent" xfId="2" builtinId="5"/>
  </cellStyles>
  <dxfs count="280">
    <dxf>
      <numFmt numFmtId="13" formatCode="0%"/>
    </dxf>
    <dxf>
      <numFmt numFmtId="14" formatCode="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444444"/>
        <name val="Calibri"/>
        <charset val="1"/>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fill>
        <patternFill patternType="solid">
          <fgColor indexed="64"/>
          <bgColor rgb="FFEDEDED"/>
        </patternFill>
      </fill>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dxf>
    <dxf>
      <font>
        <color rgb="FF000000"/>
      </font>
    </dxf>
    <dxf>
      <font>
        <color rgb="FF000000"/>
      </font>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dxf>
    <dxf>
      <font>
        <color rgb="FF000000"/>
      </font>
    </dxf>
    <dxf>
      <font>
        <color rgb="FF000000"/>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dxf>
    <dxf>
      <font>
        <color rgb="FF000000"/>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color rgb="FF000000"/>
      </font>
    </dxf>
    <dxf>
      <font>
        <color rgb="FF000000"/>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dxf>
    <dxf>
      <font>
        <color rgb="FF000000"/>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fill>
        <patternFill patternType="solid">
          <fgColor indexed="64"/>
          <bgColor rgb="FFEDEDED"/>
        </patternFill>
      </fill>
      <alignment horizontal="general" vertical="bottom" textRotation="0" wrapText="1" indent="0" justifyLastLine="0" shrinkToFit="0" readingOrder="0"/>
    </dxf>
    <dxf>
      <numFmt numFmtId="13" formatCode="0%"/>
      <alignment horizontal="center" vertical="bottom" textRotation="0" indent="0" justifyLastLine="0" shrinkToFit="0" readingOrder="0"/>
    </dxf>
    <dxf>
      <numFmt numFmtId="14" formatCode="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000000"/>
        <name val="Calibri"/>
        <scheme val="none"/>
      </font>
      <numFmt numFmtId="2" formatCode="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444444"/>
        <name val="Calibri"/>
        <charset val="1"/>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fill>
        <patternFill patternType="solid">
          <fgColor indexed="64"/>
          <bgColor rgb="FFEDEDED"/>
        </patternFill>
      </fill>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dxf>
    <dxf>
      <font>
        <color rgb="FF000000"/>
      </font>
    </dxf>
    <dxf>
      <font>
        <color rgb="FF000000"/>
      </font>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dxf>
    <dxf>
      <font>
        <color rgb="FF000000"/>
      </font>
    </dxf>
    <dxf>
      <font>
        <color rgb="FF000000"/>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dxf>
    <dxf>
      <font>
        <color rgb="FF000000"/>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color rgb="FF000000"/>
      </font>
    </dxf>
    <dxf>
      <font>
        <color rgb="FF000000"/>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dxf>
    <dxf>
      <font>
        <color rgb="FF000000"/>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fill>
        <patternFill patternType="solid">
          <fgColor indexed="64"/>
          <bgColor rgb="FFEDEDED"/>
        </patternFill>
      </fill>
      <alignment horizontal="general" vertical="bottom" textRotation="0" wrapText="1" indent="0" justifyLastLine="0" shrinkToFit="0" readingOrder="0"/>
    </dxf>
    <dxf>
      <numFmt numFmtId="2" formatCode="0.00"/>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165" formatCode="_-&quot;$&quot;* #,##0.00_-;\-&quot;$&quot;* #,##0.00_-;_-&quot;$&quot;* &quot;-&quot;??_-;_-@_-"/>
    </dxf>
    <dxf>
      <numFmt numFmtId="165" formatCode="_-&quot;$&quot;* #,##0.00_-;\-&quot;$&quot;* #,##0.00_-;_-&quot;$&quot;* &quot;-&quot;??_-;_-@_-"/>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border outline="0">
        <left style="thin">
          <color theme="6" tint="0.39997558519241921"/>
        </left>
        <top style="thin">
          <color theme="6" tint="0.39997558519241921"/>
        </top>
      </border>
    </dxf>
    <dxf>
      <border outline="0">
        <bottom style="thin">
          <color theme="6" tint="0.39997558519241921"/>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1"/>
        <name val="Calibri"/>
        <family val="2"/>
        <scheme val="minor"/>
      </font>
    </dxf>
    <dxf>
      <numFmt numFmtId="165" formatCode="_-&quot;$&quot;* #,##0.00_-;\-&quot;$&quot;* #,##0.00_-;_-&quot;$&quot;* &quot;-&quot;??_-;_-@_-"/>
    </dxf>
    <dxf>
      <numFmt numFmtId="165" formatCode="_-&quot;$&quot;* #,##0.00_-;\-&quot;$&quot;* #,##0.00_-;_-&quot;$&quot;* &quot;-&quot;??_-;_-@_-"/>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border outline="0">
        <left style="thin">
          <color theme="6" tint="0.39997558519241921"/>
        </left>
        <top style="thin">
          <color theme="6" tint="0.39997558519241921"/>
        </top>
      </border>
    </dxf>
    <dxf>
      <border outline="0">
        <bottom style="thin">
          <color theme="6" tint="0.39997558519241921"/>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1"/>
        <name val="Calibri"/>
        <family val="2"/>
        <scheme val="minor"/>
      </font>
    </dxf>
    <dxf>
      <numFmt numFmtId="165" formatCode="_-&quot;$&quot;* #,##0.00_-;\-&quot;$&quot;* #,##0.00_-;_-&quot;$&quot;* &quot;-&quot;??_-;_-@_-"/>
    </dxf>
    <dxf>
      <numFmt numFmtId="165" formatCode="_-&quot;$&quot;* #,##0.00_-;\-&quot;$&quot;* #,##0.00_-;_-&quot;$&quot;* &quot;-&quot;??_-;_-@_-"/>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style="thin">
          <color theme="6" tint="0.39997558519241921"/>
        </bottom>
        <vertical/>
        <horizontal/>
      </border>
    </dxf>
    <dxf>
      <border diagonalUp="0" diagonalDown="0" outline="0">
        <left style="thin">
          <color theme="6" tint="0.39997558519241921"/>
        </left>
        <right/>
        <top/>
        <bottom/>
      </border>
    </dxf>
    <dxf>
      <font>
        <b val="0"/>
        <i val="0"/>
        <strike val="0"/>
        <condense val="0"/>
        <extend val="0"/>
        <outline val="0"/>
        <shadow val="0"/>
        <u val="none"/>
        <vertAlign val="baseline"/>
        <sz val="11"/>
        <color theme="1"/>
        <name val="Calibri"/>
        <family val="2"/>
        <scheme val="minor"/>
      </font>
      <border diagonalUp="0" diagonalDown="0">
        <left style="thin">
          <color theme="6" tint="0.39997558519241921"/>
        </left>
        <right/>
        <top style="thin">
          <color theme="6" tint="0.39997558519241921"/>
        </top>
        <bottom style="thin">
          <color theme="6" tint="0.39997558519241921"/>
        </bottom>
        <vertical/>
        <horizontal/>
      </border>
    </dxf>
    <dxf>
      <numFmt numFmtId="166" formatCode="_-[$$-1009]* #,##0.00_-;\-[$$-1009]* #,##0.00_-;_-[$$-1009]* &quot;-&quot;??_-;_-@_-"/>
    </dxf>
    <dxf>
      <numFmt numFmtId="166" formatCode="_-[$$-1009]* #,##0.00_-;\-[$$-1009]* #,##0.00_-;_-[$$-10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R-01%20Product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E:\Abhishek\Semester%204\Integrated%20Case%20Study\Project%201\DR-22%20Products%20Built+Shipp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DR-22%20Products%20Built+Shipped.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4740.437935532405" createdVersion="8" refreshedVersion="8" minRefreshableVersion="3" recordCount="60" xr:uid="{142D207A-025C-4C1F-B0B3-F0633C23C386}">
  <cacheSource type="worksheet">
    <worksheetSource ref="A1:J61" sheet="DR_01_Products" r:id="rId2"/>
  </cacheSource>
  <cacheFields count="10">
    <cacheField name="ProductID" numFmtId="0">
      <sharedItems containsSemiMixedTypes="0" containsString="0" containsNumber="1" containsInteger="1" minValue="1" maxValue="3"/>
    </cacheField>
    <cacheField name="ProductCode" numFmtId="0">
      <sharedItems count="3">
        <s v="Trackr A"/>
        <s v="Trackr B"/>
        <s v="Trackr C"/>
      </sharedItems>
    </cacheField>
    <cacheField name="ProductFullName" numFmtId="0">
      <sharedItems/>
    </cacheField>
    <cacheField name="SalesYear" numFmtId="0">
      <sharedItems containsSemiMixedTypes="0" containsString="0" containsNumber="1" containsInteger="1" minValue="2017" maxValue="2021" count="5">
        <n v="2021"/>
        <n v="2020"/>
        <n v="2019"/>
        <n v="2018"/>
        <n v="2017"/>
      </sharedItems>
    </cacheField>
    <cacheField name="SalesQtr" numFmtId="0">
      <sharedItems containsSemiMixedTypes="0" containsString="0" containsNumber="1" containsInteger="1" minValue="1" maxValue="4" count="4">
        <n v="4"/>
        <n v="3"/>
        <n v="2"/>
        <n v="1"/>
      </sharedItems>
    </cacheField>
    <cacheField name="WholeSalePrice" numFmtId="4">
      <sharedItems containsSemiMixedTypes="0" containsString="0" containsNumber="1" containsInteger="1" minValue="105" maxValue="170"/>
    </cacheField>
    <cacheField name="UnitCostOfProduction" numFmtId="4">
      <sharedItems containsSemiMixedTypes="0" containsString="0" containsNumber="1" containsInteger="1" minValue="108" maxValue="123"/>
    </cacheField>
    <cacheField name="MSRP" numFmtId="4">
      <sharedItems containsSemiMixedTypes="0" containsString="0" containsNumber="1" containsInteger="1" minValue="149" maxValue="349"/>
    </cacheField>
    <cacheField name="SalesTargetPerDay" numFmtId="0">
      <sharedItems containsSemiMixedTypes="0" containsString="0" containsNumber="1" containsInteger="1" minValue="7" maxValue="47"/>
    </cacheField>
    <cacheField name="MonthlySalesTarget" numFmtId="0">
      <sharedItems containsSemiMixedTypes="0" containsString="0" containsNumber="1" containsInteger="1" minValue="500" maxValue="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4740.439740856484" createdVersion="8" refreshedVersion="8" minRefreshableVersion="3" recordCount="4665" xr:uid="{D5D602B5-7444-401F-8615-059E8FD8C904}">
  <cacheSource type="worksheet">
    <worksheetSource ref="A1:I4666" sheet="DR_22_Products_Built_Shipped" r:id="rId2"/>
  </cacheSource>
  <cacheFields count="9">
    <cacheField name="BuildYear" numFmtId="0">
      <sharedItems containsSemiMixedTypes="0" containsString="0" containsNumber="1" containsInteger="1" minValue="2017" maxValue="2021" count="5">
        <n v="2017"/>
        <n v="2018"/>
        <n v="2019"/>
        <n v="2020"/>
        <n v="2021"/>
      </sharedItems>
    </cacheField>
    <cacheField name="BuildQtr" numFmtId="0">
      <sharedItems containsSemiMixedTypes="0" containsString="0" containsNumber="1" containsInteger="1" minValue="1" maxValue="4" count="4">
        <n v="1"/>
        <n v="2"/>
        <n v="3"/>
        <n v="4"/>
      </sharedItems>
    </cacheField>
    <cacheField name="BuildDate" numFmtId="14">
      <sharedItems containsSemiMixedTypes="0" containsNonDate="0" containsDate="1" containsString="0" minDate="2017-02-02T00:00:00" maxDate="2022-01-01T00:00:00"/>
    </cacheField>
    <cacheField name="ProductCode" numFmtId="0">
      <sharedItems count="3">
        <s v="Trackr B"/>
        <s v="Trackr A"/>
        <s v="Trackr C"/>
      </sharedItems>
    </cacheField>
    <cacheField name="Quantity" numFmtId="0">
      <sharedItems containsSemiMixedTypes="0" containsString="0" containsNumber="1" containsInteger="1" minValue="12" maxValue="67"/>
    </cacheField>
    <cacheField name="UnitSellPrice" numFmtId="4">
      <sharedItems containsSemiMixedTypes="0" containsString="0" containsNumber="1" containsInteger="1" minValue="105" maxValue="170"/>
    </cacheField>
    <cacheField name="UnitProdnCost" numFmtId="4">
      <sharedItems containsSemiMixedTypes="0" containsString="0" containsNumber="1" containsInteger="1" minValue="108" maxValue="123"/>
    </cacheField>
    <cacheField name="InvoiceID" numFmtId="0">
      <sharedItems containsSemiMixedTypes="0" containsString="0" containsNumber="1" containsInteger="1" minValue="1" maxValue="4665"/>
    </cacheField>
    <cacheField name="MinsToMake" numFmtId="0">
      <sharedItems containsSemiMixedTypes="0" containsString="0" containsNumber="1" containsInteger="1" minValue="41" maxValue="30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4740.454425578704" createdVersion="8" refreshedVersion="8" minRefreshableVersion="3" recordCount="4665" xr:uid="{7DA172ED-9926-4C36-9A42-E6F43293811A}">
  <cacheSource type="worksheet">
    <worksheetSource ref="A1:I4666" sheet="DR_22_Products_Built_Shipped" r:id="rId2"/>
  </cacheSource>
  <cacheFields count="9">
    <cacheField name="BuildYear" numFmtId="0">
      <sharedItems containsSemiMixedTypes="0" containsString="0" containsNumber="1" containsInteger="1" minValue="2017" maxValue="2021" count="5">
        <n v="2017"/>
        <n v="2018"/>
        <n v="2019"/>
        <n v="2020"/>
        <n v="2021"/>
      </sharedItems>
    </cacheField>
    <cacheField name="BuildQtr" numFmtId="0">
      <sharedItems containsSemiMixedTypes="0" containsString="0" containsNumber="1" containsInteger="1" minValue="1" maxValue="4" count="4">
        <n v="1"/>
        <n v="2"/>
        <n v="3"/>
        <n v="4"/>
      </sharedItems>
    </cacheField>
    <cacheField name="BuildDate" numFmtId="14">
      <sharedItems containsSemiMixedTypes="0" containsNonDate="0" containsDate="1" containsString="0" minDate="2017-02-02T00:00:00" maxDate="2022-01-01T00:00:00"/>
    </cacheField>
    <cacheField name="ProductCode" numFmtId="0">
      <sharedItems count="3">
        <s v="Trackr B"/>
        <s v="Trackr A"/>
        <s v="Trackr C"/>
      </sharedItems>
    </cacheField>
    <cacheField name="Quantity" numFmtId="0">
      <sharedItems containsSemiMixedTypes="0" containsString="0" containsNumber="1" containsInteger="1" minValue="12" maxValue="67"/>
    </cacheField>
    <cacheField name="UnitSellPrice" numFmtId="4">
      <sharedItems containsSemiMixedTypes="0" containsString="0" containsNumber="1" containsInteger="1" minValue="105" maxValue="170"/>
    </cacheField>
    <cacheField name="UnitProdnCost" numFmtId="4">
      <sharedItems containsSemiMixedTypes="0" containsString="0" containsNumber="1" containsInteger="1" minValue="108" maxValue="123"/>
    </cacheField>
    <cacheField name="InvoiceID" numFmtId="0">
      <sharedItems containsSemiMixedTypes="0" containsString="0" containsNumber="1" containsInteger="1" minValue="1" maxValue="4665"/>
    </cacheField>
    <cacheField name="MinsToMake" numFmtId="0">
      <sharedItems containsSemiMixedTypes="0" containsString="0" containsNumber="1" containsInteger="1" minValue="41" maxValue="3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x v="0"/>
    <s v="Personal Fitness Tracker Silver"/>
    <x v="0"/>
    <x v="0"/>
    <n v="110"/>
    <n v="110"/>
    <n v="199"/>
    <n v="15"/>
    <n v="1000"/>
  </r>
  <r>
    <n v="1"/>
    <x v="0"/>
    <s v="Personal Fitness Tracker Silver"/>
    <x v="0"/>
    <x v="1"/>
    <n v="110"/>
    <n v="110"/>
    <n v="199"/>
    <n v="15"/>
    <n v="1000"/>
  </r>
  <r>
    <n v="1"/>
    <x v="0"/>
    <s v="Personal Fitness Tracker Silver"/>
    <x v="0"/>
    <x v="2"/>
    <n v="110"/>
    <n v="110"/>
    <n v="199"/>
    <n v="15"/>
    <n v="1000"/>
  </r>
  <r>
    <n v="1"/>
    <x v="0"/>
    <s v="Personal Fitness Tracker Silver"/>
    <x v="0"/>
    <x v="3"/>
    <n v="110"/>
    <n v="110"/>
    <n v="199"/>
    <n v="15"/>
    <n v="1000"/>
  </r>
  <r>
    <n v="1"/>
    <x v="0"/>
    <s v="Personal Fitness Tracker Silver"/>
    <x v="1"/>
    <x v="0"/>
    <n v="120"/>
    <n v="110"/>
    <n v="229"/>
    <n v="19"/>
    <n v="1200"/>
  </r>
  <r>
    <n v="1"/>
    <x v="0"/>
    <s v="Personal Fitness Tracker Silver"/>
    <x v="1"/>
    <x v="1"/>
    <n v="120"/>
    <n v="110"/>
    <n v="229"/>
    <n v="19"/>
    <n v="1200"/>
  </r>
  <r>
    <n v="1"/>
    <x v="0"/>
    <s v="Personal Fitness Tracker Silver"/>
    <x v="1"/>
    <x v="2"/>
    <n v="120"/>
    <n v="110"/>
    <n v="229"/>
    <n v="19"/>
    <n v="1200"/>
  </r>
  <r>
    <n v="1"/>
    <x v="0"/>
    <s v="Personal Fitness Tracker Silver"/>
    <x v="1"/>
    <x v="3"/>
    <n v="120"/>
    <n v="110"/>
    <n v="229"/>
    <n v="19"/>
    <n v="1200"/>
  </r>
  <r>
    <n v="1"/>
    <x v="0"/>
    <s v="Personal Fitness Tracker Silver"/>
    <x v="2"/>
    <x v="0"/>
    <n v="130"/>
    <n v="118"/>
    <n v="249"/>
    <n v="25"/>
    <n v="1600"/>
  </r>
  <r>
    <n v="1"/>
    <x v="0"/>
    <s v="Personal Fitness Tracker Silver"/>
    <x v="2"/>
    <x v="1"/>
    <n v="130"/>
    <n v="118"/>
    <n v="249"/>
    <n v="25"/>
    <n v="1600"/>
  </r>
  <r>
    <n v="1"/>
    <x v="0"/>
    <s v="Personal Fitness Tracker Silver"/>
    <x v="2"/>
    <x v="2"/>
    <n v="140"/>
    <n v="118"/>
    <n v="249"/>
    <n v="25"/>
    <n v="1600"/>
  </r>
  <r>
    <n v="1"/>
    <x v="0"/>
    <s v="Personal Fitness Tracker Silver"/>
    <x v="2"/>
    <x v="3"/>
    <n v="140"/>
    <n v="118"/>
    <n v="249"/>
    <n v="25"/>
    <n v="1600"/>
  </r>
  <r>
    <n v="1"/>
    <x v="0"/>
    <s v="Personal Fitness Tracker Silver"/>
    <x v="3"/>
    <x v="0"/>
    <n v="145"/>
    <n v="118"/>
    <n v="299"/>
    <n v="31"/>
    <n v="2000"/>
  </r>
  <r>
    <n v="1"/>
    <x v="0"/>
    <s v="Personal Fitness Tracker Silver"/>
    <x v="3"/>
    <x v="1"/>
    <n v="145"/>
    <n v="118"/>
    <n v="299"/>
    <n v="31"/>
    <n v="2000"/>
  </r>
  <r>
    <n v="1"/>
    <x v="0"/>
    <s v="Personal Fitness Tracker Silver"/>
    <x v="3"/>
    <x v="2"/>
    <n v="150"/>
    <n v="118"/>
    <n v="299"/>
    <n v="31"/>
    <n v="2000"/>
  </r>
  <r>
    <n v="1"/>
    <x v="0"/>
    <s v="Personal Fitness Tracker Silver"/>
    <x v="3"/>
    <x v="3"/>
    <n v="150"/>
    <n v="118"/>
    <n v="299"/>
    <n v="31"/>
    <n v="2000"/>
  </r>
  <r>
    <n v="1"/>
    <x v="0"/>
    <s v="Personal Fitness Tracker Silver"/>
    <x v="4"/>
    <x v="0"/>
    <n v="150"/>
    <n v="118"/>
    <n v="299"/>
    <n v="31"/>
    <n v="2000"/>
  </r>
  <r>
    <n v="1"/>
    <x v="0"/>
    <s v="Personal Fitness Tracker Silver"/>
    <x v="4"/>
    <x v="1"/>
    <n v="150"/>
    <n v="118"/>
    <n v="299"/>
    <n v="31"/>
    <n v="2000"/>
  </r>
  <r>
    <n v="1"/>
    <x v="0"/>
    <s v="Personal Fitness Tracker Silver"/>
    <x v="4"/>
    <x v="2"/>
    <n v="150"/>
    <n v="118"/>
    <n v="299"/>
    <n v="31"/>
    <n v="2000"/>
  </r>
  <r>
    <n v="1"/>
    <x v="0"/>
    <s v="Personal Fitness Tracker Silver"/>
    <x v="4"/>
    <x v="3"/>
    <n v="150"/>
    <n v="118"/>
    <n v="299"/>
    <n v="47"/>
    <n v="2000"/>
  </r>
  <r>
    <n v="2"/>
    <x v="1"/>
    <s v="Personal Fitness Tracker Brown"/>
    <x v="0"/>
    <x v="0"/>
    <n v="105"/>
    <n v="108"/>
    <n v="149"/>
    <n v="15"/>
    <n v="1000"/>
  </r>
  <r>
    <n v="2"/>
    <x v="1"/>
    <s v="Personal Fitness Tracker Brown"/>
    <x v="0"/>
    <x v="1"/>
    <n v="105"/>
    <n v="108"/>
    <n v="149"/>
    <n v="15"/>
    <n v="1000"/>
  </r>
  <r>
    <n v="2"/>
    <x v="1"/>
    <s v="Personal Fitness Tracker Brown"/>
    <x v="0"/>
    <x v="2"/>
    <n v="105"/>
    <n v="108"/>
    <n v="149"/>
    <n v="15"/>
    <n v="1000"/>
  </r>
  <r>
    <n v="2"/>
    <x v="1"/>
    <s v="Personal Fitness Tracker Brown"/>
    <x v="0"/>
    <x v="3"/>
    <n v="105"/>
    <n v="108"/>
    <n v="149"/>
    <n v="15"/>
    <n v="1000"/>
  </r>
  <r>
    <n v="2"/>
    <x v="1"/>
    <s v="Personal Fitness Tracker Brown"/>
    <x v="1"/>
    <x v="0"/>
    <n v="105"/>
    <n v="108"/>
    <n v="179"/>
    <n v="19"/>
    <n v="1200"/>
  </r>
  <r>
    <n v="2"/>
    <x v="1"/>
    <s v="Personal Fitness Tracker Brown"/>
    <x v="1"/>
    <x v="1"/>
    <n v="105"/>
    <n v="108"/>
    <n v="179"/>
    <n v="19"/>
    <n v="1200"/>
  </r>
  <r>
    <n v="2"/>
    <x v="1"/>
    <s v="Personal Fitness Tracker Brown"/>
    <x v="1"/>
    <x v="2"/>
    <n v="110"/>
    <n v="108"/>
    <n v="179"/>
    <n v="19"/>
    <n v="1200"/>
  </r>
  <r>
    <n v="2"/>
    <x v="1"/>
    <s v="Personal Fitness Tracker Brown"/>
    <x v="1"/>
    <x v="3"/>
    <n v="110"/>
    <n v="108"/>
    <n v="179"/>
    <n v="19"/>
    <n v="1200"/>
  </r>
  <r>
    <n v="2"/>
    <x v="1"/>
    <s v="Personal Fitness Tracker Brown"/>
    <x v="2"/>
    <x v="0"/>
    <n v="110"/>
    <n v="114"/>
    <n v="199"/>
    <n v="25"/>
    <n v="1600"/>
  </r>
  <r>
    <n v="2"/>
    <x v="1"/>
    <s v="Personal Fitness Tracker Brown"/>
    <x v="2"/>
    <x v="1"/>
    <n v="110"/>
    <n v="114"/>
    <n v="199"/>
    <n v="25"/>
    <n v="1600"/>
  </r>
  <r>
    <n v="2"/>
    <x v="1"/>
    <s v="Personal Fitness Tracker Brown"/>
    <x v="2"/>
    <x v="2"/>
    <n v="115"/>
    <n v="114"/>
    <n v="199"/>
    <n v="25"/>
    <n v="1600"/>
  </r>
  <r>
    <n v="2"/>
    <x v="1"/>
    <s v="Personal Fitness Tracker Brown"/>
    <x v="2"/>
    <x v="3"/>
    <n v="115"/>
    <n v="114"/>
    <n v="199"/>
    <n v="25"/>
    <n v="1600"/>
  </r>
  <r>
    <n v="2"/>
    <x v="1"/>
    <s v="Personal Fitness Tracker Brown"/>
    <x v="3"/>
    <x v="0"/>
    <n v="120"/>
    <n v="114"/>
    <n v="249"/>
    <n v="31"/>
    <n v="2000"/>
  </r>
  <r>
    <n v="2"/>
    <x v="1"/>
    <s v="Personal Fitness Tracker Brown"/>
    <x v="3"/>
    <x v="1"/>
    <n v="120"/>
    <n v="114"/>
    <n v="249"/>
    <n v="31"/>
    <n v="2000"/>
  </r>
  <r>
    <n v="2"/>
    <x v="1"/>
    <s v="Personal Fitness Tracker Brown"/>
    <x v="3"/>
    <x v="2"/>
    <n v="125"/>
    <n v="114"/>
    <n v="249"/>
    <n v="31"/>
    <n v="2000"/>
  </r>
  <r>
    <n v="2"/>
    <x v="1"/>
    <s v="Personal Fitness Tracker Brown"/>
    <x v="3"/>
    <x v="3"/>
    <n v="125"/>
    <n v="114"/>
    <n v="249"/>
    <n v="31"/>
    <n v="2000"/>
  </r>
  <r>
    <n v="2"/>
    <x v="1"/>
    <s v="Personal Fitness Tracker Brown"/>
    <x v="4"/>
    <x v="0"/>
    <n v="125"/>
    <n v="114"/>
    <n v="249"/>
    <n v="31"/>
    <n v="2000"/>
  </r>
  <r>
    <n v="2"/>
    <x v="1"/>
    <s v="Personal Fitness Tracker Brown"/>
    <x v="4"/>
    <x v="1"/>
    <n v="125"/>
    <n v="114"/>
    <n v="249"/>
    <n v="31"/>
    <n v="2000"/>
  </r>
  <r>
    <n v="2"/>
    <x v="1"/>
    <s v="Personal Fitness Tracker Brown"/>
    <x v="4"/>
    <x v="2"/>
    <n v="125"/>
    <n v="114"/>
    <n v="249"/>
    <n v="31"/>
    <n v="2000"/>
  </r>
  <r>
    <n v="2"/>
    <x v="1"/>
    <s v="Personal Fitness Tracker Brown"/>
    <x v="4"/>
    <x v="3"/>
    <n v="125"/>
    <n v="114"/>
    <n v="249"/>
    <n v="47"/>
    <n v="2000"/>
  </r>
  <r>
    <n v="3"/>
    <x v="2"/>
    <s v="Personal Fitness Tracker Gold"/>
    <x v="0"/>
    <x v="0"/>
    <n v="135"/>
    <n v="117"/>
    <n v="249"/>
    <n v="7"/>
    <n v="500"/>
  </r>
  <r>
    <n v="3"/>
    <x v="2"/>
    <s v="Personal Fitness Tracker Gold"/>
    <x v="0"/>
    <x v="1"/>
    <n v="135"/>
    <n v="117"/>
    <n v="249"/>
    <n v="7"/>
    <n v="500"/>
  </r>
  <r>
    <n v="3"/>
    <x v="2"/>
    <s v="Personal Fitness Tracker Gold"/>
    <x v="0"/>
    <x v="2"/>
    <n v="135"/>
    <n v="117"/>
    <n v="249"/>
    <n v="7"/>
    <n v="500"/>
  </r>
  <r>
    <n v="3"/>
    <x v="2"/>
    <s v="Personal Fitness Tracker Gold"/>
    <x v="0"/>
    <x v="3"/>
    <n v="135"/>
    <n v="117"/>
    <n v="249"/>
    <n v="7"/>
    <n v="500"/>
  </r>
  <r>
    <n v="3"/>
    <x v="2"/>
    <s v="Personal Fitness Tracker Gold"/>
    <x v="1"/>
    <x v="0"/>
    <n v="135"/>
    <n v="117"/>
    <n v="279"/>
    <n v="9"/>
    <n v="600"/>
  </r>
  <r>
    <n v="3"/>
    <x v="2"/>
    <s v="Personal Fitness Tracker Gold"/>
    <x v="1"/>
    <x v="1"/>
    <n v="135"/>
    <n v="117"/>
    <n v="279"/>
    <n v="9"/>
    <n v="600"/>
  </r>
  <r>
    <n v="3"/>
    <x v="2"/>
    <s v="Personal Fitness Tracker Gold"/>
    <x v="1"/>
    <x v="2"/>
    <n v="135"/>
    <n v="117"/>
    <n v="279"/>
    <n v="9"/>
    <n v="600"/>
  </r>
  <r>
    <n v="3"/>
    <x v="2"/>
    <s v="Personal Fitness Tracker Gold"/>
    <x v="1"/>
    <x v="3"/>
    <n v="135"/>
    <n v="117"/>
    <n v="279"/>
    <n v="9"/>
    <n v="600"/>
  </r>
  <r>
    <n v="3"/>
    <x v="2"/>
    <s v="Personal Fitness Tracker Gold"/>
    <x v="2"/>
    <x v="0"/>
    <n v="145"/>
    <n v="123"/>
    <n v="299"/>
    <n v="12"/>
    <n v="800"/>
  </r>
  <r>
    <n v="3"/>
    <x v="2"/>
    <s v="Personal Fitness Tracker Gold"/>
    <x v="2"/>
    <x v="1"/>
    <n v="145"/>
    <n v="123"/>
    <n v="299"/>
    <n v="12"/>
    <n v="800"/>
  </r>
  <r>
    <n v="3"/>
    <x v="2"/>
    <s v="Personal Fitness Tracker Gold"/>
    <x v="2"/>
    <x v="2"/>
    <n v="145"/>
    <n v="123"/>
    <n v="299"/>
    <n v="12"/>
    <n v="800"/>
  </r>
  <r>
    <n v="3"/>
    <x v="2"/>
    <s v="Personal Fitness Tracker Gold"/>
    <x v="2"/>
    <x v="3"/>
    <n v="155"/>
    <n v="123"/>
    <n v="299"/>
    <n v="12"/>
    <n v="800"/>
  </r>
  <r>
    <n v="3"/>
    <x v="2"/>
    <s v="Personal Fitness Tracker Gold"/>
    <x v="3"/>
    <x v="0"/>
    <n v="155"/>
    <n v="123"/>
    <n v="349"/>
    <n v="15"/>
    <n v="1000"/>
  </r>
  <r>
    <n v="3"/>
    <x v="2"/>
    <s v="Personal Fitness Tracker Gold"/>
    <x v="3"/>
    <x v="1"/>
    <n v="155"/>
    <n v="123"/>
    <n v="349"/>
    <n v="15"/>
    <n v="1000"/>
  </r>
  <r>
    <n v="3"/>
    <x v="2"/>
    <s v="Personal Fitness Tracker Gold"/>
    <x v="3"/>
    <x v="2"/>
    <n v="170"/>
    <n v="123"/>
    <n v="349"/>
    <n v="15"/>
    <n v="1000"/>
  </r>
  <r>
    <n v="3"/>
    <x v="2"/>
    <s v="Personal Fitness Tracker Gold"/>
    <x v="3"/>
    <x v="3"/>
    <n v="170"/>
    <n v="123"/>
    <n v="349"/>
    <n v="15"/>
    <n v="1000"/>
  </r>
  <r>
    <n v="3"/>
    <x v="2"/>
    <s v="Personal Fitness Tracker Gold"/>
    <x v="4"/>
    <x v="0"/>
    <n v="170"/>
    <n v="123"/>
    <n v="349"/>
    <n v="15"/>
    <n v="1000"/>
  </r>
  <r>
    <n v="3"/>
    <x v="2"/>
    <s v="Personal Fitness Tracker Gold"/>
    <x v="4"/>
    <x v="1"/>
    <n v="170"/>
    <n v="123"/>
    <n v="349"/>
    <n v="15"/>
    <n v="1000"/>
  </r>
  <r>
    <n v="3"/>
    <x v="2"/>
    <s v="Personal Fitness Tracker Gold"/>
    <x v="4"/>
    <x v="2"/>
    <n v="170"/>
    <n v="123"/>
    <n v="349"/>
    <n v="15"/>
    <n v="1000"/>
  </r>
  <r>
    <n v="3"/>
    <x v="2"/>
    <s v="Personal Fitness Tracker Gold"/>
    <x v="4"/>
    <x v="3"/>
    <n v="170"/>
    <n v="123"/>
    <n v="349"/>
    <n v="23"/>
    <n v="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65">
  <r>
    <x v="0"/>
    <x v="0"/>
    <d v="2017-02-02T00:00:00"/>
    <x v="0"/>
    <n v="54"/>
    <n v="125"/>
    <n v="114"/>
    <n v="2"/>
    <n v="186"/>
  </r>
  <r>
    <x v="0"/>
    <x v="0"/>
    <d v="2017-02-02T00:00:00"/>
    <x v="1"/>
    <n v="50"/>
    <n v="150"/>
    <n v="118"/>
    <n v="1"/>
    <n v="231"/>
  </r>
  <r>
    <x v="0"/>
    <x v="0"/>
    <d v="2017-02-03T00:00:00"/>
    <x v="2"/>
    <n v="53"/>
    <n v="170"/>
    <n v="123"/>
    <n v="8"/>
    <n v="190"/>
  </r>
  <r>
    <x v="0"/>
    <x v="0"/>
    <d v="2017-02-03T00:00:00"/>
    <x v="2"/>
    <n v="50"/>
    <n v="170"/>
    <n v="123"/>
    <n v="9"/>
    <n v="182"/>
  </r>
  <r>
    <x v="0"/>
    <x v="0"/>
    <d v="2017-02-03T00:00:00"/>
    <x v="0"/>
    <n v="52"/>
    <n v="125"/>
    <n v="114"/>
    <n v="7"/>
    <n v="185"/>
  </r>
  <r>
    <x v="0"/>
    <x v="0"/>
    <d v="2017-02-03T00:00:00"/>
    <x v="1"/>
    <n v="67"/>
    <n v="150"/>
    <n v="118"/>
    <n v="6"/>
    <n v="230"/>
  </r>
  <r>
    <x v="0"/>
    <x v="0"/>
    <d v="2017-02-03T00:00:00"/>
    <x v="0"/>
    <n v="44"/>
    <n v="125"/>
    <n v="114"/>
    <n v="5"/>
    <n v="153"/>
  </r>
  <r>
    <x v="0"/>
    <x v="0"/>
    <d v="2017-02-03T00:00:00"/>
    <x v="0"/>
    <n v="41"/>
    <n v="125"/>
    <n v="114"/>
    <n v="4"/>
    <n v="144"/>
  </r>
  <r>
    <x v="0"/>
    <x v="0"/>
    <d v="2017-02-03T00:00:00"/>
    <x v="0"/>
    <n v="40"/>
    <n v="125"/>
    <n v="114"/>
    <n v="3"/>
    <n v="145"/>
  </r>
  <r>
    <x v="0"/>
    <x v="0"/>
    <d v="2017-02-06T00:00:00"/>
    <x v="2"/>
    <n v="55"/>
    <n v="170"/>
    <n v="123"/>
    <n v="11"/>
    <n v="191"/>
  </r>
  <r>
    <x v="0"/>
    <x v="0"/>
    <d v="2017-02-06T00:00:00"/>
    <x v="2"/>
    <n v="43"/>
    <n v="170"/>
    <n v="123"/>
    <n v="12"/>
    <n v="199"/>
  </r>
  <r>
    <x v="0"/>
    <x v="0"/>
    <d v="2017-02-06T00:00:00"/>
    <x v="2"/>
    <n v="57"/>
    <n v="170"/>
    <n v="123"/>
    <n v="13"/>
    <n v="264"/>
  </r>
  <r>
    <x v="0"/>
    <x v="0"/>
    <d v="2017-02-06T00:00:00"/>
    <x v="0"/>
    <n v="41"/>
    <n v="125"/>
    <n v="114"/>
    <n v="10"/>
    <n v="144"/>
  </r>
  <r>
    <x v="0"/>
    <x v="0"/>
    <d v="2017-02-07T00:00:00"/>
    <x v="2"/>
    <n v="37"/>
    <n v="170"/>
    <n v="123"/>
    <n v="19"/>
    <n v="127"/>
  </r>
  <r>
    <x v="0"/>
    <x v="0"/>
    <d v="2017-02-07T00:00:00"/>
    <x v="0"/>
    <n v="60"/>
    <n v="125"/>
    <n v="114"/>
    <n v="18"/>
    <n v="208"/>
  </r>
  <r>
    <x v="0"/>
    <x v="0"/>
    <d v="2017-02-07T00:00:00"/>
    <x v="1"/>
    <n v="67"/>
    <n v="150"/>
    <n v="118"/>
    <n v="22"/>
    <n v="231"/>
  </r>
  <r>
    <x v="0"/>
    <x v="0"/>
    <d v="2017-02-07T00:00:00"/>
    <x v="2"/>
    <n v="36"/>
    <n v="170"/>
    <n v="123"/>
    <n v="20"/>
    <n v="130"/>
  </r>
  <r>
    <x v="0"/>
    <x v="0"/>
    <d v="2017-02-07T00:00:00"/>
    <x v="2"/>
    <n v="57"/>
    <n v="170"/>
    <n v="123"/>
    <n v="14"/>
    <n v="200"/>
  </r>
  <r>
    <x v="0"/>
    <x v="0"/>
    <d v="2017-02-07T00:00:00"/>
    <x v="2"/>
    <n v="34"/>
    <n v="170"/>
    <n v="123"/>
    <n v="16"/>
    <n v="119"/>
  </r>
  <r>
    <x v="0"/>
    <x v="0"/>
    <d v="2017-02-07T00:00:00"/>
    <x v="2"/>
    <n v="39"/>
    <n v="170"/>
    <n v="123"/>
    <n v="21"/>
    <n v="146"/>
  </r>
  <r>
    <x v="0"/>
    <x v="0"/>
    <d v="2017-02-07T00:00:00"/>
    <x v="1"/>
    <n v="56"/>
    <n v="150"/>
    <n v="118"/>
    <n v="15"/>
    <n v="193"/>
  </r>
  <r>
    <x v="0"/>
    <x v="0"/>
    <d v="2017-02-07T00:00:00"/>
    <x v="2"/>
    <n v="40"/>
    <n v="170"/>
    <n v="123"/>
    <n v="17"/>
    <n v="147"/>
  </r>
  <r>
    <x v="0"/>
    <x v="0"/>
    <d v="2017-02-08T00:00:00"/>
    <x v="2"/>
    <n v="38"/>
    <n v="170"/>
    <n v="123"/>
    <n v="27"/>
    <n v="137"/>
  </r>
  <r>
    <x v="0"/>
    <x v="0"/>
    <d v="2017-02-08T00:00:00"/>
    <x v="0"/>
    <n v="56"/>
    <n v="125"/>
    <n v="114"/>
    <n v="28"/>
    <n v="211"/>
  </r>
  <r>
    <x v="0"/>
    <x v="0"/>
    <d v="2017-02-08T00:00:00"/>
    <x v="1"/>
    <n v="57"/>
    <n v="150"/>
    <n v="118"/>
    <n v="26"/>
    <n v="203"/>
  </r>
  <r>
    <x v="0"/>
    <x v="0"/>
    <d v="2017-02-08T00:00:00"/>
    <x v="2"/>
    <n v="46"/>
    <n v="170"/>
    <n v="123"/>
    <n v="25"/>
    <n v="166"/>
  </r>
  <r>
    <x v="0"/>
    <x v="0"/>
    <d v="2017-02-08T00:00:00"/>
    <x v="2"/>
    <n v="48"/>
    <n v="170"/>
    <n v="123"/>
    <n v="24"/>
    <n v="180"/>
  </r>
  <r>
    <x v="0"/>
    <x v="0"/>
    <d v="2017-02-08T00:00:00"/>
    <x v="0"/>
    <n v="47"/>
    <n v="125"/>
    <n v="114"/>
    <n v="23"/>
    <n v="165"/>
  </r>
  <r>
    <x v="0"/>
    <x v="0"/>
    <d v="2017-02-08T00:00:00"/>
    <x v="0"/>
    <n v="49"/>
    <n v="125"/>
    <n v="114"/>
    <n v="29"/>
    <n v="225"/>
  </r>
  <r>
    <x v="0"/>
    <x v="0"/>
    <d v="2017-02-09T00:00:00"/>
    <x v="2"/>
    <n v="57"/>
    <n v="170"/>
    <n v="123"/>
    <n v="30"/>
    <n v="205"/>
  </r>
  <r>
    <x v="0"/>
    <x v="0"/>
    <d v="2017-02-09T00:00:00"/>
    <x v="1"/>
    <n v="43"/>
    <n v="150"/>
    <n v="118"/>
    <n v="31"/>
    <n v="148"/>
  </r>
  <r>
    <x v="0"/>
    <x v="0"/>
    <d v="2017-02-09T00:00:00"/>
    <x v="0"/>
    <n v="51"/>
    <n v="125"/>
    <n v="114"/>
    <n v="32"/>
    <n v="183"/>
  </r>
  <r>
    <x v="0"/>
    <x v="0"/>
    <d v="2017-02-09T00:00:00"/>
    <x v="0"/>
    <n v="61"/>
    <n v="125"/>
    <n v="114"/>
    <n v="33"/>
    <n v="223"/>
  </r>
  <r>
    <x v="0"/>
    <x v="0"/>
    <d v="2017-02-09T00:00:00"/>
    <x v="1"/>
    <n v="62"/>
    <n v="150"/>
    <n v="118"/>
    <n v="34"/>
    <n v="216"/>
  </r>
  <r>
    <x v="0"/>
    <x v="0"/>
    <d v="2017-02-09T00:00:00"/>
    <x v="0"/>
    <n v="37"/>
    <n v="125"/>
    <n v="114"/>
    <n v="35"/>
    <n v="135"/>
  </r>
  <r>
    <x v="0"/>
    <x v="0"/>
    <d v="2017-02-10T00:00:00"/>
    <x v="1"/>
    <n v="67"/>
    <n v="150"/>
    <n v="118"/>
    <n v="40"/>
    <n v="242"/>
  </r>
  <r>
    <x v="0"/>
    <x v="0"/>
    <d v="2017-02-10T00:00:00"/>
    <x v="1"/>
    <n v="61"/>
    <n v="150"/>
    <n v="118"/>
    <n v="42"/>
    <n v="212"/>
  </r>
  <r>
    <x v="0"/>
    <x v="0"/>
    <d v="2017-02-10T00:00:00"/>
    <x v="2"/>
    <n v="49"/>
    <n v="170"/>
    <n v="123"/>
    <n v="41"/>
    <n v="180"/>
  </r>
  <r>
    <x v="0"/>
    <x v="0"/>
    <d v="2017-02-10T00:00:00"/>
    <x v="1"/>
    <n v="49"/>
    <n v="150"/>
    <n v="118"/>
    <n v="38"/>
    <n v="172"/>
  </r>
  <r>
    <x v="0"/>
    <x v="0"/>
    <d v="2017-02-10T00:00:00"/>
    <x v="0"/>
    <n v="39"/>
    <n v="125"/>
    <n v="114"/>
    <n v="37"/>
    <n v="144"/>
  </r>
  <r>
    <x v="0"/>
    <x v="0"/>
    <d v="2017-02-10T00:00:00"/>
    <x v="0"/>
    <n v="58"/>
    <n v="125"/>
    <n v="114"/>
    <n v="36"/>
    <n v="213"/>
  </r>
  <r>
    <x v="0"/>
    <x v="0"/>
    <d v="2017-02-10T00:00:00"/>
    <x v="2"/>
    <n v="40"/>
    <n v="170"/>
    <n v="123"/>
    <n v="39"/>
    <n v="141"/>
  </r>
  <r>
    <x v="0"/>
    <x v="0"/>
    <d v="2017-02-13T00:00:00"/>
    <x v="2"/>
    <n v="37"/>
    <n v="170"/>
    <n v="123"/>
    <n v="43"/>
    <n v="133"/>
  </r>
  <r>
    <x v="0"/>
    <x v="0"/>
    <d v="2017-02-13T00:00:00"/>
    <x v="1"/>
    <n v="67"/>
    <n v="150"/>
    <n v="118"/>
    <n v="44"/>
    <n v="243"/>
  </r>
  <r>
    <x v="0"/>
    <x v="0"/>
    <d v="2017-02-14T00:00:00"/>
    <x v="0"/>
    <n v="60"/>
    <n v="125"/>
    <n v="114"/>
    <n v="47"/>
    <n v="278"/>
  </r>
  <r>
    <x v="0"/>
    <x v="0"/>
    <d v="2017-02-14T00:00:00"/>
    <x v="2"/>
    <n v="45"/>
    <n v="170"/>
    <n v="123"/>
    <n v="53"/>
    <n v="208"/>
  </r>
  <r>
    <x v="0"/>
    <x v="0"/>
    <d v="2017-02-14T00:00:00"/>
    <x v="2"/>
    <n v="50"/>
    <n v="170"/>
    <n v="123"/>
    <n v="52"/>
    <n v="180"/>
  </r>
  <r>
    <x v="0"/>
    <x v="0"/>
    <d v="2017-02-14T00:00:00"/>
    <x v="1"/>
    <n v="52"/>
    <n v="150"/>
    <n v="118"/>
    <n v="51"/>
    <n v="181"/>
  </r>
  <r>
    <x v="0"/>
    <x v="0"/>
    <d v="2017-02-14T00:00:00"/>
    <x v="1"/>
    <n v="43"/>
    <n v="150"/>
    <n v="118"/>
    <n v="50"/>
    <n v="153"/>
  </r>
  <r>
    <x v="0"/>
    <x v="0"/>
    <d v="2017-02-14T00:00:00"/>
    <x v="1"/>
    <n v="56"/>
    <n v="150"/>
    <n v="118"/>
    <n v="48"/>
    <n v="203"/>
  </r>
  <r>
    <x v="0"/>
    <x v="0"/>
    <d v="2017-02-14T00:00:00"/>
    <x v="0"/>
    <n v="46"/>
    <n v="125"/>
    <n v="114"/>
    <n v="46"/>
    <n v="163"/>
  </r>
  <r>
    <x v="0"/>
    <x v="0"/>
    <d v="2017-02-14T00:00:00"/>
    <x v="1"/>
    <n v="61"/>
    <n v="150"/>
    <n v="118"/>
    <n v="45"/>
    <n v="214"/>
  </r>
  <r>
    <x v="0"/>
    <x v="0"/>
    <d v="2017-02-14T00:00:00"/>
    <x v="0"/>
    <n v="57"/>
    <n v="125"/>
    <n v="114"/>
    <n v="49"/>
    <n v="215"/>
  </r>
  <r>
    <x v="0"/>
    <x v="0"/>
    <d v="2017-02-15T00:00:00"/>
    <x v="1"/>
    <n v="44"/>
    <n v="150"/>
    <n v="118"/>
    <n v="58"/>
    <n v="161"/>
  </r>
  <r>
    <x v="0"/>
    <x v="0"/>
    <d v="2017-02-15T00:00:00"/>
    <x v="1"/>
    <n v="64"/>
    <n v="150"/>
    <n v="118"/>
    <n v="54"/>
    <n v="299"/>
  </r>
  <r>
    <x v="0"/>
    <x v="0"/>
    <d v="2017-02-15T00:00:00"/>
    <x v="1"/>
    <n v="63"/>
    <n v="150"/>
    <n v="118"/>
    <n v="59"/>
    <n v="229"/>
  </r>
  <r>
    <x v="0"/>
    <x v="0"/>
    <d v="2017-02-15T00:00:00"/>
    <x v="2"/>
    <n v="46"/>
    <n v="170"/>
    <n v="123"/>
    <n v="60"/>
    <n v="166"/>
  </r>
  <r>
    <x v="0"/>
    <x v="0"/>
    <d v="2017-02-15T00:00:00"/>
    <x v="0"/>
    <n v="57"/>
    <n v="125"/>
    <n v="114"/>
    <n v="57"/>
    <n v="200"/>
  </r>
  <r>
    <x v="0"/>
    <x v="0"/>
    <d v="2017-02-15T00:00:00"/>
    <x v="0"/>
    <n v="36"/>
    <n v="125"/>
    <n v="114"/>
    <n v="55"/>
    <n v="130"/>
  </r>
  <r>
    <x v="0"/>
    <x v="0"/>
    <d v="2017-02-15T00:00:00"/>
    <x v="2"/>
    <n v="52"/>
    <n v="170"/>
    <n v="123"/>
    <n v="56"/>
    <n v="243"/>
  </r>
  <r>
    <x v="0"/>
    <x v="0"/>
    <d v="2017-02-16T00:00:00"/>
    <x v="1"/>
    <n v="54"/>
    <n v="150"/>
    <n v="118"/>
    <n v="61"/>
    <n v="193"/>
  </r>
  <r>
    <x v="0"/>
    <x v="0"/>
    <d v="2017-02-16T00:00:00"/>
    <x v="1"/>
    <n v="65"/>
    <n v="150"/>
    <n v="118"/>
    <n v="62"/>
    <n v="239"/>
  </r>
  <r>
    <x v="0"/>
    <x v="0"/>
    <d v="2017-02-16T00:00:00"/>
    <x v="0"/>
    <n v="46"/>
    <n v="125"/>
    <n v="114"/>
    <n v="63"/>
    <n v="163"/>
  </r>
  <r>
    <x v="0"/>
    <x v="0"/>
    <d v="2017-02-16T00:00:00"/>
    <x v="0"/>
    <n v="36"/>
    <n v="125"/>
    <n v="114"/>
    <n v="64"/>
    <n v="133"/>
  </r>
  <r>
    <x v="0"/>
    <x v="0"/>
    <d v="2017-02-16T00:00:00"/>
    <x v="0"/>
    <n v="37"/>
    <n v="125"/>
    <n v="114"/>
    <n v="65"/>
    <n v="131"/>
  </r>
  <r>
    <x v="0"/>
    <x v="0"/>
    <d v="2017-02-16T00:00:00"/>
    <x v="1"/>
    <n v="65"/>
    <n v="150"/>
    <n v="118"/>
    <n v="66"/>
    <n v="235"/>
  </r>
  <r>
    <x v="0"/>
    <x v="0"/>
    <d v="2017-02-16T00:00:00"/>
    <x v="0"/>
    <n v="36"/>
    <n v="125"/>
    <n v="114"/>
    <n v="67"/>
    <n v="124"/>
  </r>
  <r>
    <x v="0"/>
    <x v="0"/>
    <d v="2017-02-17T00:00:00"/>
    <x v="2"/>
    <n v="38"/>
    <n v="170"/>
    <n v="123"/>
    <n v="72"/>
    <n v="134"/>
  </r>
  <r>
    <x v="0"/>
    <x v="0"/>
    <d v="2017-02-17T00:00:00"/>
    <x v="0"/>
    <n v="60"/>
    <n v="125"/>
    <n v="114"/>
    <n v="73"/>
    <n v="276"/>
  </r>
  <r>
    <x v="0"/>
    <x v="0"/>
    <d v="2017-02-17T00:00:00"/>
    <x v="2"/>
    <n v="44"/>
    <n v="170"/>
    <n v="123"/>
    <n v="74"/>
    <n v="204"/>
  </r>
  <r>
    <x v="0"/>
    <x v="0"/>
    <d v="2017-02-17T00:00:00"/>
    <x v="0"/>
    <n v="60"/>
    <n v="125"/>
    <n v="114"/>
    <n v="70"/>
    <n v="206"/>
  </r>
  <r>
    <x v="0"/>
    <x v="0"/>
    <d v="2017-02-17T00:00:00"/>
    <x v="0"/>
    <n v="47"/>
    <n v="125"/>
    <n v="114"/>
    <n v="68"/>
    <n v="167"/>
  </r>
  <r>
    <x v="0"/>
    <x v="0"/>
    <d v="2017-02-17T00:00:00"/>
    <x v="0"/>
    <n v="44"/>
    <n v="125"/>
    <n v="114"/>
    <n v="69"/>
    <n v="153"/>
  </r>
  <r>
    <x v="0"/>
    <x v="0"/>
    <d v="2017-02-17T00:00:00"/>
    <x v="2"/>
    <n v="53"/>
    <n v="170"/>
    <n v="123"/>
    <n v="71"/>
    <n v="192"/>
  </r>
  <r>
    <x v="0"/>
    <x v="0"/>
    <d v="2017-02-20T00:00:00"/>
    <x v="0"/>
    <n v="37"/>
    <n v="125"/>
    <n v="114"/>
    <n v="76"/>
    <n v="133"/>
  </r>
  <r>
    <x v="0"/>
    <x v="0"/>
    <d v="2017-02-20T00:00:00"/>
    <x v="1"/>
    <n v="51"/>
    <n v="150"/>
    <n v="118"/>
    <n v="75"/>
    <n v="185"/>
  </r>
  <r>
    <x v="0"/>
    <x v="0"/>
    <d v="2017-02-21T00:00:00"/>
    <x v="2"/>
    <n v="41"/>
    <n v="170"/>
    <n v="123"/>
    <n v="77"/>
    <n v="150"/>
  </r>
  <r>
    <x v="0"/>
    <x v="0"/>
    <d v="2017-02-21T00:00:00"/>
    <x v="1"/>
    <n v="42"/>
    <n v="150"/>
    <n v="118"/>
    <n v="78"/>
    <n v="150"/>
  </r>
  <r>
    <x v="0"/>
    <x v="0"/>
    <d v="2017-02-21T00:00:00"/>
    <x v="1"/>
    <n v="46"/>
    <n v="150"/>
    <n v="118"/>
    <n v="79"/>
    <n v="166"/>
  </r>
  <r>
    <x v="0"/>
    <x v="0"/>
    <d v="2017-02-22T00:00:00"/>
    <x v="2"/>
    <n v="55"/>
    <n v="170"/>
    <n v="123"/>
    <n v="81"/>
    <n v="198"/>
  </r>
  <r>
    <x v="0"/>
    <x v="0"/>
    <d v="2017-02-22T00:00:00"/>
    <x v="0"/>
    <n v="60"/>
    <n v="125"/>
    <n v="114"/>
    <n v="82"/>
    <n v="206"/>
  </r>
  <r>
    <x v="0"/>
    <x v="0"/>
    <d v="2017-02-22T00:00:00"/>
    <x v="2"/>
    <n v="41"/>
    <n v="170"/>
    <n v="123"/>
    <n v="80"/>
    <n v="146"/>
  </r>
  <r>
    <x v="0"/>
    <x v="0"/>
    <d v="2017-02-23T00:00:00"/>
    <x v="1"/>
    <n v="61"/>
    <n v="150"/>
    <n v="118"/>
    <n v="84"/>
    <n v="212"/>
  </r>
  <r>
    <x v="0"/>
    <x v="0"/>
    <d v="2017-02-23T00:00:00"/>
    <x v="0"/>
    <n v="59"/>
    <n v="125"/>
    <n v="114"/>
    <n v="85"/>
    <n v="210"/>
  </r>
  <r>
    <x v="0"/>
    <x v="0"/>
    <d v="2017-02-23T00:00:00"/>
    <x v="2"/>
    <n v="40"/>
    <n v="170"/>
    <n v="123"/>
    <n v="86"/>
    <n v="142"/>
  </r>
  <r>
    <x v="0"/>
    <x v="0"/>
    <d v="2017-02-23T00:00:00"/>
    <x v="1"/>
    <n v="53"/>
    <n v="150"/>
    <n v="118"/>
    <n v="87"/>
    <n v="196"/>
  </r>
  <r>
    <x v="0"/>
    <x v="0"/>
    <d v="2017-02-23T00:00:00"/>
    <x v="2"/>
    <n v="38"/>
    <n v="170"/>
    <n v="123"/>
    <n v="83"/>
    <n v="131"/>
  </r>
  <r>
    <x v="0"/>
    <x v="0"/>
    <d v="2017-02-24T00:00:00"/>
    <x v="0"/>
    <n v="60"/>
    <n v="125"/>
    <n v="114"/>
    <n v="90"/>
    <n v="276"/>
  </r>
  <r>
    <x v="0"/>
    <x v="0"/>
    <d v="2017-02-24T00:00:00"/>
    <x v="2"/>
    <n v="45"/>
    <n v="170"/>
    <n v="123"/>
    <n v="96"/>
    <n v="157"/>
  </r>
  <r>
    <x v="0"/>
    <x v="0"/>
    <d v="2017-02-24T00:00:00"/>
    <x v="0"/>
    <n v="60"/>
    <n v="125"/>
    <n v="114"/>
    <n v="95"/>
    <n v="210"/>
  </r>
  <r>
    <x v="0"/>
    <x v="0"/>
    <d v="2017-02-24T00:00:00"/>
    <x v="2"/>
    <n v="40"/>
    <n v="170"/>
    <n v="123"/>
    <n v="94"/>
    <n v="147"/>
  </r>
  <r>
    <x v="0"/>
    <x v="0"/>
    <d v="2017-02-24T00:00:00"/>
    <x v="0"/>
    <n v="53"/>
    <n v="125"/>
    <n v="114"/>
    <n v="93"/>
    <n v="191"/>
  </r>
  <r>
    <x v="0"/>
    <x v="0"/>
    <d v="2017-02-24T00:00:00"/>
    <x v="2"/>
    <n v="36"/>
    <n v="170"/>
    <n v="123"/>
    <n v="89"/>
    <n v="135"/>
  </r>
  <r>
    <x v="0"/>
    <x v="0"/>
    <d v="2017-02-24T00:00:00"/>
    <x v="0"/>
    <n v="45"/>
    <n v="125"/>
    <n v="114"/>
    <n v="88"/>
    <n v="158"/>
  </r>
  <r>
    <x v="0"/>
    <x v="0"/>
    <d v="2017-02-24T00:00:00"/>
    <x v="1"/>
    <n v="59"/>
    <n v="150"/>
    <n v="118"/>
    <n v="92"/>
    <n v="206"/>
  </r>
  <r>
    <x v="0"/>
    <x v="0"/>
    <d v="2017-02-24T00:00:00"/>
    <x v="1"/>
    <n v="50"/>
    <n v="150"/>
    <n v="118"/>
    <n v="91"/>
    <n v="173"/>
  </r>
  <r>
    <x v="0"/>
    <x v="0"/>
    <d v="2017-02-27T00:00:00"/>
    <x v="0"/>
    <n v="62"/>
    <n v="125"/>
    <n v="114"/>
    <n v="101"/>
    <n v="220"/>
  </r>
  <r>
    <x v="0"/>
    <x v="0"/>
    <d v="2017-02-27T00:00:00"/>
    <x v="1"/>
    <n v="54"/>
    <n v="150"/>
    <n v="118"/>
    <n v="105"/>
    <n v="194"/>
  </r>
  <r>
    <x v="0"/>
    <x v="0"/>
    <d v="2017-02-27T00:00:00"/>
    <x v="0"/>
    <n v="49"/>
    <n v="125"/>
    <n v="114"/>
    <n v="104"/>
    <n v="179"/>
  </r>
  <r>
    <x v="0"/>
    <x v="0"/>
    <d v="2017-02-27T00:00:00"/>
    <x v="0"/>
    <n v="59"/>
    <n v="125"/>
    <n v="114"/>
    <n v="104"/>
    <n v="208"/>
  </r>
  <r>
    <x v="0"/>
    <x v="0"/>
    <d v="2017-02-27T00:00:00"/>
    <x v="2"/>
    <n v="51"/>
    <n v="170"/>
    <n v="123"/>
    <n v="104"/>
    <n v="176"/>
  </r>
  <r>
    <x v="0"/>
    <x v="0"/>
    <d v="2017-02-27T00:00:00"/>
    <x v="0"/>
    <n v="62"/>
    <n v="125"/>
    <n v="114"/>
    <n v="99"/>
    <n v="227"/>
  </r>
  <r>
    <x v="0"/>
    <x v="0"/>
    <d v="2017-02-27T00:00:00"/>
    <x v="0"/>
    <n v="46"/>
    <n v="125"/>
    <n v="114"/>
    <n v="98"/>
    <n v="169"/>
  </r>
  <r>
    <x v="0"/>
    <x v="0"/>
    <d v="2017-02-27T00:00:00"/>
    <x v="0"/>
    <n v="61"/>
    <n v="125"/>
    <n v="114"/>
    <n v="97"/>
    <n v="221"/>
  </r>
  <r>
    <x v="0"/>
    <x v="0"/>
    <d v="2017-02-27T00:00:00"/>
    <x v="0"/>
    <n v="46"/>
    <n v="125"/>
    <n v="114"/>
    <n v="103"/>
    <n v="158"/>
  </r>
  <r>
    <x v="0"/>
    <x v="0"/>
    <d v="2017-02-28T00:00:00"/>
    <x v="1"/>
    <n v="67"/>
    <n v="150"/>
    <n v="118"/>
    <n v="108"/>
    <n v="233"/>
  </r>
  <r>
    <x v="0"/>
    <x v="0"/>
    <d v="2017-02-28T00:00:00"/>
    <x v="1"/>
    <n v="60"/>
    <n v="150"/>
    <n v="118"/>
    <n v="113"/>
    <n v="216"/>
  </r>
  <r>
    <x v="0"/>
    <x v="0"/>
    <d v="2017-02-28T00:00:00"/>
    <x v="0"/>
    <n v="51"/>
    <n v="125"/>
    <n v="114"/>
    <n v="112"/>
    <n v="196"/>
  </r>
  <r>
    <x v="0"/>
    <x v="0"/>
    <d v="2017-02-28T00:00:00"/>
    <x v="1"/>
    <n v="64"/>
    <n v="150"/>
    <n v="118"/>
    <n v="114"/>
    <n v="300"/>
  </r>
  <r>
    <x v="0"/>
    <x v="0"/>
    <d v="2017-02-28T00:00:00"/>
    <x v="0"/>
    <n v="48"/>
    <n v="125"/>
    <n v="114"/>
    <n v="111"/>
    <n v="166"/>
  </r>
  <r>
    <x v="0"/>
    <x v="0"/>
    <d v="2017-02-28T00:00:00"/>
    <x v="0"/>
    <n v="41"/>
    <n v="125"/>
    <n v="114"/>
    <n v="107"/>
    <n v="144"/>
  </r>
  <r>
    <x v="0"/>
    <x v="0"/>
    <d v="2017-02-28T00:00:00"/>
    <x v="0"/>
    <n v="59"/>
    <n v="125"/>
    <n v="114"/>
    <n v="106"/>
    <n v="211"/>
  </r>
  <r>
    <x v="0"/>
    <x v="0"/>
    <d v="2017-02-28T00:00:00"/>
    <x v="1"/>
    <n v="41"/>
    <n v="150"/>
    <n v="118"/>
    <n v="110"/>
    <n v="151"/>
  </r>
  <r>
    <x v="0"/>
    <x v="0"/>
    <d v="2017-02-28T00:00:00"/>
    <x v="1"/>
    <n v="55"/>
    <n v="150"/>
    <n v="118"/>
    <n v="109"/>
    <n v="189"/>
  </r>
  <r>
    <x v="0"/>
    <x v="0"/>
    <d v="2017-03-01T00:00:00"/>
    <x v="0"/>
    <n v="38"/>
    <n v="125"/>
    <n v="114"/>
    <n v="115"/>
    <n v="136"/>
  </r>
  <r>
    <x v="0"/>
    <x v="0"/>
    <d v="2017-03-01T00:00:00"/>
    <x v="1"/>
    <n v="63"/>
    <n v="150"/>
    <n v="118"/>
    <n v="116"/>
    <n v="228"/>
  </r>
  <r>
    <x v="0"/>
    <x v="0"/>
    <d v="2017-03-01T00:00:00"/>
    <x v="1"/>
    <n v="64"/>
    <n v="150"/>
    <n v="118"/>
    <n v="117"/>
    <n v="225"/>
  </r>
  <r>
    <x v="0"/>
    <x v="0"/>
    <d v="2017-03-01T00:00:00"/>
    <x v="1"/>
    <n v="52"/>
    <n v="150"/>
    <n v="118"/>
    <n v="118"/>
    <n v="239"/>
  </r>
  <r>
    <x v="0"/>
    <x v="0"/>
    <d v="2017-03-01T00:00:00"/>
    <x v="1"/>
    <n v="51"/>
    <n v="150"/>
    <n v="118"/>
    <n v="119"/>
    <n v="178"/>
  </r>
  <r>
    <x v="0"/>
    <x v="0"/>
    <d v="2017-03-01T00:00:00"/>
    <x v="0"/>
    <n v="59"/>
    <n v="125"/>
    <n v="114"/>
    <n v="120"/>
    <n v="205"/>
  </r>
  <r>
    <x v="0"/>
    <x v="0"/>
    <d v="2017-03-01T00:00:00"/>
    <x v="2"/>
    <n v="45"/>
    <n v="170"/>
    <n v="123"/>
    <n v="121"/>
    <n v="158"/>
  </r>
  <r>
    <x v="0"/>
    <x v="0"/>
    <d v="2017-03-02T00:00:00"/>
    <x v="2"/>
    <n v="35"/>
    <n v="170"/>
    <n v="123"/>
    <n v="128"/>
    <n v="125"/>
  </r>
  <r>
    <x v="0"/>
    <x v="0"/>
    <d v="2017-03-02T00:00:00"/>
    <x v="0"/>
    <n v="51"/>
    <n v="125"/>
    <n v="114"/>
    <n v="129"/>
    <n v="240"/>
  </r>
  <r>
    <x v="0"/>
    <x v="0"/>
    <d v="2017-03-02T00:00:00"/>
    <x v="2"/>
    <n v="43"/>
    <n v="170"/>
    <n v="123"/>
    <n v="127"/>
    <n v="158"/>
  </r>
  <r>
    <x v="0"/>
    <x v="0"/>
    <d v="2017-03-02T00:00:00"/>
    <x v="0"/>
    <n v="43"/>
    <n v="125"/>
    <n v="114"/>
    <n v="126"/>
    <n v="148"/>
  </r>
  <r>
    <x v="0"/>
    <x v="0"/>
    <d v="2017-03-02T00:00:00"/>
    <x v="2"/>
    <n v="54"/>
    <n v="170"/>
    <n v="123"/>
    <n v="124"/>
    <n v="253"/>
  </r>
  <r>
    <x v="0"/>
    <x v="0"/>
    <d v="2017-03-02T00:00:00"/>
    <x v="1"/>
    <n v="63"/>
    <n v="150"/>
    <n v="118"/>
    <n v="123"/>
    <n v="295"/>
  </r>
  <r>
    <x v="0"/>
    <x v="0"/>
    <d v="2017-03-02T00:00:00"/>
    <x v="1"/>
    <n v="49"/>
    <n v="150"/>
    <n v="118"/>
    <n v="122"/>
    <n v="226"/>
  </r>
  <r>
    <x v="0"/>
    <x v="0"/>
    <d v="2017-03-02T00:00:00"/>
    <x v="2"/>
    <n v="49"/>
    <n v="170"/>
    <n v="123"/>
    <n v="125"/>
    <n v="176"/>
  </r>
  <r>
    <x v="0"/>
    <x v="0"/>
    <d v="2017-03-02T00:00:00"/>
    <x v="2"/>
    <n v="34"/>
    <n v="170"/>
    <n v="123"/>
    <n v="130"/>
    <n v="120"/>
  </r>
  <r>
    <x v="0"/>
    <x v="0"/>
    <d v="2017-03-03T00:00:00"/>
    <x v="2"/>
    <n v="32"/>
    <n v="170"/>
    <n v="123"/>
    <n v="131"/>
    <n v="114"/>
  </r>
  <r>
    <x v="0"/>
    <x v="0"/>
    <d v="2017-03-03T00:00:00"/>
    <x v="0"/>
    <n v="47"/>
    <n v="125"/>
    <n v="114"/>
    <n v="132"/>
    <n v="162"/>
  </r>
  <r>
    <x v="0"/>
    <x v="0"/>
    <d v="2017-03-03T00:00:00"/>
    <x v="2"/>
    <n v="42"/>
    <n v="170"/>
    <n v="123"/>
    <n v="133"/>
    <n v="147"/>
  </r>
  <r>
    <x v="0"/>
    <x v="0"/>
    <d v="2017-03-03T00:00:00"/>
    <x v="0"/>
    <n v="36"/>
    <n v="125"/>
    <n v="114"/>
    <n v="134"/>
    <n v="169"/>
  </r>
  <r>
    <x v="0"/>
    <x v="0"/>
    <d v="2017-03-06T00:00:00"/>
    <x v="1"/>
    <n v="56"/>
    <n v="150"/>
    <n v="118"/>
    <n v="136"/>
    <n v="204"/>
  </r>
  <r>
    <x v="0"/>
    <x v="0"/>
    <d v="2017-03-06T00:00:00"/>
    <x v="0"/>
    <n v="61"/>
    <n v="125"/>
    <n v="114"/>
    <n v="135"/>
    <n v="209"/>
  </r>
  <r>
    <x v="0"/>
    <x v="0"/>
    <d v="2017-03-07T00:00:00"/>
    <x v="1"/>
    <n v="66"/>
    <n v="150"/>
    <n v="118"/>
    <n v="145"/>
    <n v="231"/>
  </r>
  <r>
    <x v="0"/>
    <x v="0"/>
    <d v="2017-03-07T00:00:00"/>
    <x v="2"/>
    <n v="53"/>
    <n v="170"/>
    <n v="123"/>
    <n v="144"/>
    <n v="191"/>
  </r>
  <r>
    <x v="0"/>
    <x v="0"/>
    <d v="2017-03-07T00:00:00"/>
    <x v="2"/>
    <n v="54"/>
    <n v="170"/>
    <n v="123"/>
    <n v="143"/>
    <n v="197"/>
  </r>
  <r>
    <x v="0"/>
    <x v="0"/>
    <d v="2017-03-07T00:00:00"/>
    <x v="0"/>
    <n v="50"/>
    <n v="125"/>
    <n v="114"/>
    <n v="142"/>
    <n v="174"/>
  </r>
  <r>
    <x v="0"/>
    <x v="0"/>
    <d v="2017-03-07T00:00:00"/>
    <x v="0"/>
    <n v="36"/>
    <n v="125"/>
    <n v="114"/>
    <n v="141"/>
    <n v="128"/>
  </r>
  <r>
    <x v="0"/>
    <x v="0"/>
    <d v="2017-03-07T00:00:00"/>
    <x v="2"/>
    <n v="53"/>
    <n v="170"/>
    <n v="123"/>
    <n v="140"/>
    <n v="195"/>
  </r>
  <r>
    <x v="0"/>
    <x v="0"/>
    <d v="2017-03-07T00:00:00"/>
    <x v="1"/>
    <n v="58"/>
    <n v="150"/>
    <n v="118"/>
    <n v="139"/>
    <n v="201"/>
  </r>
  <r>
    <x v="0"/>
    <x v="0"/>
    <d v="2017-03-07T00:00:00"/>
    <x v="0"/>
    <n v="61"/>
    <n v="125"/>
    <n v="114"/>
    <n v="137"/>
    <n v="283"/>
  </r>
  <r>
    <x v="0"/>
    <x v="0"/>
    <d v="2017-03-07T00:00:00"/>
    <x v="2"/>
    <n v="44"/>
    <n v="170"/>
    <n v="123"/>
    <n v="138"/>
    <n v="157"/>
  </r>
  <r>
    <x v="0"/>
    <x v="0"/>
    <d v="2017-03-08T00:00:00"/>
    <x v="2"/>
    <n v="39"/>
    <n v="170"/>
    <n v="123"/>
    <n v="149"/>
    <n v="138"/>
  </r>
  <r>
    <x v="0"/>
    <x v="0"/>
    <d v="2017-03-08T00:00:00"/>
    <x v="0"/>
    <n v="58"/>
    <n v="125"/>
    <n v="114"/>
    <n v="150"/>
    <n v="213"/>
  </r>
  <r>
    <x v="0"/>
    <x v="0"/>
    <d v="2017-03-08T00:00:00"/>
    <x v="0"/>
    <n v="42"/>
    <n v="125"/>
    <n v="114"/>
    <n v="148"/>
    <n v="148"/>
  </r>
  <r>
    <x v="0"/>
    <x v="0"/>
    <d v="2017-03-08T00:00:00"/>
    <x v="2"/>
    <n v="51"/>
    <n v="170"/>
    <n v="123"/>
    <n v="146"/>
    <n v="186"/>
  </r>
  <r>
    <x v="0"/>
    <x v="0"/>
    <d v="2017-03-08T00:00:00"/>
    <x v="0"/>
    <n v="47"/>
    <n v="125"/>
    <n v="114"/>
    <n v="147"/>
    <n v="173"/>
  </r>
  <r>
    <x v="0"/>
    <x v="0"/>
    <d v="2017-03-09T00:00:00"/>
    <x v="2"/>
    <n v="48"/>
    <n v="170"/>
    <n v="123"/>
    <n v="151"/>
    <n v="166"/>
  </r>
  <r>
    <x v="0"/>
    <x v="0"/>
    <d v="2017-03-09T00:00:00"/>
    <x v="0"/>
    <n v="40"/>
    <n v="125"/>
    <n v="114"/>
    <n v="152"/>
    <n v="187"/>
  </r>
  <r>
    <x v="0"/>
    <x v="0"/>
    <d v="2017-03-09T00:00:00"/>
    <x v="2"/>
    <n v="47"/>
    <n v="170"/>
    <n v="123"/>
    <n v="153"/>
    <n v="165"/>
  </r>
  <r>
    <x v="0"/>
    <x v="0"/>
    <d v="2017-03-09T00:00:00"/>
    <x v="2"/>
    <n v="55"/>
    <n v="170"/>
    <n v="123"/>
    <n v="154"/>
    <n v="199"/>
  </r>
  <r>
    <x v="0"/>
    <x v="0"/>
    <d v="2017-03-10T00:00:00"/>
    <x v="1"/>
    <n v="43"/>
    <n v="150"/>
    <n v="118"/>
    <n v="156"/>
    <n v="158"/>
  </r>
  <r>
    <x v="0"/>
    <x v="0"/>
    <d v="2017-03-10T00:00:00"/>
    <x v="2"/>
    <n v="44"/>
    <n v="170"/>
    <n v="123"/>
    <n v="162"/>
    <n v="158"/>
  </r>
  <r>
    <x v="0"/>
    <x v="0"/>
    <d v="2017-03-10T00:00:00"/>
    <x v="0"/>
    <n v="50"/>
    <n v="125"/>
    <n v="114"/>
    <n v="161"/>
    <n v="183"/>
  </r>
  <r>
    <x v="0"/>
    <x v="0"/>
    <d v="2017-03-10T00:00:00"/>
    <x v="0"/>
    <n v="61"/>
    <n v="125"/>
    <n v="114"/>
    <n v="160"/>
    <n v="212"/>
  </r>
  <r>
    <x v="0"/>
    <x v="0"/>
    <d v="2017-03-10T00:00:00"/>
    <x v="0"/>
    <n v="59"/>
    <n v="125"/>
    <n v="114"/>
    <n v="159"/>
    <n v="217"/>
  </r>
  <r>
    <x v="0"/>
    <x v="0"/>
    <d v="2017-03-10T00:00:00"/>
    <x v="1"/>
    <n v="61"/>
    <n v="150"/>
    <n v="118"/>
    <n v="157"/>
    <n v="287"/>
  </r>
  <r>
    <x v="0"/>
    <x v="0"/>
    <d v="2017-03-10T00:00:00"/>
    <x v="0"/>
    <n v="51"/>
    <n v="125"/>
    <n v="114"/>
    <n v="155"/>
    <n v="235"/>
  </r>
  <r>
    <x v="0"/>
    <x v="0"/>
    <d v="2017-03-10T00:00:00"/>
    <x v="0"/>
    <n v="56"/>
    <n v="125"/>
    <n v="114"/>
    <n v="158"/>
    <n v="193"/>
  </r>
  <r>
    <x v="0"/>
    <x v="0"/>
    <d v="2017-03-13T00:00:00"/>
    <x v="2"/>
    <n v="48"/>
    <n v="170"/>
    <n v="123"/>
    <n v="166"/>
    <n v="167"/>
  </r>
  <r>
    <x v="0"/>
    <x v="0"/>
    <d v="2017-03-13T00:00:00"/>
    <x v="2"/>
    <n v="38"/>
    <n v="170"/>
    <n v="123"/>
    <n v="167"/>
    <n v="139"/>
  </r>
  <r>
    <x v="0"/>
    <x v="0"/>
    <d v="2017-03-13T00:00:00"/>
    <x v="2"/>
    <n v="51"/>
    <n v="170"/>
    <n v="123"/>
    <n v="168"/>
    <n v="175"/>
  </r>
  <r>
    <x v="0"/>
    <x v="0"/>
    <d v="2017-03-13T00:00:00"/>
    <x v="0"/>
    <n v="51"/>
    <n v="125"/>
    <n v="114"/>
    <n v="163"/>
    <n v="239"/>
  </r>
  <r>
    <x v="0"/>
    <x v="0"/>
    <d v="2017-03-13T00:00:00"/>
    <x v="2"/>
    <n v="47"/>
    <n v="170"/>
    <n v="123"/>
    <n v="164"/>
    <n v="165"/>
  </r>
  <r>
    <x v="0"/>
    <x v="0"/>
    <d v="2017-03-13T00:00:00"/>
    <x v="2"/>
    <n v="44"/>
    <n v="170"/>
    <n v="123"/>
    <n v="169"/>
    <n v="160"/>
  </r>
  <r>
    <x v="0"/>
    <x v="0"/>
    <d v="2017-03-13T00:00:00"/>
    <x v="0"/>
    <n v="52"/>
    <n v="125"/>
    <n v="114"/>
    <n v="165"/>
    <n v="190"/>
  </r>
  <r>
    <x v="0"/>
    <x v="0"/>
    <d v="2017-03-14T00:00:00"/>
    <x v="1"/>
    <n v="44"/>
    <n v="150"/>
    <n v="118"/>
    <n v="170"/>
    <n v="205"/>
  </r>
  <r>
    <x v="0"/>
    <x v="0"/>
    <d v="2017-03-14T00:00:00"/>
    <x v="0"/>
    <n v="48"/>
    <n v="125"/>
    <n v="114"/>
    <n v="171"/>
    <n v="172"/>
  </r>
  <r>
    <x v="0"/>
    <x v="0"/>
    <d v="2017-03-15T00:00:00"/>
    <x v="1"/>
    <n v="66"/>
    <n v="150"/>
    <n v="118"/>
    <n v="176"/>
    <n v="234"/>
  </r>
  <r>
    <x v="0"/>
    <x v="0"/>
    <d v="2017-03-15T00:00:00"/>
    <x v="2"/>
    <n v="36"/>
    <n v="170"/>
    <n v="123"/>
    <n v="177"/>
    <n v="128"/>
  </r>
  <r>
    <x v="0"/>
    <x v="0"/>
    <d v="2017-03-15T00:00:00"/>
    <x v="1"/>
    <n v="58"/>
    <n v="150"/>
    <n v="118"/>
    <n v="175"/>
    <n v="204"/>
  </r>
  <r>
    <x v="0"/>
    <x v="0"/>
    <d v="2017-03-15T00:00:00"/>
    <x v="2"/>
    <n v="43"/>
    <n v="170"/>
    <n v="123"/>
    <n v="174"/>
    <n v="157"/>
  </r>
  <r>
    <x v="0"/>
    <x v="0"/>
    <d v="2017-03-15T00:00:00"/>
    <x v="1"/>
    <n v="55"/>
    <n v="150"/>
    <n v="118"/>
    <n v="173"/>
    <n v="188"/>
  </r>
  <r>
    <x v="0"/>
    <x v="0"/>
    <d v="2017-03-15T00:00:00"/>
    <x v="0"/>
    <n v="57"/>
    <n v="125"/>
    <n v="114"/>
    <n v="172"/>
    <n v="200"/>
  </r>
  <r>
    <x v="0"/>
    <x v="0"/>
    <d v="2017-03-15T00:00:00"/>
    <x v="1"/>
    <n v="41"/>
    <n v="150"/>
    <n v="118"/>
    <n v="178"/>
    <n v="148"/>
  </r>
  <r>
    <x v="0"/>
    <x v="0"/>
    <d v="2017-03-16T00:00:00"/>
    <x v="0"/>
    <n v="38"/>
    <n v="125"/>
    <n v="114"/>
    <n v="179"/>
    <n v="137"/>
  </r>
  <r>
    <x v="0"/>
    <x v="0"/>
    <d v="2017-03-16T00:00:00"/>
    <x v="2"/>
    <n v="52"/>
    <n v="170"/>
    <n v="123"/>
    <n v="180"/>
    <n v="190"/>
  </r>
  <r>
    <x v="0"/>
    <x v="0"/>
    <d v="2017-03-16T00:00:00"/>
    <x v="2"/>
    <n v="55"/>
    <n v="170"/>
    <n v="123"/>
    <n v="181"/>
    <n v="192"/>
  </r>
  <r>
    <x v="0"/>
    <x v="0"/>
    <d v="2017-03-16T00:00:00"/>
    <x v="2"/>
    <n v="50"/>
    <n v="170"/>
    <n v="123"/>
    <n v="182"/>
    <n v="172"/>
  </r>
  <r>
    <x v="0"/>
    <x v="0"/>
    <d v="2017-03-16T00:00:00"/>
    <x v="1"/>
    <n v="60"/>
    <n v="150"/>
    <n v="118"/>
    <n v="183"/>
    <n v="215"/>
  </r>
  <r>
    <x v="0"/>
    <x v="0"/>
    <d v="2017-03-16T00:00:00"/>
    <x v="1"/>
    <n v="51"/>
    <n v="150"/>
    <n v="118"/>
    <n v="184"/>
    <n v="183"/>
  </r>
  <r>
    <x v="0"/>
    <x v="0"/>
    <d v="2017-03-17T00:00:00"/>
    <x v="1"/>
    <n v="60"/>
    <n v="150"/>
    <n v="118"/>
    <n v="188"/>
    <n v="219"/>
  </r>
  <r>
    <x v="0"/>
    <x v="0"/>
    <d v="2017-03-17T00:00:00"/>
    <x v="0"/>
    <n v="49"/>
    <n v="125"/>
    <n v="114"/>
    <n v="190"/>
    <n v="225"/>
  </r>
  <r>
    <x v="0"/>
    <x v="0"/>
    <d v="2017-03-17T00:00:00"/>
    <x v="1"/>
    <n v="57"/>
    <n v="150"/>
    <n v="118"/>
    <n v="189"/>
    <n v="204"/>
  </r>
  <r>
    <x v="0"/>
    <x v="0"/>
    <d v="2017-03-17T00:00:00"/>
    <x v="1"/>
    <n v="53"/>
    <n v="150"/>
    <n v="118"/>
    <n v="185"/>
    <n v="193"/>
  </r>
  <r>
    <x v="0"/>
    <x v="0"/>
    <d v="2017-03-17T00:00:00"/>
    <x v="2"/>
    <n v="50"/>
    <n v="170"/>
    <n v="123"/>
    <n v="187"/>
    <n v="173"/>
  </r>
  <r>
    <x v="0"/>
    <x v="0"/>
    <d v="2017-03-17T00:00:00"/>
    <x v="0"/>
    <n v="39"/>
    <n v="125"/>
    <n v="114"/>
    <n v="186"/>
    <n v="136"/>
  </r>
  <r>
    <x v="0"/>
    <x v="0"/>
    <d v="2017-03-20T00:00:00"/>
    <x v="0"/>
    <n v="50"/>
    <n v="125"/>
    <n v="114"/>
    <n v="191"/>
    <n v="182"/>
  </r>
  <r>
    <x v="0"/>
    <x v="0"/>
    <d v="2017-03-20T00:00:00"/>
    <x v="2"/>
    <n v="32"/>
    <n v="170"/>
    <n v="123"/>
    <n v="192"/>
    <n v="117"/>
  </r>
  <r>
    <x v="0"/>
    <x v="0"/>
    <d v="2017-03-20T00:00:00"/>
    <x v="2"/>
    <n v="46"/>
    <n v="170"/>
    <n v="123"/>
    <n v="193"/>
    <n v="212"/>
  </r>
  <r>
    <x v="0"/>
    <x v="0"/>
    <d v="2017-03-21T00:00:00"/>
    <x v="0"/>
    <n v="38"/>
    <n v="125"/>
    <n v="114"/>
    <n v="194"/>
    <n v="175"/>
  </r>
  <r>
    <x v="0"/>
    <x v="0"/>
    <d v="2017-03-21T00:00:00"/>
    <x v="2"/>
    <n v="49"/>
    <n v="170"/>
    <n v="123"/>
    <n v="195"/>
    <n v="172"/>
  </r>
  <r>
    <x v="0"/>
    <x v="0"/>
    <d v="2017-03-22T00:00:00"/>
    <x v="0"/>
    <n v="39"/>
    <n v="125"/>
    <n v="114"/>
    <n v="196"/>
    <n v="139"/>
  </r>
  <r>
    <x v="0"/>
    <x v="0"/>
    <d v="2017-03-22T00:00:00"/>
    <x v="2"/>
    <n v="46"/>
    <n v="170"/>
    <n v="123"/>
    <n v="200"/>
    <n v="169"/>
  </r>
  <r>
    <x v="0"/>
    <x v="0"/>
    <d v="2017-03-22T00:00:00"/>
    <x v="1"/>
    <n v="65"/>
    <n v="150"/>
    <n v="118"/>
    <n v="199"/>
    <n v="231"/>
  </r>
  <r>
    <x v="0"/>
    <x v="0"/>
    <d v="2017-03-22T00:00:00"/>
    <x v="2"/>
    <n v="47"/>
    <n v="170"/>
    <n v="123"/>
    <n v="197"/>
    <n v="161"/>
  </r>
  <r>
    <x v="0"/>
    <x v="0"/>
    <d v="2017-03-22T00:00:00"/>
    <x v="0"/>
    <n v="60"/>
    <n v="125"/>
    <n v="114"/>
    <n v="198"/>
    <n v="277"/>
  </r>
  <r>
    <x v="0"/>
    <x v="0"/>
    <d v="2017-03-23T00:00:00"/>
    <x v="0"/>
    <n v="46"/>
    <n v="125"/>
    <n v="114"/>
    <n v="201"/>
    <n v="165"/>
  </r>
  <r>
    <x v="0"/>
    <x v="0"/>
    <d v="2017-03-23T00:00:00"/>
    <x v="1"/>
    <n v="53"/>
    <n v="150"/>
    <n v="118"/>
    <n v="202"/>
    <n v="246"/>
  </r>
  <r>
    <x v="0"/>
    <x v="0"/>
    <d v="2017-03-23T00:00:00"/>
    <x v="2"/>
    <n v="53"/>
    <n v="170"/>
    <n v="123"/>
    <n v="203"/>
    <n v="192"/>
  </r>
  <r>
    <x v="0"/>
    <x v="0"/>
    <d v="2017-03-24T00:00:00"/>
    <x v="1"/>
    <n v="50"/>
    <n v="150"/>
    <n v="118"/>
    <n v="204"/>
    <n v="172"/>
  </r>
  <r>
    <x v="0"/>
    <x v="0"/>
    <d v="2017-03-24T00:00:00"/>
    <x v="1"/>
    <n v="48"/>
    <n v="150"/>
    <n v="118"/>
    <n v="209"/>
    <n v="173"/>
  </r>
  <r>
    <x v="0"/>
    <x v="0"/>
    <d v="2017-03-24T00:00:00"/>
    <x v="1"/>
    <n v="59"/>
    <n v="150"/>
    <n v="118"/>
    <n v="208"/>
    <n v="215"/>
  </r>
  <r>
    <x v="0"/>
    <x v="0"/>
    <d v="2017-03-24T00:00:00"/>
    <x v="2"/>
    <n v="32"/>
    <n v="170"/>
    <n v="123"/>
    <n v="207"/>
    <n v="122"/>
  </r>
  <r>
    <x v="0"/>
    <x v="0"/>
    <d v="2017-03-24T00:00:00"/>
    <x v="1"/>
    <n v="63"/>
    <n v="150"/>
    <n v="118"/>
    <n v="205"/>
    <n v="218"/>
  </r>
  <r>
    <x v="0"/>
    <x v="0"/>
    <d v="2017-03-24T00:00:00"/>
    <x v="2"/>
    <n v="35"/>
    <n v="170"/>
    <n v="123"/>
    <n v="206"/>
    <n v="122"/>
  </r>
  <r>
    <x v="0"/>
    <x v="0"/>
    <d v="2017-03-27T00:00:00"/>
    <x v="1"/>
    <n v="63"/>
    <n v="150"/>
    <n v="118"/>
    <n v="210"/>
    <n v="226"/>
  </r>
  <r>
    <x v="0"/>
    <x v="0"/>
    <d v="2017-03-27T00:00:00"/>
    <x v="2"/>
    <n v="42"/>
    <n v="170"/>
    <n v="123"/>
    <n v="211"/>
    <n v="148"/>
  </r>
  <r>
    <x v="0"/>
    <x v="0"/>
    <d v="2017-03-27T00:00:00"/>
    <x v="2"/>
    <n v="52"/>
    <n v="170"/>
    <n v="123"/>
    <n v="212"/>
    <n v="191"/>
  </r>
  <r>
    <x v="0"/>
    <x v="0"/>
    <d v="2017-03-27T00:00:00"/>
    <x v="0"/>
    <n v="51"/>
    <n v="125"/>
    <n v="114"/>
    <n v="213"/>
    <n v="180"/>
  </r>
  <r>
    <x v="0"/>
    <x v="0"/>
    <d v="2017-03-27T00:00:00"/>
    <x v="1"/>
    <n v="58"/>
    <n v="150"/>
    <n v="118"/>
    <n v="214"/>
    <n v="210"/>
  </r>
  <r>
    <x v="0"/>
    <x v="0"/>
    <d v="2017-03-27T00:00:00"/>
    <x v="0"/>
    <n v="61"/>
    <n v="125"/>
    <n v="114"/>
    <n v="215"/>
    <n v="210"/>
  </r>
  <r>
    <x v="0"/>
    <x v="0"/>
    <d v="2017-03-27T00:00:00"/>
    <x v="1"/>
    <n v="53"/>
    <n v="150"/>
    <n v="118"/>
    <n v="216"/>
    <n v="186"/>
  </r>
  <r>
    <x v="0"/>
    <x v="0"/>
    <d v="2017-03-27T00:00:00"/>
    <x v="1"/>
    <n v="48"/>
    <n v="150"/>
    <n v="118"/>
    <n v="217"/>
    <n v="166"/>
  </r>
  <r>
    <x v="0"/>
    <x v="0"/>
    <d v="2017-03-27T00:00:00"/>
    <x v="1"/>
    <n v="43"/>
    <n v="150"/>
    <n v="118"/>
    <n v="218"/>
    <n v="158"/>
  </r>
  <r>
    <x v="0"/>
    <x v="0"/>
    <d v="2017-03-28T00:00:00"/>
    <x v="1"/>
    <n v="56"/>
    <n v="150"/>
    <n v="118"/>
    <n v="219"/>
    <n v="195"/>
  </r>
  <r>
    <x v="0"/>
    <x v="0"/>
    <d v="2017-03-28T00:00:00"/>
    <x v="2"/>
    <n v="45"/>
    <n v="170"/>
    <n v="123"/>
    <n v="223"/>
    <n v="158"/>
  </r>
  <r>
    <x v="0"/>
    <x v="0"/>
    <d v="2017-03-28T00:00:00"/>
    <x v="2"/>
    <n v="55"/>
    <n v="170"/>
    <n v="123"/>
    <n v="222"/>
    <n v="192"/>
  </r>
  <r>
    <x v="0"/>
    <x v="0"/>
    <d v="2017-03-28T00:00:00"/>
    <x v="1"/>
    <n v="53"/>
    <n v="150"/>
    <n v="118"/>
    <n v="221"/>
    <n v="188"/>
  </r>
  <r>
    <x v="0"/>
    <x v="0"/>
    <d v="2017-03-28T00:00:00"/>
    <x v="1"/>
    <n v="47"/>
    <n v="150"/>
    <n v="118"/>
    <n v="220"/>
    <n v="172"/>
  </r>
  <r>
    <x v="0"/>
    <x v="0"/>
    <d v="2017-03-29T00:00:00"/>
    <x v="2"/>
    <n v="41"/>
    <n v="170"/>
    <n v="123"/>
    <n v="230"/>
    <n v="144"/>
  </r>
  <r>
    <x v="0"/>
    <x v="0"/>
    <d v="2017-03-29T00:00:00"/>
    <x v="0"/>
    <n v="43"/>
    <n v="125"/>
    <n v="114"/>
    <n v="231"/>
    <n v="158"/>
  </r>
  <r>
    <x v="0"/>
    <x v="0"/>
    <d v="2017-03-29T00:00:00"/>
    <x v="0"/>
    <n v="42"/>
    <n v="125"/>
    <n v="114"/>
    <n v="229"/>
    <n v="153"/>
  </r>
  <r>
    <x v="0"/>
    <x v="0"/>
    <d v="2017-03-29T00:00:00"/>
    <x v="1"/>
    <n v="62"/>
    <n v="150"/>
    <n v="118"/>
    <n v="228"/>
    <n v="291"/>
  </r>
  <r>
    <x v="0"/>
    <x v="0"/>
    <d v="2017-03-29T00:00:00"/>
    <x v="0"/>
    <n v="36"/>
    <n v="125"/>
    <n v="114"/>
    <n v="227"/>
    <n v="128"/>
  </r>
  <r>
    <x v="0"/>
    <x v="0"/>
    <d v="2017-03-29T00:00:00"/>
    <x v="0"/>
    <n v="58"/>
    <n v="125"/>
    <n v="114"/>
    <n v="226"/>
    <n v="212"/>
  </r>
  <r>
    <x v="0"/>
    <x v="0"/>
    <d v="2017-03-29T00:00:00"/>
    <x v="1"/>
    <n v="43"/>
    <n v="150"/>
    <n v="118"/>
    <n v="225"/>
    <n v="151"/>
  </r>
  <r>
    <x v="0"/>
    <x v="0"/>
    <d v="2017-03-29T00:00:00"/>
    <x v="1"/>
    <n v="45"/>
    <n v="150"/>
    <n v="118"/>
    <n v="224"/>
    <n v="158"/>
  </r>
  <r>
    <x v="0"/>
    <x v="0"/>
    <d v="2017-03-29T00:00:00"/>
    <x v="2"/>
    <n v="33"/>
    <n v="170"/>
    <n v="123"/>
    <n v="232"/>
    <n v="114"/>
  </r>
  <r>
    <x v="0"/>
    <x v="0"/>
    <d v="2017-03-30T00:00:00"/>
    <x v="2"/>
    <n v="55"/>
    <n v="170"/>
    <n v="123"/>
    <n v="237"/>
    <n v="197"/>
  </r>
  <r>
    <x v="0"/>
    <x v="0"/>
    <d v="2017-03-30T00:00:00"/>
    <x v="2"/>
    <n v="42"/>
    <n v="170"/>
    <n v="123"/>
    <n v="233"/>
    <n v="152"/>
  </r>
  <r>
    <x v="0"/>
    <x v="0"/>
    <d v="2017-03-30T00:00:00"/>
    <x v="1"/>
    <n v="45"/>
    <n v="150"/>
    <n v="118"/>
    <n v="234"/>
    <n v="156"/>
  </r>
  <r>
    <x v="0"/>
    <x v="0"/>
    <d v="2017-03-30T00:00:00"/>
    <x v="1"/>
    <n v="44"/>
    <n v="150"/>
    <n v="118"/>
    <n v="235"/>
    <n v="158"/>
  </r>
  <r>
    <x v="0"/>
    <x v="0"/>
    <d v="2017-03-30T00:00:00"/>
    <x v="1"/>
    <n v="53"/>
    <n v="150"/>
    <n v="118"/>
    <n v="236"/>
    <n v="183"/>
  </r>
  <r>
    <x v="0"/>
    <x v="0"/>
    <d v="2017-03-31T00:00:00"/>
    <x v="2"/>
    <n v="36"/>
    <n v="170"/>
    <n v="123"/>
    <n v="241"/>
    <n v="130"/>
  </r>
  <r>
    <x v="0"/>
    <x v="0"/>
    <d v="2017-03-31T00:00:00"/>
    <x v="0"/>
    <n v="53"/>
    <n v="125"/>
    <n v="114"/>
    <n v="243"/>
    <n v="187"/>
  </r>
  <r>
    <x v="0"/>
    <x v="0"/>
    <d v="2017-03-31T00:00:00"/>
    <x v="2"/>
    <n v="33"/>
    <n v="170"/>
    <n v="123"/>
    <n v="242"/>
    <n v="118"/>
  </r>
  <r>
    <x v="0"/>
    <x v="0"/>
    <d v="2017-03-31T00:00:00"/>
    <x v="2"/>
    <n v="40"/>
    <n v="170"/>
    <n v="123"/>
    <n v="240"/>
    <n v="147"/>
  </r>
  <r>
    <x v="0"/>
    <x v="0"/>
    <d v="2017-03-31T00:00:00"/>
    <x v="2"/>
    <n v="43"/>
    <n v="170"/>
    <n v="123"/>
    <n v="238"/>
    <n v="153"/>
  </r>
  <r>
    <x v="0"/>
    <x v="0"/>
    <d v="2017-03-31T00:00:00"/>
    <x v="1"/>
    <n v="42"/>
    <n v="150"/>
    <n v="118"/>
    <n v="239"/>
    <n v="145"/>
  </r>
  <r>
    <x v="0"/>
    <x v="1"/>
    <d v="2017-04-03T00:00:00"/>
    <x v="2"/>
    <n v="35"/>
    <n v="170"/>
    <n v="123"/>
    <n v="244"/>
    <n v="162"/>
  </r>
  <r>
    <x v="0"/>
    <x v="1"/>
    <d v="2017-04-03T00:00:00"/>
    <x v="2"/>
    <n v="30"/>
    <n v="170"/>
    <n v="123"/>
    <n v="245"/>
    <n v="105"/>
  </r>
  <r>
    <x v="0"/>
    <x v="1"/>
    <d v="2017-04-03T00:00:00"/>
    <x v="0"/>
    <n v="59"/>
    <n v="125"/>
    <n v="114"/>
    <n v="246"/>
    <n v="215"/>
  </r>
  <r>
    <x v="0"/>
    <x v="1"/>
    <d v="2017-04-03T00:00:00"/>
    <x v="0"/>
    <n v="49"/>
    <n v="125"/>
    <n v="114"/>
    <n v="247"/>
    <n v="174"/>
  </r>
  <r>
    <x v="0"/>
    <x v="1"/>
    <d v="2017-04-03T00:00:00"/>
    <x v="0"/>
    <n v="57"/>
    <n v="125"/>
    <n v="114"/>
    <n v="248"/>
    <n v="200"/>
  </r>
  <r>
    <x v="0"/>
    <x v="1"/>
    <d v="2017-04-03T00:00:00"/>
    <x v="0"/>
    <n v="38"/>
    <n v="125"/>
    <n v="114"/>
    <n v="249"/>
    <n v="133"/>
  </r>
  <r>
    <x v="0"/>
    <x v="1"/>
    <d v="2017-04-04T00:00:00"/>
    <x v="2"/>
    <n v="49"/>
    <n v="170"/>
    <n v="123"/>
    <n v="254"/>
    <n v="227"/>
  </r>
  <r>
    <x v="0"/>
    <x v="1"/>
    <d v="2017-04-04T00:00:00"/>
    <x v="1"/>
    <n v="56"/>
    <n v="150"/>
    <n v="118"/>
    <n v="257"/>
    <n v="204"/>
  </r>
  <r>
    <x v="0"/>
    <x v="1"/>
    <d v="2017-04-04T00:00:00"/>
    <x v="1"/>
    <n v="46"/>
    <n v="150"/>
    <n v="118"/>
    <n v="256"/>
    <n v="166"/>
  </r>
  <r>
    <x v="0"/>
    <x v="1"/>
    <d v="2017-04-04T00:00:00"/>
    <x v="0"/>
    <n v="41"/>
    <n v="125"/>
    <n v="114"/>
    <n v="255"/>
    <n v="145"/>
  </r>
  <r>
    <x v="0"/>
    <x v="1"/>
    <d v="2017-04-04T00:00:00"/>
    <x v="2"/>
    <n v="53"/>
    <n v="170"/>
    <n v="123"/>
    <n v="252"/>
    <n v="183"/>
  </r>
  <r>
    <x v="0"/>
    <x v="1"/>
    <d v="2017-04-04T00:00:00"/>
    <x v="0"/>
    <n v="51"/>
    <n v="125"/>
    <n v="114"/>
    <n v="251"/>
    <n v="185"/>
  </r>
  <r>
    <x v="0"/>
    <x v="1"/>
    <d v="2017-04-04T00:00:00"/>
    <x v="1"/>
    <n v="47"/>
    <n v="150"/>
    <n v="118"/>
    <n v="250"/>
    <n v="161"/>
  </r>
  <r>
    <x v="0"/>
    <x v="1"/>
    <d v="2017-04-04T00:00:00"/>
    <x v="2"/>
    <n v="34"/>
    <n v="170"/>
    <n v="123"/>
    <n v="258"/>
    <n v="121"/>
  </r>
  <r>
    <x v="0"/>
    <x v="1"/>
    <d v="2017-04-04T00:00:00"/>
    <x v="1"/>
    <n v="60"/>
    <n v="150"/>
    <n v="118"/>
    <n v="253"/>
    <n v="218"/>
  </r>
  <r>
    <x v="0"/>
    <x v="1"/>
    <d v="2017-04-05T00:00:00"/>
    <x v="0"/>
    <n v="37"/>
    <n v="125"/>
    <n v="114"/>
    <n v="262"/>
    <n v="127"/>
  </r>
  <r>
    <x v="0"/>
    <x v="1"/>
    <d v="2017-04-05T00:00:00"/>
    <x v="2"/>
    <n v="56"/>
    <n v="170"/>
    <n v="123"/>
    <n v="259"/>
    <n v="198"/>
  </r>
  <r>
    <x v="0"/>
    <x v="1"/>
    <d v="2017-04-05T00:00:00"/>
    <x v="2"/>
    <n v="35"/>
    <n v="170"/>
    <n v="123"/>
    <n v="260"/>
    <n v="163"/>
  </r>
  <r>
    <x v="0"/>
    <x v="1"/>
    <d v="2017-04-05T00:00:00"/>
    <x v="2"/>
    <n v="41"/>
    <n v="170"/>
    <n v="123"/>
    <n v="261"/>
    <n v="147"/>
  </r>
  <r>
    <x v="0"/>
    <x v="1"/>
    <d v="2017-04-06T00:00:00"/>
    <x v="2"/>
    <n v="39"/>
    <n v="170"/>
    <n v="123"/>
    <n v="269"/>
    <n v="137"/>
  </r>
  <r>
    <x v="0"/>
    <x v="1"/>
    <d v="2017-04-06T00:00:00"/>
    <x v="1"/>
    <n v="61"/>
    <n v="150"/>
    <n v="118"/>
    <n v="268"/>
    <n v="216"/>
  </r>
  <r>
    <x v="0"/>
    <x v="1"/>
    <d v="2017-04-06T00:00:00"/>
    <x v="2"/>
    <n v="49"/>
    <n v="170"/>
    <n v="123"/>
    <n v="267"/>
    <n v="169"/>
  </r>
  <r>
    <x v="0"/>
    <x v="1"/>
    <d v="2017-04-06T00:00:00"/>
    <x v="1"/>
    <n v="51"/>
    <n v="150"/>
    <n v="118"/>
    <n v="266"/>
    <n v="187"/>
  </r>
  <r>
    <x v="0"/>
    <x v="1"/>
    <d v="2017-04-06T00:00:00"/>
    <x v="2"/>
    <n v="39"/>
    <n v="170"/>
    <n v="123"/>
    <n v="265"/>
    <n v="139"/>
  </r>
  <r>
    <x v="0"/>
    <x v="1"/>
    <d v="2017-04-06T00:00:00"/>
    <x v="2"/>
    <n v="31"/>
    <n v="170"/>
    <n v="123"/>
    <n v="263"/>
    <n v="111"/>
  </r>
  <r>
    <x v="0"/>
    <x v="1"/>
    <d v="2017-04-06T00:00:00"/>
    <x v="2"/>
    <n v="50"/>
    <n v="170"/>
    <n v="123"/>
    <n v="264"/>
    <n v="177"/>
  </r>
  <r>
    <x v="0"/>
    <x v="1"/>
    <d v="2017-04-07T00:00:00"/>
    <x v="0"/>
    <n v="42"/>
    <n v="125"/>
    <n v="114"/>
    <n v="272"/>
    <n v="154"/>
  </r>
  <r>
    <x v="0"/>
    <x v="1"/>
    <d v="2017-04-07T00:00:00"/>
    <x v="0"/>
    <n v="46"/>
    <n v="125"/>
    <n v="114"/>
    <n v="275"/>
    <n v="166"/>
  </r>
  <r>
    <x v="0"/>
    <x v="1"/>
    <d v="2017-04-07T00:00:00"/>
    <x v="2"/>
    <n v="49"/>
    <n v="170"/>
    <n v="123"/>
    <n v="273"/>
    <n v="176"/>
  </r>
  <r>
    <x v="0"/>
    <x v="1"/>
    <d v="2017-04-07T00:00:00"/>
    <x v="1"/>
    <n v="63"/>
    <n v="150"/>
    <n v="118"/>
    <n v="270"/>
    <n v="226"/>
  </r>
  <r>
    <x v="0"/>
    <x v="1"/>
    <d v="2017-04-07T00:00:00"/>
    <x v="0"/>
    <n v="52"/>
    <n v="125"/>
    <n v="114"/>
    <n v="274"/>
    <n v="192"/>
  </r>
  <r>
    <x v="0"/>
    <x v="1"/>
    <d v="2017-04-07T00:00:00"/>
    <x v="0"/>
    <n v="43"/>
    <n v="125"/>
    <n v="114"/>
    <n v="271"/>
    <n v="153"/>
  </r>
  <r>
    <x v="0"/>
    <x v="1"/>
    <d v="2017-04-10T00:00:00"/>
    <x v="0"/>
    <n v="41"/>
    <n v="125"/>
    <n v="114"/>
    <n v="276"/>
    <n v="141"/>
  </r>
  <r>
    <x v="0"/>
    <x v="1"/>
    <d v="2017-04-10T00:00:00"/>
    <x v="2"/>
    <n v="39"/>
    <n v="170"/>
    <n v="123"/>
    <n v="277"/>
    <n v="136"/>
  </r>
  <r>
    <x v="0"/>
    <x v="1"/>
    <d v="2017-04-11T00:00:00"/>
    <x v="2"/>
    <n v="46"/>
    <n v="170"/>
    <n v="123"/>
    <n v="281"/>
    <n v="159"/>
  </r>
  <r>
    <x v="0"/>
    <x v="1"/>
    <d v="2017-04-11T00:00:00"/>
    <x v="0"/>
    <n v="49"/>
    <n v="125"/>
    <n v="114"/>
    <n v="282"/>
    <n v="180"/>
  </r>
  <r>
    <x v="0"/>
    <x v="1"/>
    <d v="2017-04-11T00:00:00"/>
    <x v="0"/>
    <n v="61"/>
    <n v="125"/>
    <n v="114"/>
    <n v="280"/>
    <n v="221"/>
  </r>
  <r>
    <x v="0"/>
    <x v="1"/>
    <d v="2017-04-11T00:00:00"/>
    <x v="2"/>
    <n v="35"/>
    <n v="170"/>
    <n v="123"/>
    <n v="279"/>
    <n v="121"/>
  </r>
  <r>
    <x v="0"/>
    <x v="1"/>
    <d v="2017-04-11T00:00:00"/>
    <x v="1"/>
    <n v="40"/>
    <n v="150"/>
    <n v="118"/>
    <n v="278"/>
    <n v="147"/>
  </r>
  <r>
    <x v="0"/>
    <x v="1"/>
    <d v="2017-04-12T00:00:00"/>
    <x v="2"/>
    <n v="54"/>
    <n v="170"/>
    <n v="123"/>
    <n v="284"/>
    <n v="187"/>
  </r>
  <r>
    <x v="0"/>
    <x v="1"/>
    <d v="2017-04-12T00:00:00"/>
    <x v="1"/>
    <n v="63"/>
    <n v="150"/>
    <n v="118"/>
    <n v="283"/>
    <n v="226"/>
  </r>
  <r>
    <x v="0"/>
    <x v="1"/>
    <d v="2017-04-13T00:00:00"/>
    <x v="2"/>
    <n v="39"/>
    <n v="170"/>
    <n v="123"/>
    <n v="285"/>
    <n v="140"/>
  </r>
  <r>
    <x v="0"/>
    <x v="1"/>
    <d v="2017-04-13T00:00:00"/>
    <x v="1"/>
    <n v="58"/>
    <n v="150"/>
    <n v="118"/>
    <n v="286"/>
    <n v="204"/>
  </r>
  <r>
    <x v="0"/>
    <x v="1"/>
    <d v="2017-04-13T00:00:00"/>
    <x v="1"/>
    <n v="63"/>
    <n v="150"/>
    <n v="118"/>
    <n v="287"/>
    <n v="223"/>
  </r>
  <r>
    <x v="0"/>
    <x v="1"/>
    <d v="2017-04-13T00:00:00"/>
    <x v="0"/>
    <n v="51"/>
    <n v="125"/>
    <n v="114"/>
    <n v="288"/>
    <n v="179"/>
  </r>
  <r>
    <x v="0"/>
    <x v="1"/>
    <d v="2017-04-13T00:00:00"/>
    <x v="0"/>
    <n v="39"/>
    <n v="125"/>
    <n v="114"/>
    <n v="289"/>
    <n v="139"/>
  </r>
  <r>
    <x v="0"/>
    <x v="1"/>
    <d v="2017-04-14T00:00:00"/>
    <x v="2"/>
    <n v="52"/>
    <n v="170"/>
    <n v="123"/>
    <n v="294"/>
    <n v="192"/>
  </r>
  <r>
    <x v="0"/>
    <x v="1"/>
    <d v="2017-04-14T00:00:00"/>
    <x v="2"/>
    <n v="51"/>
    <n v="170"/>
    <n v="123"/>
    <n v="293"/>
    <n v="184"/>
  </r>
  <r>
    <x v="0"/>
    <x v="1"/>
    <d v="2017-04-14T00:00:00"/>
    <x v="1"/>
    <n v="66"/>
    <n v="150"/>
    <n v="118"/>
    <n v="290"/>
    <n v="233"/>
  </r>
  <r>
    <x v="0"/>
    <x v="1"/>
    <d v="2017-04-14T00:00:00"/>
    <x v="0"/>
    <n v="40"/>
    <n v="125"/>
    <n v="114"/>
    <n v="291"/>
    <n v="143"/>
  </r>
  <r>
    <x v="0"/>
    <x v="1"/>
    <d v="2017-04-14T00:00:00"/>
    <x v="2"/>
    <n v="38"/>
    <n v="170"/>
    <n v="123"/>
    <n v="292"/>
    <n v="140"/>
  </r>
  <r>
    <x v="0"/>
    <x v="1"/>
    <d v="2017-04-14T00:00:00"/>
    <x v="1"/>
    <n v="56"/>
    <n v="150"/>
    <n v="118"/>
    <n v="295"/>
    <n v="202"/>
  </r>
  <r>
    <x v="0"/>
    <x v="1"/>
    <d v="2017-04-17T00:00:00"/>
    <x v="1"/>
    <n v="47"/>
    <n v="150"/>
    <n v="118"/>
    <n v="301"/>
    <n v="172"/>
  </r>
  <r>
    <x v="0"/>
    <x v="1"/>
    <d v="2017-04-17T00:00:00"/>
    <x v="0"/>
    <n v="46"/>
    <n v="125"/>
    <n v="114"/>
    <n v="296"/>
    <n v="166"/>
  </r>
  <r>
    <x v="0"/>
    <x v="1"/>
    <d v="2017-04-17T00:00:00"/>
    <x v="1"/>
    <n v="48"/>
    <n v="150"/>
    <n v="118"/>
    <n v="297"/>
    <n v="168"/>
  </r>
  <r>
    <x v="0"/>
    <x v="1"/>
    <d v="2017-04-17T00:00:00"/>
    <x v="1"/>
    <n v="51"/>
    <n v="150"/>
    <n v="118"/>
    <n v="298"/>
    <n v="178"/>
  </r>
  <r>
    <x v="0"/>
    <x v="1"/>
    <d v="2017-04-17T00:00:00"/>
    <x v="1"/>
    <n v="41"/>
    <n v="150"/>
    <n v="118"/>
    <n v="299"/>
    <n v="147"/>
  </r>
  <r>
    <x v="0"/>
    <x v="1"/>
    <d v="2017-04-17T00:00:00"/>
    <x v="2"/>
    <n v="51"/>
    <n v="170"/>
    <n v="123"/>
    <n v="300"/>
    <n v="190"/>
  </r>
  <r>
    <x v="0"/>
    <x v="1"/>
    <d v="2017-04-18T00:00:00"/>
    <x v="1"/>
    <n v="64"/>
    <n v="150"/>
    <n v="118"/>
    <n v="308"/>
    <n v="246"/>
  </r>
  <r>
    <x v="0"/>
    <x v="1"/>
    <d v="2017-04-18T00:00:00"/>
    <x v="2"/>
    <n v="37"/>
    <n v="170"/>
    <n v="123"/>
    <n v="307"/>
    <n v="173"/>
  </r>
  <r>
    <x v="0"/>
    <x v="1"/>
    <d v="2017-04-18T00:00:00"/>
    <x v="2"/>
    <n v="30"/>
    <n v="170"/>
    <n v="123"/>
    <n v="306"/>
    <n v="103"/>
  </r>
  <r>
    <x v="0"/>
    <x v="1"/>
    <d v="2017-04-18T00:00:00"/>
    <x v="1"/>
    <n v="51"/>
    <n v="150"/>
    <n v="118"/>
    <n v="305"/>
    <n v="181"/>
  </r>
  <r>
    <x v="0"/>
    <x v="1"/>
    <d v="2017-04-18T00:00:00"/>
    <x v="0"/>
    <n v="49"/>
    <n v="125"/>
    <n v="114"/>
    <n v="304"/>
    <n v="175"/>
  </r>
  <r>
    <x v="0"/>
    <x v="1"/>
    <d v="2017-04-18T00:00:00"/>
    <x v="2"/>
    <n v="52"/>
    <n v="170"/>
    <n v="123"/>
    <n v="302"/>
    <n v="183"/>
  </r>
  <r>
    <x v="0"/>
    <x v="1"/>
    <d v="2017-04-18T00:00:00"/>
    <x v="2"/>
    <n v="47"/>
    <n v="170"/>
    <n v="123"/>
    <n v="303"/>
    <n v="172"/>
  </r>
  <r>
    <x v="0"/>
    <x v="1"/>
    <d v="2017-04-19T00:00:00"/>
    <x v="2"/>
    <n v="55"/>
    <n v="170"/>
    <n v="123"/>
    <n v="314"/>
    <n v="195"/>
  </r>
  <r>
    <x v="0"/>
    <x v="1"/>
    <d v="2017-04-19T00:00:00"/>
    <x v="1"/>
    <n v="66"/>
    <n v="150"/>
    <n v="118"/>
    <n v="311"/>
    <n v="236"/>
  </r>
  <r>
    <x v="0"/>
    <x v="1"/>
    <d v="2017-04-19T00:00:00"/>
    <x v="1"/>
    <n v="47"/>
    <n v="150"/>
    <n v="118"/>
    <n v="315"/>
    <n v="172"/>
  </r>
  <r>
    <x v="0"/>
    <x v="1"/>
    <d v="2017-04-19T00:00:00"/>
    <x v="2"/>
    <n v="39"/>
    <n v="170"/>
    <n v="123"/>
    <n v="309"/>
    <n v="140"/>
  </r>
  <r>
    <x v="0"/>
    <x v="1"/>
    <d v="2017-04-19T00:00:00"/>
    <x v="1"/>
    <n v="59"/>
    <n v="150"/>
    <n v="118"/>
    <n v="310"/>
    <n v="209"/>
  </r>
  <r>
    <x v="0"/>
    <x v="1"/>
    <d v="2017-04-19T00:00:00"/>
    <x v="0"/>
    <n v="56"/>
    <n v="125"/>
    <n v="114"/>
    <n v="312"/>
    <n v="193"/>
  </r>
  <r>
    <x v="0"/>
    <x v="1"/>
    <d v="2017-04-19T00:00:00"/>
    <x v="1"/>
    <n v="61"/>
    <n v="150"/>
    <n v="118"/>
    <n v="313"/>
    <n v="225"/>
  </r>
  <r>
    <x v="0"/>
    <x v="1"/>
    <d v="2017-04-20T00:00:00"/>
    <x v="2"/>
    <n v="31"/>
    <n v="170"/>
    <n v="123"/>
    <n v="321"/>
    <n v="112"/>
  </r>
  <r>
    <x v="0"/>
    <x v="1"/>
    <d v="2017-04-20T00:00:00"/>
    <x v="1"/>
    <n v="52"/>
    <n v="150"/>
    <n v="118"/>
    <n v="316"/>
    <n v="191"/>
  </r>
  <r>
    <x v="0"/>
    <x v="1"/>
    <d v="2017-04-20T00:00:00"/>
    <x v="1"/>
    <n v="41"/>
    <n v="150"/>
    <n v="118"/>
    <n v="317"/>
    <n v="151"/>
  </r>
  <r>
    <x v="0"/>
    <x v="1"/>
    <d v="2017-04-20T00:00:00"/>
    <x v="2"/>
    <n v="40"/>
    <n v="170"/>
    <n v="123"/>
    <n v="318"/>
    <n v="146"/>
  </r>
  <r>
    <x v="0"/>
    <x v="1"/>
    <d v="2017-04-20T00:00:00"/>
    <x v="0"/>
    <n v="48"/>
    <n v="125"/>
    <n v="114"/>
    <n v="319"/>
    <n v="170"/>
  </r>
  <r>
    <x v="0"/>
    <x v="1"/>
    <d v="2017-04-20T00:00:00"/>
    <x v="0"/>
    <n v="50"/>
    <n v="125"/>
    <n v="114"/>
    <n v="320"/>
    <n v="182"/>
  </r>
  <r>
    <x v="0"/>
    <x v="1"/>
    <d v="2017-04-21T00:00:00"/>
    <x v="1"/>
    <n v="58"/>
    <n v="150"/>
    <n v="118"/>
    <n v="328"/>
    <n v="220"/>
  </r>
  <r>
    <x v="0"/>
    <x v="1"/>
    <d v="2017-04-21T00:00:00"/>
    <x v="0"/>
    <n v="51"/>
    <n v="125"/>
    <n v="114"/>
    <n v="327"/>
    <n v="175"/>
  </r>
  <r>
    <x v="0"/>
    <x v="1"/>
    <d v="2017-04-21T00:00:00"/>
    <x v="1"/>
    <n v="64"/>
    <n v="150"/>
    <n v="118"/>
    <n v="326"/>
    <n v="231"/>
  </r>
  <r>
    <x v="0"/>
    <x v="1"/>
    <d v="2017-04-21T00:00:00"/>
    <x v="1"/>
    <n v="58"/>
    <n v="150"/>
    <n v="118"/>
    <n v="325"/>
    <n v="205"/>
  </r>
  <r>
    <x v="0"/>
    <x v="1"/>
    <d v="2017-04-21T00:00:00"/>
    <x v="0"/>
    <n v="53"/>
    <n v="125"/>
    <n v="114"/>
    <n v="324"/>
    <n v="191"/>
  </r>
  <r>
    <x v="0"/>
    <x v="1"/>
    <d v="2017-04-21T00:00:00"/>
    <x v="0"/>
    <n v="51"/>
    <n v="125"/>
    <n v="114"/>
    <n v="322"/>
    <n v="187"/>
  </r>
  <r>
    <x v="0"/>
    <x v="1"/>
    <d v="2017-04-21T00:00:00"/>
    <x v="2"/>
    <n v="44"/>
    <n v="170"/>
    <n v="123"/>
    <n v="329"/>
    <n v="151"/>
  </r>
  <r>
    <x v="0"/>
    <x v="1"/>
    <d v="2017-04-21T00:00:00"/>
    <x v="1"/>
    <n v="44"/>
    <n v="150"/>
    <n v="118"/>
    <n v="323"/>
    <n v="156"/>
  </r>
  <r>
    <x v="0"/>
    <x v="1"/>
    <d v="2017-04-24T00:00:00"/>
    <x v="0"/>
    <n v="57"/>
    <n v="125"/>
    <n v="114"/>
    <n v="335"/>
    <n v="203"/>
  </r>
  <r>
    <x v="0"/>
    <x v="1"/>
    <d v="2017-04-24T00:00:00"/>
    <x v="0"/>
    <n v="44"/>
    <n v="125"/>
    <n v="114"/>
    <n v="334"/>
    <n v="157"/>
  </r>
  <r>
    <x v="0"/>
    <x v="1"/>
    <d v="2017-04-24T00:00:00"/>
    <x v="2"/>
    <n v="55"/>
    <n v="170"/>
    <n v="123"/>
    <n v="333"/>
    <n v="195"/>
  </r>
  <r>
    <x v="0"/>
    <x v="1"/>
    <d v="2017-04-24T00:00:00"/>
    <x v="2"/>
    <n v="35"/>
    <n v="170"/>
    <n v="123"/>
    <n v="330"/>
    <n v="128"/>
  </r>
  <r>
    <x v="0"/>
    <x v="1"/>
    <d v="2017-04-24T00:00:00"/>
    <x v="2"/>
    <n v="53"/>
    <n v="170"/>
    <n v="123"/>
    <n v="332"/>
    <n v="191"/>
  </r>
  <r>
    <x v="0"/>
    <x v="1"/>
    <d v="2017-04-24T00:00:00"/>
    <x v="0"/>
    <n v="53"/>
    <n v="125"/>
    <n v="114"/>
    <n v="331"/>
    <n v="183"/>
  </r>
  <r>
    <x v="0"/>
    <x v="1"/>
    <d v="2017-04-25T00:00:00"/>
    <x v="1"/>
    <n v="66"/>
    <n v="150"/>
    <n v="118"/>
    <n v="336"/>
    <n v="309"/>
  </r>
  <r>
    <x v="0"/>
    <x v="1"/>
    <d v="2017-04-25T00:00:00"/>
    <x v="2"/>
    <n v="32"/>
    <n v="170"/>
    <n v="123"/>
    <n v="337"/>
    <n v="111"/>
  </r>
  <r>
    <x v="0"/>
    <x v="1"/>
    <d v="2017-04-25T00:00:00"/>
    <x v="1"/>
    <n v="47"/>
    <n v="150"/>
    <n v="118"/>
    <n v="338"/>
    <n v="169"/>
  </r>
  <r>
    <x v="0"/>
    <x v="1"/>
    <d v="2017-04-26T00:00:00"/>
    <x v="1"/>
    <n v="43"/>
    <n v="150"/>
    <n v="118"/>
    <n v="341"/>
    <n v="148"/>
  </r>
  <r>
    <x v="0"/>
    <x v="1"/>
    <d v="2017-04-26T00:00:00"/>
    <x v="1"/>
    <n v="50"/>
    <n v="150"/>
    <n v="118"/>
    <n v="342"/>
    <n v="175"/>
  </r>
  <r>
    <x v="0"/>
    <x v="1"/>
    <d v="2017-04-26T00:00:00"/>
    <x v="2"/>
    <n v="54"/>
    <n v="170"/>
    <n v="123"/>
    <n v="340"/>
    <n v="199"/>
  </r>
  <r>
    <x v="0"/>
    <x v="1"/>
    <d v="2017-04-26T00:00:00"/>
    <x v="1"/>
    <n v="64"/>
    <n v="150"/>
    <n v="118"/>
    <n v="339"/>
    <n v="231"/>
  </r>
  <r>
    <x v="0"/>
    <x v="1"/>
    <d v="2017-04-26T00:00:00"/>
    <x v="0"/>
    <n v="57"/>
    <n v="125"/>
    <n v="114"/>
    <n v="343"/>
    <n v="198"/>
  </r>
  <r>
    <x v="0"/>
    <x v="1"/>
    <d v="2017-04-27T00:00:00"/>
    <x v="1"/>
    <n v="65"/>
    <n v="150"/>
    <n v="118"/>
    <n v="344"/>
    <n v="234"/>
  </r>
  <r>
    <x v="0"/>
    <x v="1"/>
    <d v="2017-04-27T00:00:00"/>
    <x v="0"/>
    <n v="35"/>
    <n v="125"/>
    <n v="114"/>
    <n v="345"/>
    <n v="126"/>
  </r>
  <r>
    <x v="0"/>
    <x v="1"/>
    <d v="2017-04-27T00:00:00"/>
    <x v="0"/>
    <n v="60"/>
    <n v="125"/>
    <n v="114"/>
    <n v="346"/>
    <n v="211"/>
  </r>
  <r>
    <x v="0"/>
    <x v="1"/>
    <d v="2017-04-28T00:00:00"/>
    <x v="2"/>
    <n v="35"/>
    <n v="170"/>
    <n v="123"/>
    <n v="349"/>
    <n v="129"/>
  </r>
  <r>
    <x v="0"/>
    <x v="1"/>
    <d v="2017-04-28T00:00:00"/>
    <x v="2"/>
    <n v="44"/>
    <n v="170"/>
    <n v="123"/>
    <n v="354"/>
    <n v="160"/>
  </r>
  <r>
    <x v="0"/>
    <x v="1"/>
    <d v="2017-04-28T00:00:00"/>
    <x v="2"/>
    <n v="51"/>
    <n v="170"/>
    <n v="123"/>
    <n v="353"/>
    <n v="182"/>
  </r>
  <r>
    <x v="0"/>
    <x v="1"/>
    <d v="2017-04-28T00:00:00"/>
    <x v="2"/>
    <n v="43"/>
    <n v="170"/>
    <n v="123"/>
    <n v="355"/>
    <n v="156"/>
  </r>
  <r>
    <x v="0"/>
    <x v="1"/>
    <d v="2017-04-28T00:00:00"/>
    <x v="0"/>
    <n v="60"/>
    <n v="125"/>
    <n v="114"/>
    <n v="352"/>
    <n v="221"/>
  </r>
  <r>
    <x v="0"/>
    <x v="1"/>
    <d v="2017-04-28T00:00:00"/>
    <x v="0"/>
    <n v="38"/>
    <n v="125"/>
    <n v="114"/>
    <n v="348"/>
    <n v="131"/>
  </r>
  <r>
    <x v="0"/>
    <x v="1"/>
    <d v="2017-04-28T00:00:00"/>
    <x v="0"/>
    <n v="36"/>
    <n v="125"/>
    <n v="114"/>
    <n v="347"/>
    <n v="139"/>
  </r>
  <r>
    <x v="0"/>
    <x v="1"/>
    <d v="2017-04-28T00:00:00"/>
    <x v="0"/>
    <n v="54"/>
    <n v="125"/>
    <n v="114"/>
    <n v="351"/>
    <n v="190"/>
  </r>
  <r>
    <x v="0"/>
    <x v="1"/>
    <d v="2017-04-28T00:00:00"/>
    <x v="0"/>
    <n v="46"/>
    <n v="125"/>
    <n v="114"/>
    <n v="350"/>
    <n v="163"/>
  </r>
  <r>
    <x v="0"/>
    <x v="1"/>
    <d v="2017-05-01T00:00:00"/>
    <x v="0"/>
    <n v="39"/>
    <n v="125"/>
    <n v="114"/>
    <n v="356"/>
    <n v="136"/>
  </r>
  <r>
    <x v="0"/>
    <x v="1"/>
    <d v="2017-05-01T00:00:00"/>
    <x v="0"/>
    <n v="52"/>
    <n v="125"/>
    <n v="114"/>
    <n v="357"/>
    <n v="185"/>
  </r>
  <r>
    <x v="0"/>
    <x v="1"/>
    <d v="2017-05-02T00:00:00"/>
    <x v="1"/>
    <n v="52"/>
    <n v="150"/>
    <n v="118"/>
    <n v="359"/>
    <n v="180"/>
  </r>
  <r>
    <x v="0"/>
    <x v="1"/>
    <d v="2017-05-02T00:00:00"/>
    <x v="2"/>
    <n v="49"/>
    <n v="170"/>
    <n v="123"/>
    <n v="360"/>
    <n v="173"/>
  </r>
  <r>
    <x v="0"/>
    <x v="1"/>
    <d v="2017-05-02T00:00:00"/>
    <x v="0"/>
    <n v="61"/>
    <n v="125"/>
    <n v="114"/>
    <n v="358"/>
    <n v="210"/>
  </r>
  <r>
    <x v="0"/>
    <x v="1"/>
    <d v="2017-05-03T00:00:00"/>
    <x v="2"/>
    <n v="46"/>
    <n v="170"/>
    <n v="123"/>
    <n v="362"/>
    <n v="158"/>
  </r>
  <r>
    <x v="0"/>
    <x v="1"/>
    <d v="2017-05-03T00:00:00"/>
    <x v="2"/>
    <n v="36"/>
    <n v="170"/>
    <n v="123"/>
    <n v="363"/>
    <n v="169"/>
  </r>
  <r>
    <x v="0"/>
    <x v="1"/>
    <d v="2017-05-03T00:00:00"/>
    <x v="1"/>
    <n v="52"/>
    <n v="150"/>
    <n v="118"/>
    <n v="364"/>
    <n v="181"/>
  </r>
  <r>
    <x v="0"/>
    <x v="1"/>
    <d v="2017-05-03T00:00:00"/>
    <x v="2"/>
    <n v="49"/>
    <n v="170"/>
    <n v="123"/>
    <n v="361"/>
    <n v="172"/>
  </r>
  <r>
    <x v="0"/>
    <x v="1"/>
    <d v="2017-05-04T00:00:00"/>
    <x v="0"/>
    <n v="43"/>
    <n v="125"/>
    <n v="114"/>
    <n v="365"/>
    <n v="148"/>
  </r>
  <r>
    <x v="0"/>
    <x v="1"/>
    <d v="2017-05-04T00:00:00"/>
    <x v="0"/>
    <n v="35"/>
    <n v="125"/>
    <n v="114"/>
    <n v="369"/>
    <n v="121"/>
  </r>
  <r>
    <x v="0"/>
    <x v="1"/>
    <d v="2017-05-04T00:00:00"/>
    <x v="2"/>
    <n v="42"/>
    <n v="170"/>
    <n v="123"/>
    <n v="368"/>
    <n v="153"/>
  </r>
  <r>
    <x v="0"/>
    <x v="1"/>
    <d v="2017-05-04T00:00:00"/>
    <x v="0"/>
    <n v="50"/>
    <n v="125"/>
    <n v="114"/>
    <n v="367"/>
    <n v="234"/>
  </r>
  <r>
    <x v="0"/>
    <x v="1"/>
    <d v="2017-05-04T00:00:00"/>
    <x v="2"/>
    <n v="37"/>
    <n v="170"/>
    <n v="123"/>
    <n v="366"/>
    <n v="128"/>
  </r>
  <r>
    <x v="0"/>
    <x v="1"/>
    <d v="2017-05-05T00:00:00"/>
    <x v="0"/>
    <n v="55"/>
    <n v="125"/>
    <n v="114"/>
    <n v="376"/>
    <n v="196"/>
  </r>
  <r>
    <x v="0"/>
    <x v="1"/>
    <d v="2017-05-05T00:00:00"/>
    <x v="2"/>
    <n v="32"/>
    <n v="170"/>
    <n v="123"/>
    <n v="370"/>
    <n v="111"/>
  </r>
  <r>
    <x v="0"/>
    <x v="1"/>
    <d v="2017-05-05T00:00:00"/>
    <x v="1"/>
    <n v="63"/>
    <n v="150"/>
    <n v="118"/>
    <n v="371"/>
    <n v="229"/>
  </r>
  <r>
    <x v="0"/>
    <x v="1"/>
    <d v="2017-05-05T00:00:00"/>
    <x v="1"/>
    <n v="44"/>
    <n v="150"/>
    <n v="118"/>
    <n v="372"/>
    <n v="159"/>
  </r>
  <r>
    <x v="0"/>
    <x v="1"/>
    <d v="2017-05-05T00:00:00"/>
    <x v="1"/>
    <n v="46"/>
    <n v="150"/>
    <n v="118"/>
    <n v="373"/>
    <n v="156"/>
  </r>
  <r>
    <x v="0"/>
    <x v="1"/>
    <d v="2017-05-05T00:00:00"/>
    <x v="0"/>
    <n v="61"/>
    <n v="125"/>
    <n v="114"/>
    <n v="374"/>
    <n v="218"/>
  </r>
  <r>
    <x v="0"/>
    <x v="1"/>
    <d v="2017-05-05T00:00:00"/>
    <x v="1"/>
    <n v="62"/>
    <n v="150"/>
    <n v="118"/>
    <n v="375"/>
    <n v="220"/>
  </r>
  <r>
    <x v="0"/>
    <x v="1"/>
    <d v="2017-05-08T00:00:00"/>
    <x v="0"/>
    <n v="59"/>
    <n v="125"/>
    <n v="114"/>
    <n v="382"/>
    <n v="203"/>
  </r>
  <r>
    <x v="0"/>
    <x v="1"/>
    <d v="2017-05-08T00:00:00"/>
    <x v="0"/>
    <n v="57"/>
    <n v="125"/>
    <n v="114"/>
    <n v="381"/>
    <n v="210"/>
  </r>
  <r>
    <x v="0"/>
    <x v="1"/>
    <d v="2017-05-08T00:00:00"/>
    <x v="1"/>
    <n v="52"/>
    <n v="150"/>
    <n v="118"/>
    <n v="380"/>
    <n v="244"/>
  </r>
  <r>
    <x v="0"/>
    <x v="1"/>
    <d v="2017-05-08T00:00:00"/>
    <x v="2"/>
    <n v="56"/>
    <n v="170"/>
    <n v="123"/>
    <n v="379"/>
    <n v="192"/>
  </r>
  <r>
    <x v="0"/>
    <x v="1"/>
    <d v="2017-05-08T00:00:00"/>
    <x v="1"/>
    <n v="60"/>
    <n v="150"/>
    <n v="118"/>
    <n v="377"/>
    <n v="209"/>
  </r>
  <r>
    <x v="0"/>
    <x v="1"/>
    <d v="2017-05-08T00:00:00"/>
    <x v="0"/>
    <n v="47"/>
    <n v="125"/>
    <n v="114"/>
    <n v="378"/>
    <n v="168"/>
  </r>
  <r>
    <x v="0"/>
    <x v="1"/>
    <d v="2017-05-09T00:00:00"/>
    <x v="1"/>
    <n v="66"/>
    <n v="150"/>
    <n v="118"/>
    <n v="387"/>
    <n v="238"/>
  </r>
  <r>
    <x v="0"/>
    <x v="1"/>
    <d v="2017-05-09T00:00:00"/>
    <x v="2"/>
    <n v="37"/>
    <n v="170"/>
    <n v="123"/>
    <n v="383"/>
    <n v="131"/>
  </r>
  <r>
    <x v="0"/>
    <x v="1"/>
    <d v="2017-05-09T00:00:00"/>
    <x v="2"/>
    <n v="51"/>
    <n v="170"/>
    <n v="123"/>
    <n v="388"/>
    <n v="177"/>
  </r>
  <r>
    <x v="0"/>
    <x v="1"/>
    <d v="2017-05-09T00:00:00"/>
    <x v="1"/>
    <n v="41"/>
    <n v="150"/>
    <n v="118"/>
    <n v="386"/>
    <n v="158"/>
  </r>
  <r>
    <x v="0"/>
    <x v="1"/>
    <d v="2017-05-09T00:00:00"/>
    <x v="0"/>
    <n v="59"/>
    <n v="125"/>
    <n v="114"/>
    <n v="384"/>
    <n v="206"/>
  </r>
  <r>
    <x v="0"/>
    <x v="1"/>
    <d v="2017-05-09T00:00:00"/>
    <x v="2"/>
    <n v="40"/>
    <n v="170"/>
    <n v="123"/>
    <n v="385"/>
    <n v="139"/>
  </r>
  <r>
    <x v="0"/>
    <x v="1"/>
    <d v="2017-05-10T00:00:00"/>
    <x v="2"/>
    <n v="51"/>
    <n v="170"/>
    <n v="123"/>
    <n v="389"/>
    <n v="175"/>
  </r>
  <r>
    <x v="0"/>
    <x v="1"/>
    <d v="2017-05-10T00:00:00"/>
    <x v="2"/>
    <n v="51"/>
    <n v="170"/>
    <n v="123"/>
    <n v="390"/>
    <n v="184"/>
  </r>
  <r>
    <x v="0"/>
    <x v="1"/>
    <d v="2017-05-10T00:00:00"/>
    <x v="2"/>
    <n v="54"/>
    <n v="170"/>
    <n v="123"/>
    <n v="391"/>
    <n v="199"/>
  </r>
  <r>
    <x v="0"/>
    <x v="1"/>
    <d v="2017-05-11T00:00:00"/>
    <x v="2"/>
    <n v="49"/>
    <n v="170"/>
    <n v="123"/>
    <n v="392"/>
    <n v="176"/>
  </r>
  <r>
    <x v="0"/>
    <x v="1"/>
    <d v="2017-05-11T00:00:00"/>
    <x v="0"/>
    <n v="53"/>
    <n v="125"/>
    <n v="114"/>
    <n v="393"/>
    <n v="193"/>
  </r>
  <r>
    <x v="0"/>
    <x v="1"/>
    <d v="2017-05-11T00:00:00"/>
    <x v="0"/>
    <n v="57"/>
    <n v="125"/>
    <n v="114"/>
    <n v="394"/>
    <n v="264"/>
  </r>
  <r>
    <x v="0"/>
    <x v="1"/>
    <d v="2017-05-11T00:00:00"/>
    <x v="2"/>
    <n v="53"/>
    <n v="170"/>
    <n v="123"/>
    <n v="395"/>
    <n v="191"/>
  </r>
  <r>
    <x v="0"/>
    <x v="1"/>
    <d v="2017-05-11T00:00:00"/>
    <x v="0"/>
    <n v="50"/>
    <n v="125"/>
    <n v="114"/>
    <n v="396"/>
    <n v="174"/>
  </r>
  <r>
    <x v="0"/>
    <x v="1"/>
    <d v="2017-05-11T00:00:00"/>
    <x v="1"/>
    <n v="56"/>
    <n v="150"/>
    <n v="118"/>
    <n v="397"/>
    <n v="211"/>
  </r>
  <r>
    <x v="0"/>
    <x v="1"/>
    <d v="2017-05-12T00:00:00"/>
    <x v="2"/>
    <n v="43"/>
    <n v="170"/>
    <n v="123"/>
    <n v="402"/>
    <n v="156"/>
  </r>
  <r>
    <x v="0"/>
    <x v="1"/>
    <d v="2017-05-12T00:00:00"/>
    <x v="0"/>
    <n v="60"/>
    <n v="125"/>
    <n v="114"/>
    <n v="404"/>
    <n v="217"/>
  </r>
  <r>
    <x v="0"/>
    <x v="1"/>
    <d v="2017-05-12T00:00:00"/>
    <x v="0"/>
    <n v="45"/>
    <n v="125"/>
    <n v="114"/>
    <n v="403"/>
    <n v="164"/>
  </r>
  <r>
    <x v="0"/>
    <x v="1"/>
    <d v="2017-05-12T00:00:00"/>
    <x v="0"/>
    <n v="51"/>
    <n v="125"/>
    <n v="114"/>
    <n v="400"/>
    <n v="176"/>
  </r>
  <r>
    <x v="0"/>
    <x v="1"/>
    <d v="2017-05-12T00:00:00"/>
    <x v="0"/>
    <n v="60"/>
    <n v="125"/>
    <n v="114"/>
    <n v="399"/>
    <n v="217"/>
  </r>
  <r>
    <x v="0"/>
    <x v="1"/>
    <d v="2017-05-12T00:00:00"/>
    <x v="0"/>
    <n v="48"/>
    <n v="125"/>
    <n v="114"/>
    <n v="398"/>
    <n v="167"/>
  </r>
  <r>
    <x v="0"/>
    <x v="1"/>
    <d v="2017-05-12T00:00:00"/>
    <x v="0"/>
    <n v="49"/>
    <n v="125"/>
    <n v="114"/>
    <n v="401"/>
    <n v="178"/>
  </r>
  <r>
    <x v="0"/>
    <x v="1"/>
    <d v="2017-05-15T00:00:00"/>
    <x v="2"/>
    <n v="47"/>
    <n v="170"/>
    <n v="123"/>
    <n v="409"/>
    <n v="167"/>
  </r>
  <r>
    <x v="0"/>
    <x v="1"/>
    <d v="2017-05-15T00:00:00"/>
    <x v="1"/>
    <n v="56"/>
    <n v="150"/>
    <n v="118"/>
    <n v="405"/>
    <n v="203"/>
  </r>
  <r>
    <x v="0"/>
    <x v="1"/>
    <d v="2017-05-15T00:00:00"/>
    <x v="2"/>
    <n v="30"/>
    <n v="170"/>
    <n v="123"/>
    <n v="406"/>
    <n v="110"/>
  </r>
  <r>
    <x v="0"/>
    <x v="1"/>
    <d v="2017-05-15T00:00:00"/>
    <x v="2"/>
    <n v="47"/>
    <n v="170"/>
    <n v="123"/>
    <n v="407"/>
    <n v="163"/>
  </r>
  <r>
    <x v="0"/>
    <x v="1"/>
    <d v="2017-05-15T00:00:00"/>
    <x v="0"/>
    <n v="37"/>
    <n v="125"/>
    <n v="114"/>
    <n v="408"/>
    <n v="170"/>
  </r>
  <r>
    <x v="0"/>
    <x v="1"/>
    <d v="2017-05-16T00:00:00"/>
    <x v="0"/>
    <n v="46"/>
    <n v="125"/>
    <n v="114"/>
    <n v="415"/>
    <n v="169"/>
  </r>
  <r>
    <x v="0"/>
    <x v="1"/>
    <d v="2017-05-16T00:00:00"/>
    <x v="0"/>
    <n v="52"/>
    <n v="125"/>
    <n v="114"/>
    <n v="414"/>
    <n v="190"/>
  </r>
  <r>
    <x v="0"/>
    <x v="1"/>
    <d v="2017-05-16T00:00:00"/>
    <x v="1"/>
    <n v="64"/>
    <n v="150"/>
    <n v="118"/>
    <n v="413"/>
    <n v="300"/>
  </r>
  <r>
    <x v="0"/>
    <x v="1"/>
    <d v="2017-05-16T00:00:00"/>
    <x v="1"/>
    <n v="60"/>
    <n v="150"/>
    <n v="118"/>
    <n v="412"/>
    <n v="208"/>
  </r>
  <r>
    <x v="0"/>
    <x v="1"/>
    <d v="2017-05-16T00:00:00"/>
    <x v="2"/>
    <n v="46"/>
    <n v="170"/>
    <n v="123"/>
    <n v="410"/>
    <n v="166"/>
  </r>
  <r>
    <x v="0"/>
    <x v="1"/>
    <d v="2017-05-16T00:00:00"/>
    <x v="0"/>
    <n v="52"/>
    <n v="125"/>
    <n v="114"/>
    <n v="411"/>
    <n v="189"/>
  </r>
  <r>
    <x v="0"/>
    <x v="1"/>
    <d v="2017-05-17T00:00:00"/>
    <x v="1"/>
    <n v="55"/>
    <n v="150"/>
    <n v="118"/>
    <n v="419"/>
    <n v="195"/>
  </r>
  <r>
    <x v="0"/>
    <x v="1"/>
    <d v="2017-05-17T00:00:00"/>
    <x v="2"/>
    <n v="40"/>
    <n v="170"/>
    <n v="123"/>
    <n v="421"/>
    <n v="145"/>
  </r>
  <r>
    <x v="0"/>
    <x v="1"/>
    <d v="2017-05-17T00:00:00"/>
    <x v="2"/>
    <n v="34"/>
    <n v="170"/>
    <n v="123"/>
    <n v="420"/>
    <n v="125"/>
  </r>
  <r>
    <x v="0"/>
    <x v="1"/>
    <d v="2017-05-17T00:00:00"/>
    <x v="0"/>
    <n v="48"/>
    <n v="125"/>
    <n v="114"/>
    <n v="417"/>
    <n v="170"/>
  </r>
  <r>
    <x v="0"/>
    <x v="1"/>
    <d v="2017-05-17T00:00:00"/>
    <x v="0"/>
    <n v="53"/>
    <n v="125"/>
    <n v="114"/>
    <n v="416"/>
    <n v="186"/>
  </r>
  <r>
    <x v="0"/>
    <x v="1"/>
    <d v="2017-05-17T00:00:00"/>
    <x v="1"/>
    <n v="51"/>
    <n v="150"/>
    <n v="118"/>
    <n v="418"/>
    <n v="181"/>
  </r>
  <r>
    <x v="0"/>
    <x v="1"/>
    <d v="2017-05-18T00:00:00"/>
    <x v="0"/>
    <n v="45"/>
    <n v="125"/>
    <n v="114"/>
    <n v="429"/>
    <n v="162"/>
  </r>
  <r>
    <x v="0"/>
    <x v="1"/>
    <d v="2017-05-18T00:00:00"/>
    <x v="0"/>
    <n v="57"/>
    <n v="125"/>
    <n v="114"/>
    <n v="422"/>
    <n v="210"/>
  </r>
  <r>
    <x v="0"/>
    <x v="1"/>
    <d v="2017-05-18T00:00:00"/>
    <x v="1"/>
    <n v="43"/>
    <n v="150"/>
    <n v="118"/>
    <n v="430"/>
    <n v="153"/>
  </r>
  <r>
    <x v="0"/>
    <x v="1"/>
    <d v="2017-05-18T00:00:00"/>
    <x v="1"/>
    <n v="51"/>
    <n v="150"/>
    <n v="118"/>
    <n v="428"/>
    <n v="175"/>
  </r>
  <r>
    <x v="0"/>
    <x v="1"/>
    <d v="2017-05-18T00:00:00"/>
    <x v="0"/>
    <n v="51"/>
    <n v="125"/>
    <n v="114"/>
    <n v="427"/>
    <n v="179"/>
  </r>
  <r>
    <x v="0"/>
    <x v="1"/>
    <d v="2017-05-18T00:00:00"/>
    <x v="1"/>
    <n v="55"/>
    <n v="150"/>
    <n v="118"/>
    <n v="426"/>
    <n v="191"/>
  </r>
  <r>
    <x v="0"/>
    <x v="1"/>
    <d v="2017-05-18T00:00:00"/>
    <x v="2"/>
    <n v="53"/>
    <n v="170"/>
    <n v="123"/>
    <n v="425"/>
    <n v="184"/>
  </r>
  <r>
    <x v="0"/>
    <x v="1"/>
    <d v="2017-05-18T00:00:00"/>
    <x v="1"/>
    <n v="52"/>
    <n v="150"/>
    <n v="118"/>
    <n v="424"/>
    <n v="190"/>
  </r>
  <r>
    <x v="0"/>
    <x v="1"/>
    <d v="2017-05-18T00:00:00"/>
    <x v="0"/>
    <n v="35"/>
    <n v="125"/>
    <n v="114"/>
    <n v="423"/>
    <n v="131"/>
  </r>
  <r>
    <x v="0"/>
    <x v="1"/>
    <d v="2017-05-19T00:00:00"/>
    <x v="2"/>
    <n v="30"/>
    <n v="170"/>
    <n v="123"/>
    <n v="439"/>
    <n v="104"/>
  </r>
  <r>
    <x v="0"/>
    <x v="1"/>
    <d v="2017-05-19T00:00:00"/>
    <x v="1"/>
    <n v="57"/>
    <n v="150"/>
    <n v="118"/>
    <n v="432"/>
    <n v="210"/>
  </r>
  <r>
    <x v="0"/>
    <x v="1"/>
    <d v="2017-05-19T00:00:00"/>
    <x v="2"/>
    <n v="42"/>
    <n v="170"/>
    <n v="123"/>
    <n v="433"/>
    <n v="194"/>
  </r>
  <r>
    <x v="0"/>
    <x v="1"/>
    <d v="2017-05-19T00:00:00"/>
    <x v="2"/>
    <n v="38"/>
    <n v="170"/>
    <n v="123"/>
    <n v="434"/>
    <n v="139"/>
  </r>
  <r>
    <x v="0"/>
    <x v="1"/>
    <d v="2017-05-19T00:00:00"/>
    <x v="2"/>
    <n v="43"/>
    <n v="170"/>
    <n v="123"/>
    <n v="435"/>
    <n v="149"/>
  </r>
  <r>
    <x v="0"/>
    <x v="1"/>
    <d v="2017-05-19T00:00:00"/>
    <x v="2"/>
    <n v="50"/>
    <n v="170"/>
    <n v="123"/>
    <n v="436"/>
    <n v="182"/>
  </r>
  <r>
    <x v="0"/>
    <x v="1"/>
    <d v="2017-05-19T00:00:00"/>
    <x v="0"/>
    <n v="48"/>
    <n v="125"/>
    <n v="114"/>
    <n v="437"/>
    <n v="168"/>
  </r>
  <r>
    <x v="0"/>
    <x v="1"/>
    <d v="2017-05-19T00:00:00"/>
    <x v="2"/>
    <n v="56"/>
    <n v="170"/>
    <n v="123"/>
    <n v="438"/>
    <n v="204"/>
  </r>
  <r>
    <x v="0"/>
    <x v="1"/>
    <d v="2017-05-19T00:00:00"/>
    <x v="2"/>
    <n v="49"/>
    <n v="170"/>
    <n v="123"/>
    <n v="431"/>
    <n v="179"/>
  </r>
  <r>
    <x v="0"/>
    <x v="1"/>
    <d v="2017-05-22T00:00:00"/>
    <x v="0"/>
    <n v="60"/>
    <n v="125"/>
    <n v="114"/>
    <n v="442"/>
    <n v="210"/>
  </r>
  <r>
    <x v="0"/>
    <x v="1"/>
    <d v="2017-05-22T00:00:00"/>
    <x v="0"/>
    <n v="57"/>
    <n v="125"/>
    <n v="114"/>
    <n v="441"/>
    <n v="268"/>
  </r>
  <r>
    <x v="0"/>
    <x v="1"/>
    <d v="2017-05-22T00:00:00"/>
    <x v="2"/>
    <n v="30"/>
    <n v="170"/>
    <n v="123"/>
    <n v="440"/>
    <n v="104"/>
  </r>
  <r>
    <x v="0"/>
    <x v="1"/>
    <d v="2017-05-23T00:00:00"/>
    <x v="0"/>
    <n v="45"/>
    <n v="125"/>
    <n v="114"/>
    <n v="443"/>
    <n v="161"/>
  </r>
  <r>
    <x v="0"/>
    <x v="1"/>
    <d v="2017-05-23T00:00:00"/>
    <x v="1"/>
    <n v="46"/>
    <n v="150"/>
    <n v="118"/>
    <n v="444"/>
    <n v="212"/>
  </r>
  <r>
    <x v="0"/>
    <x v="1"/>
    <d v="2017-05-23T00:00:00"/>
    <x v="1"/>
    <n v="45"/>
    <n v="150"/>
    <n v="118"/>
    <n v="445"/>
    <n v="158"/>
  </r>
  <r>
    <x v="0"/>
    <x v="1"/>
    <d v="2017-05-23T00:00:00"/>
    <x v="2"/>
    <n v="48"/>
    <n v="170"/>
    <n v="123"/>
    <n v="446"/>
    <n v="165"/>
  </r>
  <r>
    <x v="0"/>
    <x v="1"/>
    <d v="2017-05-23T00:00:00"/>
    <x v="0"/>
    <n v="47"/>
    <n v="125"/>
    <n v="114"/>
    <n v="447"/>
    <n v="167"/>
  </r>
  <r>
    <x v="0"/>
    <x v="1"/>
    <d v="2017-05-23T00:00:00"/>
    <x v="0"/>
    <n v="40"/>
    <n v="125"/>
    <n v="114"/>
    <n v="448"/>
    <n v="145"/>
  </r>
  <r>
    <x v="0"/>
    <x v="1"/>
    <d v="2017-05-23T00:00:00"/>
    <x v="1"/>
    <n v="45"/>
    <n v="150"/>
    <n v="118"/>
    <n v="449"/>
    <n v="158"/>
  </r>
  <r>
    <x v="0"/>
    <x v="1"/>
    <d v="2017-05-24T00:00:00"/>
    <x v="0"/>
    <n v="51"/>
    <n v="125"/>
    <n v="114"/>
    <n v="450"/>
    <n v="236"/>
  </r>
  <r>
    <x v="0"/>
    <x v="1"/>
    <d v="2017-05-24T00:00:00"/>
    <x v="2"/>
    <n v="44"/>
    <n v="170"/>
    <n v="123"/>
    <n v="456"/>
    <n v="160"/>
  </r>
  <r>
    <x v="0"/>
    <x v="1"/>
    <d v="2017-05-24T00:00:00"/>
    <x v="0"/>
    <n v="55"/>
    <n v="125"/>
    <n v="114"/>
    <n v="455"/>
    <n v="191"/>
  </r>
  <r>
    <x v="0"/>
    <x v="1"/>
    <d v="2017-05-24T00:00:00"/>
    <x v="1"/>
    <n v="54"/>
    <n v="150"/>
    <n v="118"/>
    <n v="454"/>
    <n v="197"/>
  </r>
  <r>
    <x v="0"/>
    <x v="1"/>
    <d v="2017-05-24T00:00:00"/>
    <x v="2"/>
    <n v="50"/>
    <n v="170"/>
    <n v="123"/>
    <n v="453"/>
    <n v="232"/>
  </r>
  <r>
    <x v="0"/>
    <x v="1"/>
    <d v="2017-05-24T00:00:00"/>
    <x v="2"/>
    <n v="33"/>
    <n v="170"/>
    <n v="123"/>
    <n v="451"/>
    <n v="120"/>
  </r>
  <r>
    <x v="0"/>
    <x v="1"/>
    <d v="2017-05-24T00:00:00"/>
    <x v="2"/>
    <n v="50"/>
    <n v="170"/>
    <n v="123"/>
    <n v="452"/>
    <n v="183"/>
  </r>
  <r>
    <x v="0"/>
    <x v="1"/>
    <d v="2017-05-25T00:00:00"/>
    <x v="2"/>
    <n v="35"/>
    <n v="170"/>
    <n v="123"/>
    <n v="462"/>
    <n v="128"/>
  </r>
  <r>
    <x v="0"/>
    <x v="1"/>
    <d v="2017-05-25T00:00:00"/>
    <x v="0"/>
    <n v="46"/>
    <n v="125"/>
    <n v="114"/>
    <n v="457"/>
    <n v="169"/>
  </r>
  <r>
    <x v="0"/>
    <x v="1"/>
    <d v="2017-05-25T00:00:00"/>
    <x v="1"/>
    <n v="40"/>
    <n v="150"/>
    <n v="118"/>
    <n v="465"/>
    <n v="143"/>
  </r>
  <r>
    <x v="0"/>
    <x v="1"/>
    <d v="2017-05-25T00:00:00"/>
    <x v="2"/>
    <n v="38"/>
    <n v="170"/>
    <n v="123"/>
    <n v="464"/>
    <n v="145"/>
  </r>
  <r>
    <x v="0"/>
    <x v="1"/>
    <d v="2017-05-25T00:00:00"/>
    <x v="1"/>
    <n v="48"/>
    <n v="150"/>
    <n v="118"/>
    <n v="463"/>
    <n v="174"/>
  </r>
  <r>
    <x v="0"/>
    <x v="1"/>
    <d v="2017-05-25T00:00:00"/>
    <x v="1"/>
    <n v="63"/>
    <n v="150"/>
    <n v="118"/>
    <n v="461"/>
    <n v="214"/>
  </r>
  <r>
    <x v="0"/>
    <x v="1"/>
    <d v="2017-05-25T00:00:00"/>
    <x v="1"/>
    <n v="40"/>
    <n v="150"/>
    <n v="118"/>
    <n v="460"/>
    <n v="143"/>
  </r>
  <r>
    <x v="0"/>
    <x v="1"/>
    <d v="2017-05-25T00:00:00"/>
    <x v="0"/>
    <n v="37"/>
    <n v="125"/>
    <n v="114"/>
    <n v="458"/>
    <n v="135"/>
  </r>
  <r>
    <x v="0"/>
    <x v="1"/>
    <d v="2017-05-25T00:00:00"/>
    <x v="0"/>
    <n v="48"/>
    <n v="125"/>
    <n v="114"/>
    <n v="459"/>
    <n v="176"/>
  </r>
  <r>
    <x v="0"/>
    <x v="1"/>
    <d v="2017-05-26T00:00:00"/>
    <x v="1"/>
    <n v="52"/>
    <n v="150"/>
    <n v="118"/>
    <n v="466"/>
    <n v="244"/>
  </r>
  <r>
    <x v="0"/>
    <x v="1"/>
    <d v="2017-05-26T00:00:00"/>
    <x v="0"/>
    <n v="46"/>
    <n v="125"/>
    <n v="114"/>
    <n v="467"/>
    <n v="212"/>
  </r>
  <r>
    <x v="0"/>
    <x v="1"/>
    <d v="2017-05-26T00:00:00"/>
    <x v="2"/>
    <n v="43"/>
    <n v="170"/>
    <n v="123"/>
    <n v="468"/>
    <n v="155"/>
  </r>
  <r>
    <x v="0"/>
    <x v="1"/>
    <d v="2017-05-26T00:00:00"/>
    <x v="1"/>
    <n v="42"/>
    <n v="150"/>
    <n v="118"/>
    <n v="469"/>
    <n v="146"/>
  </r>
  <r>
    <x v="0"/>
    <x v="1"/>
    <d v="2017-05-26T00:00:00"/>
    <x v="2"/>
    <n v="55"/>
    <n v="170"/>
    <n v="123"/>
    <n v="470"/>
    <n v="203"/>
  </r>
  <r>
    <x v="0"/>
    <x v="1"/>
    <d v="2017-05-29T00:00:00"/>
    <x v="1"/>
    <n v="57"/>
    <n v="150"/>
    <n v="118"/>
    <n v="471"/>
    <n v="208"/>
  </r>
  <r>
    <x v="0"/>
    <x v="1"/>
    <d v="2017-05-29T00:00:00"/>
    <x v="0"/>
    <n v="39"/>
    <n v="125"/>
    <n v="114"/>
    <n v="472"/>
    <n v="150"/>
  </r>
  <r>
    <x v="0"/>
    <x v="1"/>
    <d v="2017-05-29T00:00:00"/>
    <x v="0"/>
    <n v="36"/>
    <n v="125"/>
    <n v="114"/>
    <n v="473"/>
    <n v="167"/>
  </r>
  <r>
    <x v="0"/>
    <x v="1"/>
    <d v="2017-05-30T00:00:00"/>
    <x v="0"/>
    <n v="38"/>
    <n v="125"/>
    <n v="114"/>
    <n v="477"/>
    <n v="137"/>
  </r>
  <r>
    <x v="0"/>
    <x v="1"/>
    <d v="2017-05-30T00:00:00"/>
    <x v="0"/>
    <n v="45"/>
    <n v="125"/>
    <n v="114"/>
    <n v="476"/>
    <n v="212"/>
  </r>
  <r>
    <x v="0"/>
    <x v="1"/>
    <d v="2017-05-30T00:00:00"/>
    <x v="1"/>
    <n v="64"/>
    <n v="150"/>
    <n v="118"/>
    <n v="475"/>
    <n v="233"/>
  </r>
  <r>
    <x v="0"/>
    <x v="1"/>
    <d v="2017-05-30T00:00:00"/>
    <x v="2"/>
    <n v="48"/>
    <n v="170"/>
    <n v="123"/>
    <n v="474"/>
    <n v="166"/>
  </r>
  <r>
    <x v="0"/>
    <x v="1"/>
    <d v="2017-05-31T00:00:00"/>
    <x v="1"/>
    <n v="66"/>
    <n v="150"/>
    <n v="118"/>
    <n v="479"/>
    <n v="227"/>
  </r>
  <r>
    <x v="0"/>
    <x v="1"/>
    <d v="2017-05-31T00:00:00"/>
    <x v="2"/>
    <n v="50"/>
    <n v="170"/>
    <n v="123"/>
    <n v="480"/>
    <n v="178"/>
  </r>
  <r>
    <x v="0"/>
    <x v="1"/>
    <d v="2017-05-31T00:00:00"/>
    <x v="0"/>
    <n v="36"/>
    <n v="125"/>
    <n v="114"/>
    <n v="481"/>
    <n v="169"/>
  </r>
  <r>
    <x v="0"/>
    <x v="1"/>
    <d v="2017-05-31T00:00:00"/>
    <x v="1"/>
    <n v="63"/>
    <n v="150"/>
    <n v="118"/>
    <n v="478"/>
    <n v="228"/>
  </r>
  <r>
    <x v="0"/>
    <x v="1"/>
    <d v="2017-06-01T00:00:00"/>
    <x v="1"/>
    <n v="60"/>
    <n v="150"/>
    <n v="118"/>
    <n v="483"/>
    <n v="215"/>
  </r>
  <r>
    <x v="0"/>
    <x v="1"/>
    <d v="2017-06-01T00:00:00"/>
    <x v="2"/>
    <n v="43"/>
    <n v="170"/>
    <n v="123"/>
    <n v="490"/>
    <n v="149"/>
  </r>
  <r>
    <x v="0"/>
    <x v="1"/>
    <d v="2017-06-01T00:00:00"/>
    <x v="1"/>
    <n v="52"/>
    <n v="150"/>
    <n v="118"/>
    <n v="489"/>
    <n v="192"/>
  </r>
  <r>
    <x v="0"/>
    <x v="1"/>
    <d v="2017-06-01T00:00:00"/>
    <x v="0"/>
    <n v="38"/>
    <n v="125"/>
    <n v="114"/>
    <n v="488"/>
    <n v="133"/>
  </r>
  <r>
    <x v="0"/>
    <x v="1"/>
    <d v="2017-06-01T00:00:00"/>
    <x v="0"/>
    <n v="36"/>
    <n v="125"/>
    <n v="114"/>
    <n v="487"/>
    <n v="128"/>
  </r>
  <r>
    <x v="0"/>
    <x v="1"/>
    <d v="2017-06-01T00:00:00"/>
    <x v="2"/>
    <n v="48"/>
    <n v="170"/>
    <n v="123"/>
    <n v="486"/>
    <n v="166"/>
  </r>
  <r>
    <x v="0"/>
    <x v="1"/>
    <d v="2017-06-01T00:00:00"/>
    <x v="0"/>
    <n v="60"/>
    <n v="125"/>
    <n v="114"/>
    <n v="484"/>
    <n v="208"/>
  </r>
  <r>
    <x v="0"/>
    <x v="1"/>
    <d v="2017-06-01T00:00:00"/>
    <x v="0"/>
    <n v="35"/>
    <n v="125"/>
    <n v="114"/>
    <n v="482"/>
    <n v="121"/>
  </r>
  <r>
    <x v="0"/>
    <x v="1"/>
    <d v="2017-06-01T00:00:00"/>
    <x v="2"/>
    <n v="56"/>
    <n v="170"/>
    <n v="123"/>
    <n v="485"/>
    <n v="197"/>
  </r>
  <r>
    <x v="0"/>
    <x v="1"/>
    <d v="2017-06-02T00:00:00"/>
    <x v="2"/>
    <n v="54"/>
    <n v="170"/>
    <n v="123"/>
    <n v="494"/>
    <n v="194"/>
  </r>
  <r>
    <x v="0"/>
    <x v="1"/>
    <d v="2017-06-02T00:00:00"/>
    <x v="0"/>
    <n v="57"/>
    <n v="125"/>
    <n v="114"/>
    <n v="493"/>
    <n v="199"/>
  </r>
  <r>
    <x v="0"/>
    <x v="1"/>
    <d v="2017-06-02T00:00:00"/>
    <x v="2"/>
    <n v="49"/>
    <n v="170"/>
    <n v="123"/>
    <n v="495"/>
    <n v="180"/>
  </r>
  <r>
    <x v="0"/>
    <x v="1"/>
    <d v="2017-06-02T00:00:00"/>
    <x v="0"/>
    <n v="61"/>
    <n v="125"/>
    <n v="114"/>
    <n v="491"/>
    <n v="215"/>
  </r>
  <r>
    <x v="0"/>
    <x v="1"/>
    <d v="2017-06-02T00:00:00"/>
    <x v="0"/>
    <n v="46"/>
    <n v="125"/>
    <n v="114"/>
    <n v="495"/>
    <n v="160"/>
  </r>
  <r>
    <x v="0"/>
    <x v="1"/>
    <d v="2017-06-05T00:00:00"/>
    <x v="2"/>
    <n v="52"/>
    <n v="170"/>
    <n v="123"/>
    <n v="496"/>
    <n v="243"/>
  </r>
  <r>
    <x v="0"/>
    <x v="1"/>
    <d v="2017-06-05T00:00:00"/>
    <x v="0"/>
    <n v="37"/>
    <n v="125"/>
    <n v="114"/>
    <n v="497"/>
    <n v="136"/>
  </r>
  <r>
    <x v="0"/>
    <x v="1"/>
    <d v="2017-06-06T00:00:00"/>
    <x v="1"/>
    <n v="49"/>
    <n v="150"/>
    <n v="118"/>
    <n v="498"/>
    <n v="173"/>
  </r>
  <r>
    <x v="0"/>
    <x v="1"/>
    <d v="2017-06-06T00:00:00"/>
    <x v="0"/>
    <n v="48"/>
    <n v="125"/>
    <n v="114"/>
    <n v="499"/>
    <n v="174"/>
  </r>
  <r>
    <x v="0"/>
    <x v="1"/>
    <d v="2017-06-06T00:00:00"/>
    <x v="2"/>
    <n v="48"/>
    <n v="170"/>
    <n v="123"/>
    <n v="500"/>
    <n v="177"/>
  </r>
  <r>
    <x v="0"/>
    <x v="1"/>
    <d v="2017-06-06T00:00:00"/>
    <x v="2"/>
    <n v="46"/>
    <n v="170"/>
    <n v="123"/>
    <n v="501"/>
    <n v="161"/>
  </r>
  <r>
    <x v="0"/>
    <x v="1"/>
    <d v="2017-06-07T00:00:00"/>
    <x v="1"/>
    <n v="45"/>
    <n v="150"/>
    <n v="118"/>
    <n v="502"/>
    <n v="158"/>
  </r>
  <r>
    <x v="0"/>
    <x v="1"/>
    <d v="2017-06-07T00:00:00"/>
    <x v="1"/>
    <n v="45"/>
    <n v="150"/>
    <n v="118"/>
    <n v="507"/>
    <n v="165"/>
  </r>
  <r>
    <x v="0"/>
    <x v="1"/>
    <d v="2017-06-07T00:00:00"/>
    <x v="1"/>
    <n v="44"/>
    <n v="150"/>
    <n v="118"/>
    <n v="506"/>
    <n v="155"/>
  </r>
  <r>
    <x v="0"/>
    <x v="1"/>
    <d v="2017-06-07T00:00:00"/>
    <x v="1"/>
    <n v="58"/>
    <n v="150"/>
    <n v="118"/>
    <n v="505"/>
    <n v="273"/>
  </r>
  <r>
    <x v="0"/>
    <x v="1"/>
    <d v="2017-06-07T00:00:00"/>
    <x v="2"/>
    <n v="46"/>
    <n v="170"/>
    <n v="123"/>
    <n v="503"/>
    <n v="162"/>
  </r>
  <r>
    <x v="0"/>
    <x v="1"/>
    <d v="2017-06-07T00:00:00"/>
    <x v="0"/>
    <n v="52"/>
    <n v="125"/>
    <n v="114"/>
    <n v="504"/>
    <n v="183"/>
  </r>
  <r>
    <x v="0"/>
    <x v="1"/>
    <d v="2017-06-08T00:00:00"/>
    <x v="0"/>
    <n v="39"/>
    <n v="125"/>
    <n v="114"/>
    <n v="508"/>
    <n v="139"/>
  </r>
  <r>
    <x v="0"/>
    <x v="1"/>
    <d v="2017-06-08T00:00:00"/>
    <x v="0"/>
    <n v="54"/>
    <n v="125"/>
    <n v="114"/>
    <n v="509"/>
    <n v="197"/>
  </r>
  <r>
    <x v="0"/>
    <x v="1"/>
    <d v="2017-06-09T00:00:00"/>
    <x v="0"/>
    <n v="44"/>
    <n v="125"/>
    <n v="114"/>
    <n v="513"/>
    <n v="160"/>
  </r>
  <r>
    <x v="0"/>
    <x v="1"/>
    <d v="2017-06-09T00:00:00"/>
    <x v="0"/>
    <n v="47"/>
    <n v="125"/>
    <n v="114"/>
    <n v="516"/>
    <n v="171"/>
  </r>
  <r>
    <x v="0"/>
    <x v="1"/>
    <d v="2017-06-09T00:00:00"/>
    <x v="1"/>
    <n v="58"/>
    <n v="150"/>
    <n v="118"/>
    <n v="514"/>
    <n v="271"/>
  </r>
  <r>
    <x v="0"/>
    <x v="1"/>
    <d v="2017-06-09T00:00:00"/>
    <x v="1"/>
    <n v="56"/>
    <n v="150"/>
    <n v="118"/>
    <n v="511"/>
    <n v="198"/>
  </r>
  <r>
    <x v="0"/>
    <x v="1"/>
    <d v="2017-06-09T00:00:00"/>
    <x v="1"/>
    <n v="44"/>
    <n v="150"/>
    <n v="118"/>
    <n v="510"/>
    <n v="156"/>
  </r>
  <r>
    <x v="0"/>
    <x v="1"/>
    <d v="2017-06-09T00:00:00"/>
    <x v="1"/>
    <n v="61"/>
    <n v="150"/>
    <n v="118"/>
    <n v="512"/>
    <n v="221"/>
  </r>
  <r>
    <x v="0"/>
    <x v="1"/>
    <d v="2017-06-09T00:00:00"/>
    <x v="1"/>
    <n v="53"/>
    <n v="150"/>
    <n v="118"/>
    <n v="515"/>
    <n v="184"/>
  </r>
  <r>
    <x v="0"/>
    <x v="1"/>
    <d v="2017-06-12T00:00:00"/>
    <x v="2"/>
    <n v="40"/>
    <n v="170"/>
    <n v="123"/>
    <n v="517"/>
    <n v="144"/>
  </r>
  <r>
    <x v="0"/>
    <x v="1"/>
    <d v="2017-06-12T00:00:00"/>
    <x v="1"/>
    <n v="42"/>
    <n v="150"/>
    <n v="118"/>
    <n v="518"/>
    <n v="148"/>
  </r>
  <r>
    <x v="0"/>
    <x v="1"/>
    <d v="2017-06-13T00:00:00"/>
    <x v="0"/>
    <n v="37"/>
    <n v="125"/>
    <n v="114"/>
    <n v="522"/>
    <n v="128"/>
  </r>
  <r>
    <x v="0"/>
    <x v="1"/>
    <d v="2017-06-13T00:00:00"/>
    <x v="0"/>
    <n v="40"/>
    <n v="125"/>
    <n v="114"/>
    <n v="527"/>
    <n v="138"/>
  </r>
  <r>
    <x v="0"/>
    <x v="1"/>
    <d v="2017-06-13T00:00:00"/>
    <x v="0"/>
    <n v="53"/>
    <n v="125"/>
    <n v="114"/>
    <n v="526"/>
    <n v="193"/>
  </r>
  <r>
    <x v="0"/>
    <x v="1"/>
    <d v="2017-06-13T00:00:00"/>
    <x v="2"/>
    <n v="52"/>
    <n v="170"/>
    <n v="123"/>
    <n v="525"/>
    <n v="179"/>
  </r>
  <r>
    <x v="0"/>
    <x v="1"/>
    <d v="2017-06-13T00:00:00"/>
    <x v="2"/>
    <n v="43"/>
    <n v="170"/>
    <n v="123"/>
    <n v="523"/>
    <n v="152"/>
  </r>
  <r>
    <x v="0"/>
    <x v="1"/>
    <d v="2017-06-13T00:00:00"/>
    <x v="2"/>
    <n v="44"/>
    <n v="170"/>
    <n v="123"/>
    <n v="521"/>
    <n v="161"/>
  </r>
  <r>
    <x v="0"/>
    <x v="1"/>
    <d v="2017-06-13T00:00:00"/>
    <x v="1"/>
    <n v="63"/>
    <n v="150"/>
    <n v="118"/>
    <n v="520"/>
    <n v="227"/>
  </r>
  <r>
    <x v="0"/>
    <x v="1"/>
    <d v="2017-06-13T00:00:00"/>
    <x v="0"/>
    <n v="51"/>
    <n v="125"/>
    <n v="114"/>
    <n v="519"/>
    <n v="184"/>
  </r>
  <r>
    <x v="0"/>
    <x v="1"/>
    <d v="2017-06-13T00:00:00"/>
    <x v="0"/>
    <n v="40"/>
    <n v="125"/>
    <n v="114"/>
    <n v="524"/>
    <n v="147"/>
  </r>
  <r>
    <x v="0"/>
    <x v="1"/>
    <d v="2017-06-14T00:00:00"/>
    <x v="0"/>
    <n v="49"/>
    <n v="125"/>
    <n v="114"/>
    <n v="528"/>
    <n v="176"/>
  </r>
  <r>
    <x v="0"/>
    <x v="1"/>
    <d v="2017-06-14T00:00:00"/>
    <x v="2"/>
    <n v="36"/>
    <n v="170"/>
    <n v="123"/>
    <n v="529"/>
    <n v="124"/>
  </r>
  <r>
    <x v="0"/>
    <x v="1"/>
    <d v="2017-06-15T00:00:00"/>
    <x v="0"/>
    <n v="48"/>
    <n v="125"/>
    <n v="114"/>
    <n v="531"/>
    <n v="178"/>
  </r>
  <r>
    <x v="0"/>
    <x v="1"/>
    <d v="2017-06-15T00:00:00"/>
    <x v="2"/>
    <n v="47"/>
    <n v="170"/>
    <n v="123"/>
    <n v="537"/>
    <n v="166"/>
  </r>
  <r>
    <x v="0"/>
    <x v="1"/>
    <d v="2017-06-15T00:00:00"/>
    <x v="0"/>
    <n v="55"/>
    <n v="125"/>
    <n v="114"/>
    <n v="536"/>
    <n v="193"/>
  </r>
  <r>
    <x v="0"/>
    <x v="1"/>
    <d v="2017-06-15T00:00:00"/>
    <x v="2"/>
    <n v="54"/>
    <n v="170"/>
    <n v="123"/>
    <n v="535"/>
    <n v="190"/>
  </r>
  <r>
    <x v="0"/>
    <x v="1"/>
    <d v="2017-06-15T00:00:00"/>
    <x v="1"/>
    <n v="65"/>
    <n v="150"/>
    <n v="118"/>
    <n v="532"/>
    <n v="235"/>
  </r>
  <r>
    <x v="0"/>
    <x v="1"/>
    <d v="2017-06-15T00:00:00"/>
    <x v="1"/>
    <n v="51"/>
    <n v="150"/>
    <n v="118"/>
    <n v="530"/>
    <n v="175"/>
  </r>
  <r>
    <x v="0"/>
    <x v="1"/>
    <d v="2017-06-15T00:00:00"/>
    <x v="0"/>
    <n v="53"/>
    <n v="125"/>
    <n v="114"/>
    <n v="534"/>
    <n v="193"/>
  </r>
  <r>
    <x v="0"/>
    <x v="1"/>
    <d v="2017-06-15T00:00:00"/>
    <x v="2"/>
    <n v="53"/>
    <n v="170"/>
    <n v="123"/>
    <n v="533"/>
    <n v="185"/>
  </r>
  <r>
    <x v="0"/>
    <x v="1"/>
    <d v="2017-06-16T00:00:00"/>
    <x v="1"/>
    <n v="55"/>
    <n v="150"/>
    <n v="118"/>
    <n v="538"/>
    <n v="206"/>
  </r>
  <r>
    <x v="0"/>
    <x v="1"/>
    <d v="2017-06-16T00:00:00"/>
    <x v="0"/>
    <n v="39"/>
    <n v="125"/>
    <n v="114"/>
    <n v="539"/>
    <n v="136"/>
  </r>
  <r>
    <x v="0"/>
    <x v="1"/>
    <d v="2017-06-16T00:00:00"/>
    <x v="0"/>
    <n v="53"/>
    <n v="125"/>
    <n v="114"/>
    <n v="540"/>
    <n v="191"/>
  </r>
  <r>
    <x v="0"/>
    <x v="1"/>
    <d v="2017-06-16T00:00:00"/>
    <x v="0"/>
    <n v="50"/>
    <n v="125"/>
    <n v="114"/>
    <n v="541"/>
    <n v="172"/>
  </r>
  <r>
    <x v="0"/>
    <x v="1"/>
    <d v="2017-06-19T00:00:00"/>
    <x v="0"/>
    <n v="35"/>
    <n v="125"/>
    <n v="114"/>
    <n v="542"/>
    <n v="129"/>
  </r>
  <r>
    <x v="0"/>
    <x v="1"/>
    <d v="2017-06-19T00:00:00"/>
    <x v="0"/>
    <n v="35"/>
    <n v="125"/>
    <n v="114"/>
    <n v="548"/>
    <n v="122"/>
  </r>
  <r>
    <x v="0"/>
    <x v="1"/>
    <d v="2017-06-19T00:00:00"/>
    <x v="2"/>
    <n v="32"/>
    <n v="170"/>
    <n v="123"/>
    <n v="547"/>
    <n v="113"/>
  </r>
  <r>
    <x v="0"/>
    <x v="1"/>
    <d v="2017-06-19T00:00:00"/>
    <x v="0"/>
    <n v="48"/>
    <n v="125"/>
    <n v="114"/>
    <n v="546"/>
    <n v="170"/>
  </r>
  <r>
    <x v="0"/>
    <x v="1"/>
    <d v="2017-06-19T00:00:00"/>
    <x v="1"/>
    <n v="46"/>
    <n v="150"/>
    <n v="118"/>
    <n v="545"/>
    <n v="161"/>
  </r>
  <r>
    <x v="0"/>
    <x v="1"/>
    <d v="2017-06-19T00:00:00"/>
    <x v="1"/>
    <n v="49"/>
    <n v="150"/>
    <n v="118"/>
    <n v="543"/>
    <n v="175"/>
  </r>
  <r>
    <x v="0"/>
    <x v="1"/>
    <d v="2017-06-19T00:00:00"/>
    <x v="0"/>
    <n v="46"/>
    <n v="125"/>
    <n v="114"/>
    <n v="544"/>
    <n v="167"/>
  </r>
  <r>
    <x v="0"/>
    <x v="1"/>
    <d v="2017-06-20T00:00:00"/>
    <x v="1"/>
    <n v="40"/>
    <n v="150"/>
    <n v="118"/>
    <n v="549"/>
    <n v="147"/>
  </r>
  <r>
    <x v="0"/>
    <x v="1"/>
    <d v="2017-06-20T00:00:00"/>
    <x v="0"/>
    <n v="39"/>
    <n v="125"/>
    <n v="114"/>
    <n v="554"/>
    <n v="182"/>
  </r>
  <r>
    <x v="0"/>
    <x v="1"/>
    <d v="2017-06-20T00:00:00"/>
    <x v="2"/>
    <n v="54"/>
    <n v="170"/>
    <n v="123"/>
    <n v="553"/>
    <n v="194"/>
  </r>
  <r>
    <x v="0"/>
    <x v="1"/>
    <d v="2017-06-20T00:00:00"/>
    <x v="0"/>
    <n v="40"/>
    <n v="125"/>
    <n v="114"/>
    <n v="550"/>
    <n v="141"/>
  </r>
  <r>
    <x v="0"/>
    <x v="1"/>
    <d v="2017-06-20T00:00:00"/>
    <x v="0"/>
    <n v="54"/>
    <n v="125"/>
    <n v="114"/>
    <n v="551"/>
    <n v="190"/>
  </r>
  <r>
    <x v="0"/>
    <x v="1"/>
    <d v="2017-06-20T00:00:00"/>
    <x v="0"/>
    <n v="60"/>
    <n v="125"/>
    <n v="114"/>
    <n v="552"/>
    <n v="221"/>
  </r>
  <r>
    <x v="0"/>
    <x v="1"/>
    <d v="2017-06-21T00:00:00"/>
    <x v="0"/>
    <n v="47"/>
    <n v="125"/>
    <n v="114"/>
    <n v="562"/>
    <n v="170"/>
  </r>
  <r>
    <x v="0"/>
    <x v="1"/>
    <d v="2017-06-21T00:00:00"/>
    <x v="1"/>
    <n v="54"/>
    <n v="150"/>
    <n v="118"/>
    <n v="563"/>
    <n v="194"/>
  </r>
  <r>
    <x v="0"/>
    <x v="1"/>
    <d v="2017-06-21T00:00:00"/>
    <x v="0"/>
    <n v="40"/>
    <n v="125"/>
    <n v="114"/>
    <n v="561"/>
    <n v="142"/>
  </r>
  <r>
    <x v="0"/>
    <x v="1"/>
    <d v="2017-06-21T00:00:00"/>
    <x v="0"/>
    <n v="40"/>
    <n v="125"/>
    <n v="114"/>
    <n v="560"/>
    <n v="140"/>
  </r>
  <r>
    <x v="0"/>
    <x v="1"/>
    <d v="2017-06-21T00:00:00"/>
    <x v="1"/>
    <n v="44"/>
    <n v="150"/>
    <n v="118"/>
    <n v="559"/>
    <n v="161"/>
  </r>
  <r>
    <x v="0"/>
    <x v="1"/>
    <d v="2017-06-21T00:00:00"/>
    <x v="0"/>
    <n v="49"/>
    <n v="125"/>
    <n v="114"/>
    <n v="558"/>
    <n v="171"/>
  </r>
  <r>
    <x v="0"/>
    <x v="1"/>
    <d v="2017-06-21T00:00:00"/>
    <x v="0"/>
    <n v="41"/>
    <n v="125"/>
    <n v="114"/>
    <n v="557"/>
    <n v="147"/>
  </r>
  <r>
    <x v="0"/>
    <x v="1"/>
    <d v="2017-06-21T00:00:00"/>
    <x v="0"/>
    <n v="58"/>
    <n v="125"/>
    <n v="114"/>
    <n v="556"/>
    <n v="210"/>
  </r>
  <r>
    <x v="0"/>
    <x v="1"/>
    <d v="2017-06-21T00:00:00"/>
    <x v="0"/>
    <n v="58"/>
    <n v="125"/>
    <n v="114"/>
    <n v="555"/>
    <n v="267"/>
  </r>
  <r>
    <x v="0"/>
    <x v="1"/>
    <d v="2017-06-22T00:00:00"/>
    <x v="2"/>
    <n v="46"/>
    <n v="170"/>
    <n v="123"/>
    <n v="565"/>
    <n v="169"/>
  </r>
  <r>
    <x v="0"/>
    <x v="1"/>
    <d v="2017-06-22T00:00:00"/>
    <x v="1"/>
    <n v="53"/>
    <n v="150"/>
    <n v="118"/>
    <n v="566"/>
    <n v="183"/>
  </r>
  <r>
    <x v="0"/>
    <x v="1"/>
    <d v="2017-06-22T00:00:00"/>
    <x v="1"/>
    <n v="42"/>
    <n v="150"/>
    <n v="118"/>
    <n v="567"/>
    <n v="193"/>
  </r>
  <r>
    <x v="0"/>
    <x v="1"/>
    <d v="2017-06-22T00:00:00"/>
    <x v="1"/>
    <n v="60"/>
    <n v="150"/>
    <n v="118"/>
    <n v="568"/>
    <n v="213"/>
  </r>
  <r>
    <x v="0"/>
    <x v="1"/>
    <d v="2017-06-22T00:00:00"/>
    <x v="0"/>
    <n v="46"/>
    <n v="125"/>
    <n v="114"/>
    <n v="564"/>
    <n v="160"/>
  </r>
  <r>
    <x v="0"/>
    <x v="1"/>
    <d v="2017-06-23T00:00:00"/>
    <x v="0"/>
    <n v="61"/>
    <n v="125"/>
    <n v="114"/>
    <n v="569"/>
    <n v="281"/>
  </r>
  <r>
    <x v="0"/>
    <x v="1"/>
    <d v="2017-06-23T00:00:00"/>
    <x v="2"/>
    <n v="40"/>
    <n v="170"/>
    <n v="123"/>
    <n v="574"/>
    <n v="143"/>
  </r>
  <r>
    <x v="0"/>
    <x v="1"/>
    <d v="2017-06-23T00:00:00"/>
    <x v="1"/>
    <n v="65"/>
    <n v="150"/>
    <n v="118"/>
    <n v="576"/>
    <n v="246"/>
  </r>
  <r>
    <x v="0"/>
    <x v="1"/>
    <d v="2017-06-23T00:00:00"/>
    <x v="2"/>
    <n v="32"/>
    <n v="170"/>
    <n v="123"/>
    <n v="577"/>
    <n v="117"/>
  </r>
  <r>
    <x v="0"/>
    <x v="1"/>
    <d v="2017-06-23T00:00:00"/>
    <x v="0"/>
    <n v="61"/>
    <n v="125"/>
    <n v="114"/>
    <n v="575"/>
    <n v="219"/>
  </r>
  <r>
    <x v="0"/>
    <x v="1"/>
    <d v="2017-06-23T00:00:00"/>
    <x v="0"/>
    <n v="45"/>
    <n v="125"/>
    <n v="114"/>
    <n v="573"/>
    <n v="164"/>
  </r>
  <r>
    <x v="0"/>
    <x v="1"/>
    <d v="2017-06-23T00:00:00"/>
    <x v="1"/>
    <n v="51"/>
    <n v="150"/>
    <n v="118"/>
    <n v="572"/>
    <n v="185"/>
  </r>
  <r>
    <x v="0"/>
    <x v="1"/>
    <d v="2017-06-23T00:00:00"/>
    <x v="1"/>
    <n v="65"/>
    <n v="150"/>
    <n v="118"/>
    <n v="570"/>
    <n v="229"/>
  </r>
  <r>
    <x v="0"/>
    <x v="1"/>
    <d v="2017-06-23T00:00:00"/>
    <x v="2"/>
    <n v="38"/>
    <n v="170"/>
    <n v="123"/>
    <n v="571"/>
    <n v="136"/>
  </r>
  <r>
    <x v="0"/>
    <x v="1"/>
    <d v="2017-06-26T00:00:00"/>
    <x v="2"/>
    <n v="39"/>
    <n v="170"/>
    <n v="123"/>
    <n v="578"/>
    <n v="134"/>
  </r>
  <r>
    <x v="0"/>
    <x v="1"/>
    <d v="2017-06-26T00:00:00"/>
    <x v="0"/>
    <n v="41"/>
    <n v="125"/>
    <n v="114"/>
    <n v="579"/>
    <n v="150"/>
  </r>
  <r>
    <x v="0"/>
    <x v="1"/>
    <d v="2017-06-26T00:00:00"/>
    <x v="0"/>
    <n v="41"/>
    <n v="125"/>
    <n v="114"/>
    <n v="580"/>
    <n v="144"/>
  </r>
  <r>
    <x v="0"/>
    <x v="1"/>
    <d v="2017-06-26T00:00:00"/>
    <x v="1"/>
    <n v="47"/>
    <n v="150"/>
    <n v="118"/>
    <n v="581"/>
    <n v="166"/>
  </r>
  <r>
    <x v="0"/>
    <x v="1"/>
    <d v="2017-06-26T00:00:00"/>
    <x v="0"/>
    <n v="40"/>
    <n v="125"/>
    <n v="114"/>
    <n v="582"/>
    <n v="147"/>
  </r>
  <r>
    <x v="0"/>
    <x v="1"/>
    <d v="2017-06-26T00:00:00"/>
    <x v="0"/>
    <n v="58"/>
    <n v="125"/>
    <n v="114"/>
    <n v="583"/>
    <n v="205"/>
  </r>
  <r>
    <x v="0"/>
    <x v="1"/>
    <d v="2017-06-27T00:00:00"/>
    <x v="0"/>
    <n v="36"/>
    <n v="125"/>
    <n v="114"/>
    <n v="588"/>
    <n v="169"/>
  </r>
  <r>
    <x v="0"/>
    <x v="1"/>
    <d v="2017-06-27T00:00:00"/>
    <x v="0"/>
    <n v="55"/>
    <n v="125"/>
    <n v="114"/>
    <n v="584"/>
    <n v="192"/>
  </r>
  <r>
    <x v="0"/>
    <x v="1"/>
    <d v="2017-06-27T00:00:00"/>
    <x v="1"/>
    <n v="52"/>
    <n v="150"/>
    <n v="118"/>
    <n v="590"/>
    <n v="182"/>
  </r>
  <r>
    <x v="0"/>
    <x v="1"/>
    <d v="2017-06-27T00:00:00"/>
    <x v="0"/>
    <n v="56"/>
    <n v="125"/>
    <n v="114"/>
    <n v="589"/>
    <n v="204"/>
  </r>
  <r>
    <x v="0"/>
    <x v="1"/>
    <d v="2017-06-27T00:00:00"/>
    <x v="0"/>
    <n v="35"/>
    <n v="125"/>
    <n v="114"/>
    <n v="587"/>
    <n v="161"/>
  </r>
  <r>
    <x v="0"/>
    <x v="1"/>
    <d v="2017-06-27T00:00:00"/>
    <x v="1"/>
    <n v="44"/>
    <n v="150"/>
    <n v="118"/>
    <n v="585"/>
    <n v="162"/>
  </r>
  <r>
    <x v="0"/>
    <x v="1"/>
    <d v="2017-06-27T00:00:00"/>
    <x v="0"/>
    <n v="59"/>
    <n v="125"/>
    <n v="114"/>
    <n v="586"/>
    <n v="216"/>
  </r>
  <r>
    <x v="0"/>
    <x v="1"/>
    <d v="2017-06-28T00:00:00"/>
    <x v="2"/>
    <n v="51"/>
    <n v="170"/>
    <n v="123"/>
    <n v="591"/>
    <n v="182"/>
  </r>
  <r>
    <x v="0"/>
    <x v="1"/>
    <d v="2017-06-28T00:00:00"/>
    <x v="1"/>
    <n v="50"/>
    <n v="150"/>
    <n v="118"/>
    <n v="592"/>
    <n v="178"/>
  </r>
  <r>
    <x v="0"/>
    <x v="1"/>
    <d v="2017-06-28T00:00:00"/>
    <x v="0"/>
    <n v="46"/>
    <n v="125"/>
    <n v="114"/>
    <n v="593"/>
    <n v="163"/>
  </r>
  <r>
    <x v="0"/>
    <x v="1"/>
    <d v="2017-06-28T00:00:00"/>
    <x v="2"/>
    <n v="46"/>
    <n v="170"/>
    <n v="123"/>
    <n v="594"/>
    <n v="159"/>
  </r>
  <r>
    <x v="0"/>
    <x v="1"/>
    <d v="2017-06-28T00:00:00"/>
    <x v="1"/>
    <n v="47"/>
    <n v="150"/>
    <n v="118"/>
    <n v="595"/>
    <n v="216"/>
  </r>
  <r>
    <x v="0"/>
    <x v="1"/>
    <d v="2017-06-28T00:00:00"/>
    <x v="0"/>
    <n v="38"/>
    <n v="125"/>
    <n v="114"/>
    <n v="596"/>
    <n v="131"/>
  </r>
  <r>
    <x v="0"/>
    <x v="1"/>
    <d v="2017-06-28T00:00:00"/>
    <x v="2"/>
    <n v="36"/>
    <n v="170"/>
    <n v="123"/>
    <n v="597"/>
    <n v="128"/>
  </r>
  <r>
    <x v="0"/>
    <x v="1"/>
    <d v="2017-06-29T00:00:00"/>
    <x v="1"/>
    <n v="52"/>
    <n v="150"/>
    <n v="118"/>
    <n v="605"/>
    <n v="191"/>
  </r>
  <r>
    <x v="0"/>
    <x v="1"/>
    <d v="2017-06-29T00:00:00"/>
    <x v="2"/>
    <n v="56"/>
    <n v="170"/>
    <n v="123"/>
    <n v="606"/>
    <n v="193"/>
  </r>
  <r>
    <x v="0"/>
    <x v="1"/>
    <d v="2017-06-29T00:00:00"/>
    <x v="0"/>
    <n v="51"/>
    <n v="125"/>
    <n v="114"/>
    <n v="604"/>
    <n v="183"/>
  </r>
  <r>
    <x v="0"/>
    <x v="1"/>
    <d v="2017-06-29T00:00:00"/>
    <x v="1"/>
    <n v="60"/>
    <n v="150"/>
    <n v="118"/>
    <n v="603"/>
    <n v="276"/>
  </r>
  <r>
    <x v="0"/>
    <x v="1"/>
    <d v="2017-06-29T00:00:00"/>
    <x v="0"/>
    <n v="60"/>
    <n v="125"/>
    <n v="114"/>
    <n v="601"/>
    <n v="230"/>
  </r>
  <r>
    <x v="0"/>
    <x v="1"/>
    <d v="2017-06-29T00:00:00"/>
    <x v="1"/>
    <n v="56"/>
    <n v="150"/>
    <n v="118"/>
    <n v="600"/>
    <n v="262"/>
  </r>
  <r>
    <x v="0"/>
    <x v="1"/>
    <d v="2017-06-29T00:00:00"/>
    <x v="1"/>
    <n v="45"/>
    <n v="150"/>
    <n v="118"/>
    <n v="598"/>
    <n v="156"/>
  </r>
  <r>
    <x v="0"/>
    <x v="1"/>
    <d v="2017-06-29T00:00:00"/>
    <x v="1"/>
    <n v="45"/>
    <n v="150"/>
    <n v="118"/>
    <n v="599"/>
    <n v="158"/>
  </r>
  <r>
    <x v="0"/>
    <x v="1"/>
    <d v="2017-06-29T00:00:00"/>
    <x v="1"/>
    <n v="43"/>
    <n v="150"/>
    <n v="118"/>
    <n v="602"/>
    <n v="153"/>
  </r>
  <r>
    <x v="0"/>
    <x v="1"/>
    <d v="2017-06-30T00:00:00"/>
    <x v="0"/>
    <n v="40"/>
    <n v="125"/>
    <n v="114"/>
    <n v="608"/>
    <n v="147"/>
  </r>
  <r>
    <x v="0"/>
    <x v="1"/>
    <d v="2017-06-30T00:00:00"/>
    <x v="1"/>
    <n v="66"/>
    <n v="150"/>
    <n v="118"/>
    <n v="609"/>
    <n v="236"/>
  </r>
  <r>
    <x v="0"/>
    <x v="1"/>
    <d v="2017-06-30T00:00:00"/>
    <x v="1"/>
    <n v="45"/>
    <n v="150"/>
    <n v="118"/>
    <n v="607"/>
    <n v="164"/>
  </r>
  <r>
    <x v="0"/>
    <x v="2"/>
    <d v="2017-07-03T00:00:00"/>
    <x v="0"/>
    <n v="40"/>
    <n v="125"/>
    <n v="114"/>
    <n v="610"/>
    <n v="143"/>
  </r>
  <r>
    <x v="0"/>
    <x v="2"/>
    <d v="2017-07-03T00:00:00"/>
    <x v="1"/>
    <n v="56"/>
    <n v="150"/>
    <n v="118"/>
    <n v="611"/>
    <n v="213"/>
  </r>
  <r>
    <x v="0"/>
    <x v="2"/>
    <d v="2017-07-04T00:00:00"/>
    <x v="2"/>
    <n v="34"/>
    <n v="170"/>
    <n v="123"/>
    <n v="612"/>
    <n v="117"/>
  </r>
  <r>
    <x v="0"/>
    <x v="2"/>
    <d v="2017-07-04T00:00:00"/>
    <x v="0"/>
    <n v="37"/>
    <n v="125"/>
    <n v="114"/>
    <n v="618"/>
    <n v="171"/>
  </r>
  <r>
    <x v="0"/>
    <x v="2"/>
    <d v="2017-07-04T00:00:00"/>
    <x v="2"/>
    <n v="47"/>
    <n v="170"/>
    <n v="123"/>
    <n v="617"/>
    <n v="173"/>
  </r>
  <r>
    <x v="0"/>
    <x v="2"/>
    <d v="2017-07-04T00:00:00"/>
    <x v="0"/>
    <n v="37"/>
    <n v="125"/>
    <n v="114"/>
    <n v="616"/>
    <n v="131"/>
  </r>
  <r>
    <x v="0"/>
    <x v="2"/>
    <d v="2017-07-04T00:00:00"/>
    <x v="2"/>
    <n v="43"/>
    <n v="170"/>
    <n v="123"/>
    <n v="615"/>
    <n v="155"/>
  </r>
  <r>
    <x v="0"/>
    <x v="2"/>
    <d v="2017-07-04T00:00:00"/>
    <x v="2"/>
    <n v="53"/>
    <n v="170"/>
    <n v="123"/>
    <n v="613"/>
    <n v="196"/>
  </r>
  <r>
    <x v="0"/>
    <x v="2"/>
    <d v="2017-07-04T00:00:00"/>
    <x v="2"/>
    <n v="45"/>
    <n v="170"/>
    <n v="123"/>
    <n v="614"/>
    <n v="168"/>
  </r>
  <r>
    <x v="0"/>
    <x v="2"/>
    <d v="2017-07-05T00:00:00"/>
    <x v="1"/>
    <n v="57"/>
    <n v="150"/>
    <n v="118"/>
    <n v="619"/>
    <n v="204"/>
  </r>
  <r>
    <x v="0"/>
    <x v="2"/>
    <d v="2017-07-05T00:00:00"/>
    <x v="1"/>
    <n v="65"/>
    <n v="150"/>
    <n v="118"/>
    <n v="620"/>
    <n v="238"/>
  </r>
  <r>
    <x v="0"/>
    <x v="2"/>
    <d v="2017-07-06T00:00:00"/>
    <x v="1"/>
    <n v="41"/>
    <n v="150"/>
    <n v="118"/>
    <n v="624"/>
    <n v="144"/>
  </r>
  <r>
    <x v="0"/>
    <x v="2"/>
    <d v="2017-07-06T00:00:00"/>
    <x v="2"/>
    <n v="31"/>
    <n v="170"/>
    <n v="123"/>
    <n v="625"/>
    <n v="114"/>
  </r>
  <r>
    <x v="0"/>
    <x v="2"/>
    <d v="2017-07-06T00:00:00"/>
    <x v="1"/>
    <n v="60"/>
    <n v="150"/>
    <n v="118"/>
    <n v="626"/>
    <n v="225"/>
  </r>
  <r>
    <x v="0"/>
    <x v="2"/>
    <d v="2017-07-06T00:00:00"/>
    <x v="0"/>
    <n v="46"/>
    <n v="125"/>
    <n v="114"/>
    <n v="621"/>
    <n v="160"/>
  </r>
  <r>
    <x v="0"/>
    <x v="2"/>
    <d v="2017-07-06T00:00:00"/>
    <x v="2"/>
    <n v="54"/>
    <n v="170"/>
    <n v="123"/>
    <n v="622"/>
    <n v="185"/>
  </r>
  <r>
    <x v="0"/>
    <x v="2"/>
    <d v="2017-07-06T00:00:00"/>
    <x v="0"/>
    <n v="41"/>
    <n v="125"/>
    <n v="114"/>
    <n v="623"/>
    <n v="148"/>
  </r>
  <r>
    <x v="0"/>
    <x v="2"/>
    <d v="2017-07-07T00:00:00"/>
    <x v="1"/>
    <n v="47"/>
    <n v="150"/>
    <n v="118"/>
    <n v="627"/>
    <n v="164"/>
  </r>
  <r>
    <x v="0"/>
    <x v="2"/>
    <d v="2017-07-07T00:00:00"/>
    <x v="0"/>
    <n v="58"/>
    <n v="125"/>
    <n v="114"/>
    <n v="628"/>
    <n v="207"/>
  </r>
  <r>
    <x v="0"/>
    <x v="2"/>
    <d v="2017-07-07T00:00:00"/>
    <x v="2"/>
    <n v="53"/>
    <n v="170"/>
    <n v="123"/>
    <n v="629"/>
    <n v="185"/>
  </r>
  <r>
    <x v="0"/>
    <x v="2"/>
    <d v="2017-07-07T00:00:00"/>
    <x v="1"/>
    <n v="44"/>
    <n v="150"/>
    <n v="118"/>
    <n v="630"/>
    <n v="160"/>
  </r>
  <r>
    <x v="0"/>
    <x v="2"/>
    <d v="2017-07-07T00:00:00"/>
    <x v="2"/>
    <n v="48"/>
    <n v="170"/>
    <n v="123"/>
    <n v="631"/>
    <n v="177"/>
  </r>
  <r>
    <x v="0"/>
    <x v="2"/>
    <d v="2017-07-07T00:00:00"/>
    <x v="2"/>
    <n v="52"/>
    <n v="170"/>
    <n v="123"/>
    <n v="632"/>
    <n v="183"/>
  </r>
  <r>
    <x v="0"/>
    <x v="2"/>
    <d v="2017-07-10T00:00:00"/>
    <x v="2"/>
    <n v="31"/>
    <n v="170"/>
    <n v="123"/>
    <n v="633"/>
    <n v="113"/>
  </r>
  <r>
    <x v="0"/>
    <x v="2"/>
    <d v="2017-07-10T00:00:00"/>
    <x v="1"/>
    <n v="55"/>
    <n v="150"/>
    <n v="118"/>
    <n v="641"/>
    <n v="202"/>
  </r>
  <r>
    <x v="0"/>
    <x v="2"/>
    <d v="2017-07-10T00:00:00"/>
    <x v="2"/>
    <n v="31"/>
    <n v="170"/>
    <n v="123"/>
    <n v="640"/>
    <n v="114"/>
  </r>
  <r>
    <x v="0"/>
    <x v="2"/>
    <d v="2017-07-10T00:00:00"/>
    <x v="2"/>
    <n v="48"/>
    <n v="170"/>
    <n v="123"/>
    <n v="639"/>
    <n v="168"/>
  </r>
  <r>
    <x v="0"/>
    <x v="2"/>
    <d v="2017-07-10T00:00:00"/>
    <x v="0"/>
    <n v="42"/>
    <n v="125"/>
    <n v="114"/>
    <n v="638"/>
    <n v="150"/>
  </r>
  <r>
    <x v="0"/>
    <x v="2"/>
    <d v="2017-07-10T00:00:00"/>
    <x v="1"/>
    <n v="42"/>
    <n v="150"/>
    <n v="118"/>
    <n v="637"/>
    <n v="153"/>
  </r>
  <r>
    <x v="0"/>
    <x v="2"/>
    <d v="2017-07-10T00:00:00"/>
    <x v="2"/>
    <n v="39"/>
    <n v="170"/>
    <n v="123"/>
    <n v="636"/>
    <n v="134"/>
  </r>
  <r>
    <x v="0"/>
    <x v="2"/>
    <d v="2017-07-10T00:00:00"/>
    <x v="0"/>
    <n v="58"/>
    <n v="125"/>
    <n v="114"/>
    <n v="634"/>
    <n v="209"/>
  </r>
  <r>
    <x v="0"/>
    <x v="2"/>
    <d v="2017-07-10T00:00:00"/>
    <x v="2"/>
    <n v="42"/>
    <n v="170"/>
    <n v="123"/>
    <n v="635"/>
    <n v="153"/>
  </r>
  <r>
    <x v="0"/>
    <x v="2"/>
    <d v="2017-07-11T00:00:00"/>
    <x v="0"/>
    <n v="51"/>
    <n v="125"/>
    <n v="114"/>
    <n v="643"/>
    <n v="184"/>
  </r>
  <r>
    <x v="0"/>
    <x v="2"/>
    <d v="2017-07-11T00:00:00"/>
    <x v="0"/>
    <n v="52"/>
    <n v="125"/>
    <n v="114"/>
    <n v="646"/>
    <n v="189"/>
  </r>
  <r>
    <x v="0"/>
    <x v="2"/>
    <d v="2017-07-11T00:00:00"/>
    <x v="0"/>
    <n v="37"/>
    <n v="125"/>
    <n v="114"/>
    <n v="642"/>
    <n v="129"/>
  </r>
  <r>
    <x v="0"/>
    <x v="2"/>
    <d v="2017-07-11T00:00:00"/>
    <x v="2"/>
    <n v="37"/>
    <n v="170"/>
    <n v="123"/>
    <n v="644"/>
    <n v="142"/>
  </r>
  <r>
    <x v="0"/>
    <x v="2"/>
    <d v="2017-07-11T00:00:00"/>
    <x v="2"/>
    <n v="47"/>
    <n v="170"/>
    <n v="123"/>
    <n v="645"/>
    <n v="171"/>
  </r>
  <r>
    <x v="0"/>
    <x v="2"/>
    <d v="2017-07-12T00:00:00"/>
    <x v="1"/>
    <n v="59"/>
    <n v="150"/>
    <n v="118"/>
    <n v="653"/>
    <n v="213"/>
  </r>
  <r>
    <x v="0"/>
    <x v="2"/>
    <d v="2017-07-12T00:00:00"/>
    <x v="1"/>
    <n v="40"/>
    <n v="150"/>
    <n v="118"/>
    <n v="647"/>
    <n v="141"/>
  </r>
  <r>
    <x v="0"/>
    <x v="2"/>
    <d v="2017-07-12T00:00:00"/>
    <x v="1"/>
    <n v="53"/>
    <n v="150"/>
    <n v="118"/>
    <n v="648"/>
    <n v="195"/>
  </r>
  <r>
    <x v="0"/>
    <x v="2"/>
    <d v="2017-07-12T00:00:00"/>
    <x v="2"/>
    <n v="34"/>
    <n v="170"/>
    <n v="123"/>
    <n v="649"/>
    <n v="124"/>
  </r>
  <r>
    <x v="0"/>
    <x v="2"/>
    <d v="2017-07-12T00:00:00"/>
    <x v="2"/>
    <n v="32"/>
    <n v="170"/>
    <n v="123"/>
    <n v="650"/>
    <n v="110"/>
  </r>
  <r>
    <x v="0"/>
    <x v="2"/>
    <d v="2017-07-12T00:00:00"/>
    <x v="1"/>
    <n v="40"/>
    <n v="150"/>
    <n v="118"/>
    <n v="651"/>
    <n v="146"/>
  </r>
  <r>
    <x v="0"/>
    <x v="2"/>
    <d v="2017-07-12T00:00:00"/>
    <x v="1"/>
    <n v="45"/>
    <n v="150"/>
    <n v="118"/>
    <n v="652"/>
    <n v="155"/>
  </r>
  <r>
    <x v="0"/>
    <x v="2"/>
    <d v="2017-07-13T00:00:00"/>
    <x v="2"/>
    <n v="47"/>
    <n v="170"/>
    <n v="123"/>
    <n v="656"/>
    <n v="167"/>
  </r>
  <r>
    <x v="0"/>
    <x v="2"/>
    <d v="2017-07-13T00:00:00"/>
    <x v="2"/>
    <n v="47"/>
    <n v="170"/>
    <n v="123"/>
    <n v="654"/>
    <n v="165"/>
  </r>
  <r>
    <x v="0"/>
    <x v="2"/>
    <d v="2017-07-13T00:00:00"/>
    <x v="1"/>
    <n v="48"/>
    <n v="150"/>
    <n v="118"/>
    <n v="655"/>
    <n v="169"/>
  </r>
  <r>
    <x v="0"/>
    <x v="2"/>
    <d v="2017-07-14T00:00:00"/>
    <x v="1"/>
    <n v="45"/>
    <n v="150"/>
    <n v="118"/>
    <n v="657"/>
    <n v="157"/>
  </r>
  <r>
    <x v="0"/>
    <x v="2"/>
    <d v="2017-07-14T00:00:00"/>
    <x v="0"/>
    <n v="39"/>
    <n v="125"/>
    <n v="114"/>
    <n v="658"/>
    <n v="142"/>
  </r>
  <r>
    <x v="0"/>
    <x v="2"/>
    <d v="2017-07-14T00:00:00"/>
    <x v="2"/>
    <n v="39"/>
    <n v="170"/>
    <n v="123"/>
    <n v="659"/>
    <n v="138"/>
  </r>
  <r>
    <x v="0"/>
    <x v="2"/>
    <d v="2017-07-14T00:00:00"/>
    <x v="0"/>
    <n v="39"/>
    <n v="125"/>
    <n v="114"/>
    <n v="660"/>
    <n v="183"/>
  </r>
  <r>
    <x v="0"/>
    <x v="2"/>
    <d v="2017-07-17T00:00:00"/>
    <x v="0"/>
    <n v="36"/>
    <n v="125"/>
    <n v="114"/>
    <n v="665"/>
    <n v="128"/>
  </r>
  <r>
    <x v="0"/>
    <x v="2"/>
    <d v="2017-07-17T00:00:00"/>
    <x v="1"/>
    <n v="62"/>
    <n v="150"/>
    <n v="118"/>
    <n v="661"/>
    <n v="225"/>
  </r>
  <r>
    <x v="0"/>
    <x v="2"/>
    <d v="2017-07-17T00:00:00"/>
    <x v="0"/>
    <n v="52"/>
    <n v="125"/>
    <n v="114"/>
    <n v="666"/>
    <n v="186"/>
  </r>
  <r>
    <x v="0"/>
    <x v="2"/>
    <d v="2017-07-17T00:00:00"/>
    <x v="2"/>
    <n v="46"/>
    <n v="170"/>
    <n v="123"/>
    <n v="663"/>
    <n v="162"/>
  </r>
  <r>
    <x v="0"/>
    <x v="2"/>
    <d v="2017-07-17T00:00:00"/>
    <x v="0"/>
    <n v="40"/>
    <n v="125"/>
    <n v="114"/>
    <n v="662"/>
    <n v="147"/>
  </r>
  <r>
    <x v="0"/>
    <x v="2"/>
    <d v="2017-07-17T00:00:00"/>
    <x v="1"/>
    <n v="54"/>
    <n v="150"/>
    <n v="118"/>
    <n v="664"/>
    <n v="192"/>
  </r>
  <r>
    <x v="0"/>
    <x v="2"/>
    <d v="2017-07-18T00:00:00"/>
    <x v="2"/>
    <n v="37"/>
    <n v="170"/>
    <n v="123"/>
    <n v="674"/>
    <n v="131"/>
  </r>
  <r>
    <x v="0"/>
    <x v="2"/>
    <d v="2017-07-18T00:00:00"/>
    <x v="0"/>
    <n v="48"/>
    <n v="125"/>
    <n v="114"/>
    <n v="675"/>
    <n v="180"/>
  </r>
  <r>
    <x v="0"/>
    <x v="2"/>
    <d v="2017-07-18T00:00:00"/>
    <x v="1"/>
    <n v="60"/>
    <n v="150"/>
    <n v="118"/>
    <n v="673"/>
    <n v="215"/>
  </r>
  <r>
    <x v="0"/>
    <x v="2"/>
    <d v="2017-07-18T00:00:00"/>
    <x v="0"/>
    <n v="59"/>
    <n v="125"/>
    <n v="114"/>
    <n v="672"/>
    <n v="212"/>
  </r>
  <r>
    <x v="0"/>
    <x v="2"/>
    <d v="2017-07-18T00:00:00"/>
    <x v="0"/>
    <n v="37"/>
    <n v="125"/>
    <n v="114"/>
    <n v="670"/>
    <n v="127"/>
  </r>
  <r>
    <x v="0"/>
    <x v="2"/>
    <d v="2017-07-18T00:00:00"/>
    <x v="1"/>
    <n v="52"/>
    <n v="150"/>
    <n v="118"/>
    <n v="669"/>
    <n v="186"/>
  </r>
  <r>
    <x v="0"/>
    <x v="2"/>
    <d v="2017-07-18T00:00:00"/>
    <x v="2"/>
    <n v="30"/>
    <n v="170"/>
    <n v="123"/>
    <n v="667"/>
    <n v="110"/>
  </r>
  <r>
    <x v="0"/>
    <x v="2"/>
    <d v="2017-07-18T00:00:00"/>
    <x v="2"/>
    <n v="41"/>
    <n v="170"/>
    <n v="123"/>
    <n v="668"/>
    <n v="144"/>
  </r>
  <r>
    <x v="0"/>
    <x v="2"/>
    <d v="2017-07-18T00:00:00"/>
    <x v="1"/>
    <n v="60"/>
    <n v="150"/>
    <n v="118"/>
    <n v="671"/>
    <n v="208"/>
  </r>
  <r>
    <x v="0"/>
    <x v="2"/>
    <d v="2017-07-19T00:00:00"/>
    <x v="0"/>
    <n v="47"/>
    <n v="125"/>
    <n v="114"/>
    <n v="678"/>
    <n v="171"/>
  </r>
  <r>
    <x v="0"/>
    <x v="2"/>
    <d v="2017-07-19T00:00:00"/>
    <x v="1"/>
    <n v="49"/>
    <n v="150"/>
    <n v="118"/>
    <n v="681"/>
    <n v="167"/>
  </r>
  <r>
    <x v="0"/>
    <x v="2"/>
    <d v="2017-07-19T00:00:00"/>
    <x v="1"/>
    <n v="54"/>
    <n v="150"/>
    <n v="118"/>
    <n v="676"/>
    <n v="191"/>
  </r>
  <r>
    <x v="0"/>
    <x v="2"/>
    <d v="2017-07-19T00:00:00"/>
    <x v="1"/>
    <n v="53"/>
    <n v="150"/>
    <n v="118"/>
    <n v="679"/>
    <n v="193"/>
  </r>
  <r>
    <x v="0"/>
    <x v="2"/>
    <d v="2017-07-19T00:00:00"/>
    <x v="2"/>
    <n v="54"/>
    <n v="170"/>
    <n v="123"/>
    <n v="677"/>
    <n v="191"/>
  </r>
  <r>
    <x v="0"/>
    <x v="2"/>
    <d v="2017-07-19T00:00:00"/>
    <x v="2"/>
    <n v="33"/>
    <n v="170"/>
    <n v="123"/>
    <n v="680"/>
    <n v="117"/>
  </r>
  <r>
    <x v="0"/>
    <x v="2"/>
    <d v="2017-07-20T00:00:00"/>
    <x v="2"/>
    <n v="37"/>
    <n v="170"/>
    <n v="123"/>
    <n v="687"/>
    <n v="136"/>
  </r>
  <r>
    <x v="0"/>
    <x v="2"/>
    <d v="2017-07-20T00:00:00"/>
    <x v="2"/>
    <n v="55"/>
    <n v="170"/>
    <n v="123"/>
    <n v="682"/>
    <n v="198"/>
  </r>
  <r>
    <x v="0"/>
    <x v="2"/>
    <d v="2017-07-20T00:00:00"/>
    <x v="2"/>
    <n v="29"/>
    <n v="170"/>
    <n v="123"/>
    <n v="690"/>
    <n v="109"/>
  </r>
  <r>
    <x v="0"/>
    <x v="2"/>
    <d v="2017-07-20T00:00:00"/>
    <x v="1"/>
    <n v="49"/>
    <n v="150"/>
    <n v="118"/>
    <n v="689"/>
    <n v="178"/>
  </r>
  <r>
    <x v="0"/>
    <x v="2"/>
    <d v="2017-07-20T00:00:00"/>
    <x v="0"/>
    <n v="37"/>
    <n v="125"/>
    <n v="114"/>
    <n v="688"/>
    <n v="174"/>
  </r>
  <r>
    <x v="0"/>
    <x v="2"/>
    <d v="2017-07-20T00:00:00"/>
    <x v="1"/>
    <n v="60"/>
    <n v="150"/>
    <n v="118"/>
    <n v="685"/>
    <n v="225"/>
  </r>
  <r>
    <x v="0"/>
    <x v="2"/>
    <d v="2017-07-20T00:00:00"/>
    <x v="0"/>
    <n v="46"/>
    <n v="125"/>
    <n v="114"/>
    <n v="683"/>
    <n v="158"/>
  </r>
  <r>
    <x v="0"/>
    <x v="2"/>
    <d v="2017-07-20T00:00:00"/>
    <x v="2"/>
    <n v="43"/>
    <n v="170"/>
    <n v="123"/>
    <n v="684"/>
    <n v="201"/>
  </r>
  <r>
    <x v="0"/>
    <x v="2"/>
    <d v="2017-07-20T00:00:00"/>
    <x v="2"/>
    <n v="49"/>
    <n v="170"/>
    <n v="123"/>
    <n v="686"/>
    <n v="172"/>
  </r>
  <r>
    <x v="0"/>
    <x v="2"/>
    <d v="2017-07-21T00:00:00"/>
    <x v="2"/>
    <n v="29"/>
    <n v="170"/>
    <n v="123"/>
    <n v="694"/>
    <n v="103"/>
  </r>
  <r>
    <x v="0"/>
    <x v="2"/>
    <d v="2017-07-21T00:00:00"/>
    <x v="1"/>
    <n v="47"/>
    <n v="150"/>
    <n v="118"/>
    <n v="698"/>
    <n v="169"/>
  </r>
  <r>
    <x v="0"/>
    <x v="2"/>
    <d v="2017-07-21T00:00:00"/>
    <x v="2"/>
    <n v="36"/>
    <n v="170"/>
    <n v="123"/>
    <n v="697"/>
    <n v="167"/>
  </r>
  <r>
    <x v="0"/>
    <x v="2"/>
    <d v="2017-07-21T00:00:00"/>
    <x v="2"/>
    <n v="30"/>
    <n v="170"/>
    <n v="123"/>
    <n v="695"/>
    <n v="108"/>
  </r>
  <r>
    <x v="0"/>
    <x v="2"/>
    <d v="2017-07-21T00:00:00"/>
    <x v="0"/>
    <n v="49"/>
    <n v="125"/>
    <n v="114"/>
    <n v="693"/>
    <n v="229"/>
  </r>
  <r>
    <x v="0"/>
    <x v="2"/>
    <d v="2017-07-21T00:00:00"/>
    <x v="2"/>
    <n v="49"/>
    <n v="170"/>
    <n v="123"/>
    <n v="692"/>
    <n v="172"/>
  </r>
  <r>
    <x v="0"/>
    <x v="2"/>
    <d v="2017-07-21T00:00:00"/>
    <x v="0"/>
    <n v="36"/>
    <n v="125"/>
    <n v="114"/>
    <n v="691"/>
    <n v="130"/>
  </r>
  <r>
    <x v="0"/>
    <x v="2"/>
    <d v="2017-07-21T00:00:00"/>
    <x v="1"/>
    <n v="55"/>
    <n v="150"/>
    <n v="118"/>
    <n v="696"/>
    <n v="189"/>
  </r>
  <r>
    <x v="0"/>
    <x v="2"/>
    <d v="2017-07-24T00:00:00"/>
    <x v="2"/>
    <n v="44"/>
    <n v="170"/>
    <n v="123"/>
    <n v="703"/>
    <n v="157"/>
  </r>
  <r>
    <x v="0"/>
    <x v="2"/>
    <d v="2017-07-24T00:00:00"/>
    <x v="0"/>
    <n v="34"/>
    <n v="125"/>
    <n v="114"/>
    <n v="699"/>
    <n v="124"/>
  </r>
  <r>
    <x v="0"/>
    <x v="2"/>
    <d v="2017-07-24T00:00:00"/>
    <x v="1"/>
    <n v="54"/>
    <n v="150"/>
    <n v="118"/>
    <n v="704"/>
    <n v="186"/>
  </r>
  <r>
    <x v="0"/>
    <x v="2"/>
    <d v="2017-07-24T00:00:00"/>
    <x v="1"/>
    <n v="54"/>
    <n v="150"/>
    <n v="118"/>
    <n v="705"/>
    <n v="193"/>
  </r>
  <r>
    <x v="0"/>
    <x v="2"/>
    <d v="2017-07-24T00:00:00"/>
    <x v="0"/>
    <n v="43"/>
    <n v="125"/>
    <n v="114"/>
    <n v="700"/>
    <n v="161"/>
  </r>
  <r>
    <x v="0"/>
    <x v="2"/>
    <d v="2017-07-24T00:00:00"/>
    <x v="1"/>
    <n v="63"/>
    <n v="150"/>
    <n v="118"/>
    <n v="701"/>
    <n v="218"/>
  </r>
  <r>
    <x v="0"/>
    <x v="2"/>
    <d v="2017-07-24T00:00:00"/>
    <x v="2"/>
    <n v="43"/>
    <n v="170"/>
    <n v="123"/>
    <n v="702"/>
    <n v="156"/>
  </r>
  <r>
    <x v="0"/>
    <x v="2"/>
    <d v="2017-07-25T00:00:00"/>
    <x v="0"/>
    <n v="45"/>
    <n v="125"/>
    <n v="114"/>
    <n v="710"/>
    <n v="159"/>
  </r>
  <r>
    <x v="0"/>
    <x v="2"/>
    <d v="2017-07-25T00:00:00"/>
    <x v="0"/>
    <n v="45"/>
    <n v="125"/>
    <n v="114"/>
    <n v="711"/>
    <n v="212"/>
  </r>
  <r>
    <x v="0"/>
    <x v="2"/>
    <d v="2017-07-25T00:00:00"/>
    <x v="1"/>
    <n v="50"/>
    <n v="150"/>
    <n v="118"/>
    <n v="709"/>
    <n v="175"/>
  </r>
  <r>
    <x v="0"/>
    <x v="2"/>
    <d v="2017-07-25T00:00:00"/>
    <x v="0"/>
    <n v="40"/>
    <n v="125"/>
    <n v="114"/>
    <n v="708"/>
    <n v="141"/>
  </r>
  <r>
    <x v="0"/>
    <x v="2"/>
    <d v="2017-07-25T00:00:00"/>
    <x v="1"/>
    <n v="50"/>
    <n v="150"/>
    <n v="118"/>
    <n v="707"/>
    <n v="172"/>
  </r>
  <r>
    <x v="0"/>
    <x v="2"/>
    <d v="2017-07-25T00:00:00"/>
    <x v="1"/>
    <n v="64"/>
    <n v="150"/>
    <n v="118"/>
    <n v="706"/>
    <n v="230"/>
  </r>
  <r>
    <x v="0"/>
    <x v="2"/>
    <d v="2017-07-26T00:00:00"/>
    <x v="0"/>
    <n v="59"/>
    <n v="125"/>
    <n v="114"/>
    <n v="713"/>
    <n v="217"/>
  </r>
  <r>
    <x v="0"/>
    <x v="2"/>
    <d v="2017-07-26T00:00:00"/>
    <x v="2"/>
    <n v="44"/>
    <n v="170"/>
    <n v="123"/>
    <n v="714"/>
    <n v="202"/>
  </r>
  <r>
    <x v="0"/>
    <x v="2"/>
    <d v="2017-07-26T00:00:00"/>
    <x v="2"/>
    <n v="49"/>
    <n v="170"/>
    <n v="123"/>
    <n v="715"/>
    <n v="229"/>
  </r>
  <r>
    <x v="0"/>
    <x v="2"/>
    <d v="2017-07-26T00:00:00"/>
    <x v="1"/>
    <n v="49"/>
    <n v="150"/>
    <n v="118"/>
    <n v="712"/>
    <n v="176"/>
  </r>
  <r>
    <x v="0"/>
    <x v="2"/>
    <d v="2017-07-27T00:00:00"/>
    <x v="1"/>
    <n v="51"/>
    <n v="150"/>
    <n v="118"/>
    <n v="719"/>
    <n v="239"/>
  </r>
  <r>
    <x v="0"/>
    <x v="2"/>
    <d v="2017-07-27T00:00:00"/>
    <x v="1"/>
    <n v="50"/>
    <n v="150"/>
    <n v="118"/>
    <n v="723"/>
    <n v="184"/>
  </r>
  <r>
    <x v="0"/>
    <x v="2"/>
    <d v="2017-07-27T00:00:00"/>
    <x v="2"/>
    <n v="49"/>
    <n v="170"/>
    <n v="123"/>
    <n v="722"/>
    <n v="227"/>
  </r>
  <r>
    <x v="0"/>
    <x v="2"/>
    <d v="2017-07-27T00:00:00"/>
    <x v="1"/>
    <n v="45"/>
    <n v="150"/>
    <n v="118"/>
    <n v="724"/>
    <n v="158"/>
  </r>
  <r>
    <x v="0"/>
    <x v="2"/>
    <d v="2017-07-27T00:00:00"/>
    <x v="2"/>
    <n v="39"/>
    <n v="170"/>
    <n v="123"/>
    <n v="718"/>
    <n v="135"/>
  </r>
  <r>
    <x v="0"/>
    <x v="2"/>
    <d v="2017-07-27T00:00:00"/>
    <x v="2"/>
    <n v="34"/>
    <n v="170"/>
    <n v="123"/>
    <n v="717"/>
    <n v="131"/>
  </r>
  <r>
    <x v="0"/>
    <x v="2"/>
    <d v="2017-07-27T00:00:00"/>
    <x v="2"/>
    <n v="40"/>
    <n v="170"/>
    <n v="123"/>
    <n v="716"/>
    <n v="188"/>
  </r>
  <r>
    <x v="0"/>
    <x v="2"/>
    <d v="2017-07-27T00:00:00"/>
    <x v="0"/>
    <n v="59"/>
    <n v="125"/>
    <n v="114"/>
    <n v="721"/>
    <n v="203"/>
  </r>
  <r>
    <x v="0"/>
    <x v="2"/>
    <d v="2017-07-27T00:00:00"/>
    <x v="0"/>
    <n v="56"/>
    <n v="125"/>
    <n v="114"/>
    <n v="720"/>
    <n v="202"/>
  </r>
  <r>
    <x v="0"/>
    <x v="2"/>
    <d v="2017-07-28T00:00:00"/>
    <x v="0"/>
    <n v="36"/>
    <n v="125"/>
    <n v="114"/>
    <n v="727"/>
    <n v="131"/>
  </r>
  <r>
    <x v="0"/>
    <x v="2"/>
    <d v="2017-07-28T00:00:00"/>
    <x v="0"/>
    <n v="38"/>
    <n v="125"/>
    <n v="114"/>
    <n v="731"/>
    <n v="175"/>
  </r>
  <r>
    <x v="0"/>
    <x v="2"/>
    <d v="2017-07-28T00:00:00"/>
    <x v="2"/>
    <n v="30"/>
    <n v="170"/>
    <n v="123"/>
    <n v="730"/>
    <n v="108"/>
  </r>
  <r>
    <x v="0"/>
    <x v="2"/>
    <d v="2017-07-28T00:00:00"/>
    <x v="0"/>
    <n v="45"/>
    <n v="125"/>
    <n v="114"/>
    <n v="728"/>
    <n v="157"/>
  </r>
  <r>
    <x v="0"/>
    <x v="2"/>
    <d v="2017-07-28T00:00:00"/>
    <x v="0"/>
    <n v="46"/>
    <n v="125"/>
    <n v="114"/>
    <n v="726"/>
    <n v="212"/>
  </r>
  <r>
    <x v="0"/>
    <x v="2"/>
    <d v="2017-07-28T00:00:00"/>
    <x v="1"/>
    <n v="61"/>
    <n v="150"/>
    <n v="118"/>
    <n v="725"/>
    <n v="216"/>
  </r>
  <r>
    <x v="0"/>
    <x v="2"/>
    <d v="2017-07-28T00:00:00"/>
    <x v="1"/>
    <n v="40"/>
    <n v="150"/>
    <n v="118"/>
    <n v="729"/>
    <n v="142"/>
  </r>
  <r>
    <x v="0"/>
    <x v="2"/>
    <d v="2017-07-31T00:00:00"/>
    <x v="1"/>
    <n v="44"/>
    <n v="150"/>
    <n v="118"/>
    <n v="737"/>
    <n v="162"/>
  </r>
  <r>
    <x v="0"/>
    <x v="2"/>
    <d v="2017-07-31T00:00:00"/>
    <x v="0"/>
    <n v="59"/>
    <n v="125"/>
    <n v="114"/>
    <n v="740"/>
    <n v="275"/>
  </r>
  <r>
    <x v="0"/>
    <x v="2"/>
    <d v="2017-07-31T00:00:00"/>
    <x v="2"/>
    <n v="50"/>
    <n v="170"/>
    <n v="123"/>
    <n v="739"/>
    <n v="176"/>
  </r>
  <r>
    <x v="0"/>
    <x v="2"/>
    <d v="2017-07-31T00:00:00"/>
    <x v="1"/>
    <n v="53"/>
    <n v="150"/>
    <n v="118"/>
    <n v="738"/>
    <n v="187"/>
  </r>
  <r>
    <x v="0"/>
    <x v="2"/>
    <d v="2017-07-31T00:00:00"/>
    <x v="1"/>
    <n v="42"/>
    <n v="150"/>
    <n v="118"/>
    <n v="733"/>
    <n v="150"/>
  </r>
  <r>
    <x v="0"/>
    <x v="2"/>
    <d v="2017-07-31T00:00:00"/>
    <x v="1"/>
    <n v="50"/>
    <n v="150"/>
    <n v="118"/>
    <n v="734"/>
    <n v="230"/>
  </r>
  <r>
    <x v="0"/>
    <x v="2"/>
    <d v="2017-07-31T00:00:00"/>
    <x v="0"/>
    <n v="44"/>
    <n v="125"/>
    <n v="114"/>
    <n v="735"/>
    <n v="153"/>
  </r>
  <r>
    <x v="0"/>
    <x v="2"/>
    <d v="2017-07-31T00:00:00"/>
    <x v="1"/>
    <n v="59"/>
    <n v="150"/>
    <n v="118"/>
    <n v="732"/>
    <n v="214"/>
  </r>
  <r>
    <x v="0"/>
    <x v="2"/>
    <d v="2017-07-31T00:00:00"/>
    <x v="1"/>
    <n v="47"/>
    <n v="150"/>
    <n v="118"/>
    <n v="736"/>
    <n v="171"/>
  </r>
  <r>
    <x v="0"/>
    <x v="2"/>
    <d v="2017-08-01T00:00:00"/>
    <x v="0"/>
    <n v="45"/>
    <n v="125"/>
    <n v="114"/>
    <n v="741"/>
    <n v="164"/>
  </r>
  <r>
    <x v="0"/>
    <x v="2"/>
    <d v="2017-08-01T00:00:00"/>
    <x v="0"/>
    <n v="47"/>
    <n v="125"/>
    <n v="114"/>
    <n v="742"/>
    <n v="166"/>
  </r>
  <r>
    <x v="0"/>
    <x v="2"/>
    <d v="2017-08-02T00:00:00"/>
    <x v="1"/>
    <n v="61"/>
    <n v="150"/>
    <n v="118"/>
    <n v="745"/>
    <n v="223"/>
  </r>
  <r>
    <x v="0"/>
    <x v="2"/>
    <d v="2017-08-02T00:00:00"/>
    <x v="0"/>
    <n v="56"/>
    <n v="125"/>
    <n v="114"/>
    <n v="750"/>
    <n v="194"/>
  </r>
  <r>
    <x v="0"/>
    <x v="2"/>
    <d v="2017-08-02T00:00:00"/>
    <x v="0"/>
    <n v="38"/>
    <n v="125"/>
    <n v="114"/>
    <n v="749"/>
    <n v="138"/>
  </r>
  <r>
    <x v="0"/>
    <x v="2"/>
    <d v="2017-08-02T00:00:00"/>
    <x v="1"/>
    <n v="42"/>
    <n v="150"/>
    <n v="118"/>
    <n v="748"/>
    <n v="152"/>
  </r>
  <r>
    <x v="0"/>
    <x v="2"/>
    <d v="2017-08-02T00:00:00"/>
    <x v="0"/>
    <n v="39"/>
    <n v="125"/>
    <n v="114"/>
    <n v="746"/>
    <n v="136"/>
  </r>
  <r>
    <x v="0"/>
    <x v="2"/>
    <d v="2017-08-02T00:00:00"/>
    <x v="1"/>
    <n v="52"/>
    <n v="150"/>
    <n v="118"/>
    <n v="744"/>
    <n v="244"/>
  </r>
  <r>
    <x v="0"/>
    <x v="2"/>
    <d v="2017-08-02T00:00:00"/>
    <x v="0"/>
    <n v="56"/>
    <n v="125"/>
    <n v="114"/>
    <n v="743"/>
    <n v="204"/>
  </r>
  <r>
    <x v="0"/>
    <x v="2"/>
    <d v="2017-08-02T00:00:00"/>
    <x v="0"/>
    <n v="42"/>
    <n v="125"/>
    <n v="114"/>
    <n v="747"/>
    <n v="154"/>
  </r>
  <r>
    <x v="0"/>
    <x v="2"/>
    <d v="2017-08-03T00:00:00"/>
    <x v="2"/>
    <n v="41"/>
    <n v="170"/>
    <n v="123"/>
    <n v="756"/>
    <n v="147"/>
  </r>
  <r>
    <x v="0"/>
    <x v="2"/>
    <d v="2017-08-03T00:00:00"/>
    <x v="2"/>
    <n v="32"/>
    <n v="170"/>
    <n v="123"/>
    <n v="751"/>
    <n v="117"/>
  </r>
  <r>
    <x v="0"/>
    <x v="2"/>
    <d v="2017-08-03T00:00:00"/>
    <x v="2"/>
    <n v="37"/>
    <n v="170"/>
    <n v="123"/>
    <n v="758"/>
    <n v="133"/>
  </r>
  <r>
    <x v="0"/>
    <x v="2"/>
    <d v="2017-08-03T00:00:00"/>
    <x v="1"/>
    <n v="59"/>
    <n v="150"/>
    <n v="118"/>
    <n v="757"/>
    <n v="215"/>
  </r>
  <r>
    <x v="0"/>
    <x v="2"/>
    <d v="2017-08-03T00:00:00"/>
    <x v="0"/>
    <n v="44"/>
    <n v="125"/>
    <n v="114"/>
    <n v="755"/>
    <n v="159"/>
  </r>
  <r>
    <x v="0"/>
    <x v="2"/>
    <d v="2017-08-03T00:00:00"/>
    <x v="2"/>
    <n v="36"/>
    <n v="170"/>
    <n v="123"/>
    <n v="754"/>
    <n v="127"/>
  </r>
  <r>
    <x v="0"/>
    <x v="2"/>
    <d v="2017-08-03T00:00:00"/>
    <x v="0"/>
    <n v="40"/>
    <n v="125"/>
    <n v="114"/>
    <n v="752"/>
    <n v="137"/>
  </r>
  <r>
    <x v="0"/>
    <x v="2"/>
    <d v="2017-08-03T00:00:00"/>
    <x v="2"/>
    <n v="47"/>
    <n v="170"/>
    <n v="123"/>
    <n v="753"/>
    <n v="173"/>
  </r>
  <r>
    <x v="0"/>
    <x v="2"/>
    <d v="2017-08-04T00:00:00"/>
    <x v="1"/>
    <n v="47"/>
    <n v="150"/>
    <n v="118"/>
    <n v="759"/>
    <n v="165"/>
  </r>
  <r>
    <x v="0"/>
    <x v="2"/>
    <d v="2017-08-04T00:00:00"/>
    <x v="0"/>
    <n v="35"/>
    <n v="125"/>
    <n v="114"/>
    <n v="760"/>
    <n v="125"/>
  </r>
  <r>
    <x v="0"/>
    <x v="2"/>
    <d v="2017-08-04T00:00:00"/>
    <x v="1"/>
    <n v="62"/>
    <n v="150"/>
    <n v="118"/>
    <n v="761"/>
    <n v="287"/>
  </r>
  <r>
    <x v="0"/>
    <x v="2"/>
    <d v="2017-08-04T00:00:00"/>
    <x v="0"/>
    <n v="58"/>
    <n v="125"/>
    <n v="114"/>
    <n v="762"/>
    <n v="204"/>
  </r>
  <r>
    <x v="0"/>
    <x v="2"/>
    <d v="2017-08-04T00:00:00"/>
    <x v="0"/>
    <n v="49"/>
    <n v="125"/>
    <n v="114"/>
    <n v="763"/>
    <n v="170"/>
  </r>
  <r>
    <x v="0"/>
    <x v="2"/>
    <d v="2017-08-07T00:00:00"/>
    <x v="1"/>
    <n v="39"/>
    <n v="150"/>
    <n v="118"/>
    <n v="768"/>
    <n v="183"/>
  </r>
  <r>
    <x v="0"/>
    <x v="2"/>
    <d v="2017-08-07T00:00:00"/>
    <x v="2"/>
    <n v="29"/>
    <n v="170"/>
    <n v="123"/>
    <n v="770"/>
    <n v="136"/>
  </r>
  <r>
    <x v="0"/>
    <x v="2"/>
    <d v="2017-08-07T00:00:00"/>
    <x v="1"/>
    <n v="58"/>
    <n v="150"/>
    <n v="118"/>
    <n v="771"/>
    <n v="272"/>
  </r>
  <r>
    <x v="0"/>
    <x v="2"/>
    <d v="2017-08-07T00:00:00"/>
    <x v="2"/>
    <n v="32"/>
    <n v="170"/>
    <n v="123"/>
    <n v="769"/>
    <n v="114"/>
  </r>
  <r>
    <x v="0"/>
    <x v="2"/>
    <d v="2017-08-07T00:00:00"/>
    <x v="2"/>
    <n v="38"/>
    <n v="170"/>
    <n v="123"/>
    <n v="766"/>
    <n v="130"/>
  </r>
  <r>
    <x v="0"/>
    <x v="2"/>
    <d v="2017-08-07T00:00:00"/>
    <x v="2"/>
    <n v="32"/>
    <n v="170"/>
    <n v="123"/>
    <n v="764"/>
    <n v="114"/>
  </r>
  <r>
    <x v="0"/>
    <x v="2"/>
    <d v="2017-08-07T00:00:00"/>
    <x v="0"/>
    <n v="41"/>
    <n v="125"/>
    <n v="114"/>
    <n v="765"/>
    <n v="142"/>
  </r>
  <r>
    <x v="0"/>
    <x v="2"/>
    <d v="2017-08-07T00:00:00"/>
    <x v="1"/>
    <n v="61"/>
    <n v="150"/>
    <n v="118"/>
    <n v="767"/>
    <n v="219"/>
  </r>
  <r>
    <x v="0"/>
    <x v="2"/>
    <d v="2017-08-08T00:00:00"/>
    <x v="1"/>
    <n v="62"/>
    <n v="150"/>
    <n v="118"/>
    <n v="776"/>
    <n v="225"/>
  </r>
  <r>
    <x v="0"/>
    <x v="2"/>
    <d v="2017-08-08T00:00:00"/>
    <x v="2"/>
    <n v="32"/>
    <n v="170"/>
    <n v="123"/>
    <n v="772"/>
    <n v="148"/>
  </r>
  <r>
    <x v="0"/>
    <x v="2"/>
    <d v="2017-08-08T00:00:00"/>
    <x v="1"/>
    <n v="43"/>
    <n v="150"/>
    <n v="118"/>
    <n v="773"/>
    <n v="149"/>
  </r>
  <r>
    <x v="0"/>
    <x v="2"/>
    <d v="2017-08-08T00:00:00"/>
    <x v="0"/>
    <n v="46"/>
    <n v="125"/>
    <n v="114"/>
    <n v="774"/>
    <n v="159"/>
  </r>
  <r>
    <x v="0"/>
    <x v="2"/>
    <d v="2017-08-08T00:00:00"/>
    <x v="2"/>
    <n v="45"/>
    <n v="170"/>
    <n v="123"/>
    <n v="775"/>
    <n v="161"/>
  </r>
  <r>
    <x v="0"/>
    <x v="2"/>
    <d v="2017-08-09T00:00:00"/>
    <x v="2"/>
    <n v="38"/>
    <n v="170"/>
    <n v="123"/>
    <n v="777"/>
    <n v="130"/>
  </r>
  <r>
    <x v="0"/>
    <x v="2"/>
    <d v="2017-08-09T00:00:00"/>
    <x v="2"/>
    <n v="43"/>
    <n v="170"/>
    <n v="123"/>
    <n v="778"/>
    <n v="153"/>
  </r>
  <r>
    <x v="0"/>
    <x v="2"/>
    <d v="2017-08-10T00:00:00"/>
    <x v="0"/>
    <n v="42"/>
    <n v="125"/>
    <n v="114"/>
    <n v="779"/>
    <n v="148"/>
  </r>
  <r>
    <x v="0"/>
    <x v="2"/>
    <d v="2017-08-10T00:00:00"/>
    <x v="2"/>
    <n v="49"/>
    <n v="170"/>
    <n v="123"/>
    <n v="780"/>
    <n v="169"/>
  </r>
  <r>
    <x v="0"/>
    <x v="2"/>
    <d v="2017-08-10T00:00:00"/>
    <x v="2"/>
    <n v="51"/>
    <n v="170"/>
    <n v="123"/>
    <n v="781"/>
    <n v="179"/>
  </r>
  <r>
    <x v="0"/>
    <x v="2"/>
    <d v="2017-08-10T00:00:00"/>
    <x v="1"/>
    <n v="51"/>
    <n v="150"/>
    <n v="118"/>
    <n v="782"/>
    <n v="182"/>
  </r>
  <r>
    <x v="0"/>
    <x v="2"/>
    <d v="2017-08-10T00:00:00"/>
    <x v="2"/>
    <n v="35"/>
    <n v="170"/>
    <n v="123"/>
    <n v="783"/>
    <n v="122"/>
  </r>
  <r>
    <x v="0"/>
    <x v="2"/>
    <d v="2017-08-11T00:00:00"/>
    <x v="0"/>
    <n v="35"/>
    <n v="125"/>
    <n v="114"/>
    <n v="786"/>
    <n v="128"/>
  </r>
  <r>
    <x v="0"/>
    <x v="2"/>
    <d v="2017-08-11T00:00:00"/>
    <x v="1"/>
    <n v="56"/>
    <n v="150"/>
    <n v="118"/>
    <n v="789"/>
    <n v="194"/>
  </r>
  <r>
    <x v="0"/>
    <x v="2"/>
    <d v="2017-08-11T00:00:00"/>
    <x v="0"/>
    <n v="55"/>
    <n v="125"/>
    <n v="114"/>
    <n v="787"/>
    <n v="199"/>
  </r>
  <r>
    <x v="0"/>
    <x v="2"/>
    <d v="2017-08-11T00:00:00"/>
    <x v="1"/>
    <n v="58"/>
    <n v="150"/>
    <n v="118"/>
    <n v="784"/>
    <n v="210"/>
  </r>
  <r>
    <x v="0"/>
    <x v="2"/>
    <d v="2017-08-11T00:00:00"/>
    <x v="2"/>
    <n v="54"/>
    <n v="170"/>
    <n v="123"/>
    <n v="788"/>
    <n v="190"/>
  </r>
  <r>
    <x v="0"/>
    <x v="2"/>
    <d v="2017-08-11T00:00:00"/>
    <x v="1"/>
    <n v="60"/>
    <n v="150"/>
    <n v="118"/>
    <n v="785"/>
    <n v="206"/>
  </r>
  <r>
    <x v="0"/>
    <x v="2"/>
    <d v="2017-08-14T00:00:00"/>
    <x v="0"/>
    <n v="40"/>
    <n v="125"/>
    <n v="114"/>
    <n v="795"/>
    <n v="146"/>
  </r>
  <r>
    <x v="0"/>
    <x v="2"/>
    <d v="2017-08-14T00:00:00"/>
    <x v="0"/>
    <n v="48"/>
    <n v="125"/>
    <n v="114"/>
    <n v="798"/>
    <n v="168"/>
  </r>
  <r>
    <x v="0"/>
    <x v="2"/>
    <d v="2017-08-14T00:00:00"/>
    <x v="2"/>
    <n v="55"/>
    <n v="170"/>
    <n v="123"/>
    <n v="796"/>
    <n v="198"/>
  </r>
  <r>
    <x v="0"/>
    <x v="2"/>
    <d v="2017-08-14T00:00:00"/>
    <x v="2"/>
    <n v="50"/>
    <n v="170"/>
    <n v="123"/>
    <n v="794"/>
    <n v="182"/>
  </r>
  <r>
    <x v="0"/>
    <x v="2"/>
    <d v="2017-08-14T00:00:00"/>
    <x v="0"/>
    <n v="56"/>
    <n v="125"/>
    <n v="114"/>
    <n v="793"/>
    <n v="207"/>
  </r>
  <r>
    <x v="0"/>
    <x v="2"/>
    <d v="2017-08-14T00:00:00"/>
    <x v="2"/>
    <n v="47"/>
    <n v="170"/>
    <n v="123"/>
    <n v="792"/>
    <n v="165"/>
  </r>
  <r>
    <x v="0"/>
    <x v="2"/>
    <d v="2017-08-14T00:00:00"/>
    <x v="1"/>
    <n v="58"/>
    <n v="150"/>
    <n v="118"/>
    <n v="791"/>
    <n v="209"/>
  </r>
  <r>
    <x v="0"/>
    <x v="2"/>
    <d v="2017-08-14T00:00:00"/>
    <x v="2"/>
    <n v="44"/>
    <n v="170"/>
    <n v="123"/>
    <n v="790"/>
    <n v="152"/>
  </r>
  <r>
    <x v="0"/>
    <x v="2"/>
    <d v="2017-08-14T00:00:00"/>
    <x v="1"/>
    <n v="47"/>
    <n v="150"/>
    <n v="118"/>
    <n v="797"/>
    <n v="162"/>
  </r>
  <r>
    <x v="0"/>
    <x v="2"/>
    <d v="2017-08-15T00:00:00"/>
    <x v="2"/>
    <n v="47"/>
    <n v="170"/>
    <n v="123"/>
    <n v="799"/>
    <n v="164"/>
  </r>
  <r>
    <x v="0"/>
    <x v="2"/>
    <d v="2017-08-15T00:00:00"/>
    <x v="0"/>
    <n v="49"/>
    <n v="125"/>
    <n v="114"/>
    <n v="800"/>
    <n v="176"/>
  </r>
  <r>
    <x v="0"/>
    <x v="2"/>
    <d v="2017-08-15T00:00:00"/>
    <x v="0"/>
    <n v="51"/>
    <n v="125"/>
    <n v="114"/>
    <n v="801"/>
    <n v="175"/>
  </r>
  <r>
    <x v="0"/>
    <x v="2"/>
    <d v="2017-08-16T00:00:00"/>
    <x v="2"/>
    <n v="38"/>
    <n v="170"/>
    <n v="123"/>
    <n v="806"/>
    <n v="140"/>
  </r>
  <r>
    <x v="0"/>
    <x v="2"/>
    <d v="2017-08-16T00:00:00"/>
    <x v="1"/>
    <n v="43"/>
    <n v="150"/>
    <n v="118"/>
    <n v="809"/>
    <n v="148"/>
  </r>
  <r>
    <x v="0"/>
    <x v="2"/>
    <d v="2017-08-16T00:00:00"/>
    <x v="1"/>
    <n v="40"/>
    <n v="150"/>
    <n v="118"/>
    <n v="808"/>
    <n v="140"/>
  </r>
  <r>
    <x v="0"/>
    <x v="2"/>
    <d v="2017-08-16T00:00:00"/>
    <x v="1"/>
    <n v="61"/>
    <n v="150"/>
    <n v="118"/>
    <n v="807"/>
    <n v="222"/>
  </r>
  <r>
    <x v="0"/>
    <x v="2"/>
    <d v="2017-08-16T00:00:00"/>
    <x v="2"/>
    <n v="49"/>
    <n v="170"/>
    <n v="123"/>
    <n v="804"/>
    <n v="180"/>
  </r>
  <r>
    <x v="0"/>
    <x v="2"/>
    <d v="2017-08-16T00:00:00"/>
    <x v="2"/>
    <n v="37"/>
    <n v="170"/>
    <n v="123"/>
    <n v="803"/>
    <n v="136"/>
  </r>
  <r>
    <x v="0"/>
    <x v="2"/>
    <d v="2017-08-16T00:00:00"/>
    <x v="1"/>
    <n v="44"/>
    <n v="150"/>
    <n v="118"/>
    <n v="802"/>
    <n v="162"/>
  </r>
  <r>
    <x v="0"/>
    <x v="2"/>
    <d v="2017-08-16T00:00:00"/>
    <x v="1"/>
    <n v="54"/>
    <n v="150"/>
    <n v="118"/>
    <n v="810"/>
    <n v="194"/>
  </r>
  <r>
    <x v="0"/>
    <x v="2"/>
    <d v="2017-08-16T00:00:00"/>
    <x v="2"/>
    <n v="49"/>
    <n v="170"/>
    <n v="123"/>
    <n v="805"/>
    <n v="176"/>
  </r>
  <r>
    <x v="0"/>
    <x v="2"/>
    <d v="2017-08-17T00:00:00"/>
    <x v="2"/>
    <n v="50"/>
    <n v="170"/>
    <n v="123"/>
    <n v="814"/>
    <n v="235"/>
  </r>
  <r>
    <x v="0"/>
    <x v="2"/>
    <d v="2017-08-17T00:00:00"/>
    <x v="0"/>
    <n v="37"/>
    <n v="125"/>
    <n v="114"/>
    <n v="815"/>
    <n v="130"/>
  </r>
  <r>
    <x v="0"/>
    <x v="2"/>
    <d v="2017-08-17T00:00:00"/>
    <x v="2"/>
    <n v="41"/>
    <n v="170"/>
    <n v="123"/>
    <n v="813"/>
    <n v="147"/>
  </r>
  <r>
    <x v="0"/>
    <x v="2"/>
    <d v="2017-08-17T00:00:00"/>
    <x v="0"/>
    <n v="45"/>
    <n v="125"/>
    <n v="114"/>
    <n v="812"/>
    <n v="155"/>
  </r>
  <r>
    <x v="0"/>
    <x v="2"/>
    <d v="2017-08-17T00:00:00"/>
    <x v="2"/>
    <n v="35"/>
    <n v="170"/>
    <n v="123"/>
    <n v="811"/>
    <n v="127"/>
  </r>
  <r>
    <x v="0"/>
    <x v="2"/>
    <d v="2017-08-18T00:00:00"/>
    <x v="1"/>
    <n v="65"/>
    <n v="150"/>
    <n v="118"/>
    <n v="817"/>
    <n v="250"/>
  </r>
  <r>
    <x v="0"/>
    <x v="2"/>
    <d v="2017-08-18T00:00:00"/>
    <x v="1"/>
    <n v="55"/>
    <n v="150"/>
    <n v="118"/>
    <n v="818"/>
    <n v="195"/>
  </r>
  <r>
    <x v="0"/>
    <x v="2"/>
    <d v="2017-08-18T00:00:00"/>
    <x v="1"/>
    <n v="55"/>
    <n v="150"/>
    <n v="118"/>
    <n v="819"/>
    <n v="189"/>
  </r>
  <r>
    <x v="0"/>
    <x v="2"/>
    <d v="2017-08-18T00:00:00"/>
    <x v="1"/>
    <n v="48"/>
    <n v="150"/>
    <n v="118"/>
    <n v="820"/>
    <n v="174"/>
  </r>
  <r>
    <x v="0"/>
    <x v="2"/>
    <d v="2017-08-18T00:00:00"/>
    <x v="1"/>
    <n v="41"/>
    <n v="150"/>
    <n v="118"/>
    <n v="821"/>
    <n v="191"/>
  </r>
  <r>
    <x v="0"/>
    <x v="2"/>
    <d v="2017-08-18T00:00:00"/>
    <x v="0"/>
    <n v="51"/>
    <n v="125"/>
    <n v="114"/>
    <n v="822"/>
    <n v="178"/>
  </r>
  <r>
    <x v="0"/>
    <x v="2"/>
    <d v="2017-08-18T00:00:00"/>
    <x v="1"/>
    <n v="43"/>
    <n v="150"/>
    <n v="118"/>
    <n v="816"/>
    <n v="150"/>
  </r>
  <r>
    <x v="0"/>
    <x v="2"/>
    <d v="2017-08-21T00:00:00"/>
    <x v="2"/>
    <n v="35"/>
    <n v="170"/>
    <n v="123"/>
    <n v="823"/>
    <n v="127"/>
  </r>
  <r>
    <x v="0"/>
    <x v="2"/>
    <d v="2017-08-21T00:00:00"/>
    <x v="2"/>
    <n v="38"/>
    <n v="170"/>
    <n v="123"/>
    <n v="825"/>
    <n v="178"/>
  </r>
  <r>
    <x v="0"/>
    <x v="2"/>
    <d v="2017-08-21T00:00:00"/>
    <x v="0"/>
    <n v="44"/>
    <n v="125"/>
    <n v="114"/>
    <n v="824"/>
    <n v="151"/>
  </r>
  <r>
    <x v="0"/>
    <x v="2"/>
    <d v="2017-08-22T00:00:00"/>
    <x v="0"/>
    <n v="39"/>
    <n v="125"/>
    <n v="114"/>
    <n v="826"/>
    <n v="137"/>
  </r>
  <r>
    <x v="0"/>
    <x v="2"/>
    <d v="2017-08-22T00:00:00"/>
    <x v="2"/>
    <n v="55"/>
    <n v="170"/>
    <n v="123"/>
    <n v="827"/>
    <n v="196"/>
  </r>
  <r>
    <x v="0"/>
    <x v="2"/>
    <d v="2017-08-22T00:00:00"/>
    <x v="0"/>
    <n v="37"/>
    <n v="125"/>
    <n v="114"/>
    <n v="828"/>
    <n v="128"/>
  </r>
  <r>
    <x v="0"/>
    <x v="2"/>
    <d v="2017-08-22T00:00:00"/>
    <x v="0"/>
    <n v="53"/>
    <n v="125"/>
    <n v="114"/>
    <n v="829"/>
    <n v="186"/>
  </r>
  <r>
    <x v="0"/>
    <x v="2"/>
    <d v="2017-08-23T00:00:00"/>
    <x v="1"/>
    <n v="47"/>
    <n v="150"/>
    <n v="118"/>
    <n v="832"/>
    <n v="172"/>
  </r>
  <r>
    <x v="0"/>
    <x v="2"/>
    <d v="2017-08-23T00:00:00"/>
    <x v="2"/>
    <n v="53"/>
    <n v="170"/>
    <n v="123"/>
    <n v="835"/>
    <n v="194"/>
  </r>
  <r>
    <x v="0"/>
    <x v="2"/>
    <d v="2017-08-23T00:00:00"/>
    <x v="2"/>
    <n v="29"/>
    <n v="170"/>
    <n v="123"/>
    <n v="833"/>
    <n v="102"/>
  </r>
  <r>
    <x v="0"/>
    <x v="2"/>
    <d v="2017-08-23T00:00:00"/>
    <x v="2"/>
    <n v="53"/>
    <n v="170"/>
    <n v="123"/>
    <n v="831"/>
    <n v="199"/>
  </r>
  <r>
    <x v="0"/>
    <x v="2"/>
    <d v="2017-08-23T00:00:00"/>
    <x v="0"/>
    <n v="59"/>
    <n v="125"/>
    <n v="114"/>
    <n v="830"/>
    <n v="219"/>
  </r>
  <r>
    <x v="0"/>
    <x v="2"/>
    <d v="2017-08-23T00:00:00"/>
    <x v="1"/>
    <n v="63"/>
    <n v="150"/>
    <n v="118"/>
    <n v="834"/>
    <n v="238"/>
  </r>
  <r>
    <x v="0"/>
    <x v="2"/>
    <d v="2017-08-24T00:00:00"/>
    <x v="0"/>
    <n v="45"/>
    <n v="125"/>
    <n v="114"/>
    <n v="836"/>
    <n v="158"/>
  </r>
  <r>
    <x v="0"/>
    <x v="2"/>
    <d v="2017-08-24T00:00:00"/>
    <x v="1"/>
    <n v="61"/>
    <n v="150"/>
    <n v="118"/>
    <n v="837"/>
    <n v="216"/>
  </r>
  <r>
    <x v="0"/>
    <x v="2"/>
    <d v="2017-08-24T00:00:00"/>
    <x v="2"/>
    <n v="41"/>
    <n v="170"/>
    <n v="123"/>
    <n v="838"/>
    <n v="143"/>
  </r>
  <r>
    <x v="0"/>
    <x v="2"/>
    <d v="2017-08-24T00:00:00"/>
    <x v="0"/>
    <n v="41"/>
    <n v="125"/>
    <n v="114"/>
    <n v="839"/>
    <n v="150"/>
  </r>
  <r>
    <x v="0"/>
    <x v="2"/>
    <d v="2017-08-24T00:00:00"/>
    <x v="1"/>
    <n v="53"/>
    <n v="150"/>
    <n v="118"/>
    <n v="840"/>
    <n v="195"/>
  </r>
  <r>
    <x v="0"/>
    <x v="2"/>
    <d v="2017-08-25T00:00:00"/>
    <x v="1"/>
    <n v="43"/>
    <n v="150"/>
    <n v="118"/>
    <n v="842"/>
    <n v="199"/>
  </r>
  <r>
    <x v="0"/>
    <x v="2"/>
    <d v="2017-08-25T00:00:00"/>
    <x v="1"/>
    <n v="65"/>
    <n v="150"/>
    <n v="118"/>
    <n v="843"/>
    <n v="230"/>
  </r>
  <r>
    <x v="0"/>
    <x v="2"/>
    <d v="2017-08-25T00:00:00"/>
    <x v="1"/>
    <n v="50"/>
    <n v="150"/>
    <n v="118"/>
    <n v="844"/>
    <n v="181"/>
  </r>
  <r>
    <x v="0"/>
    <x v="2"/>
    <d v="2017-08-25T00:00:00"/>
    <x v="1"/>
    <n v="47"/>
    <n v="150"/>
    <n v="118"/>
    <n v="841"/>
    <n v="168"/>
  </r>
  <r>
    <x v="0"/>
    <x v="2"/>
    <d v="2017-08-28T00:00:00"/>
    <x v="0"/>
    <n v="48"/>
    <n v="125"/>
    <n v="114"/>
    <n v="845"/>
    <n v="225"/>
  </r>
  <r>
    <x v="0"/>
    <x v="2"/>
    <d v="2017-08-28T00:00:00"/>
    <x v="2"/>
    <n v="37"/>
    <n v="170"/>
    <n v="123"/>
    <n v="846"/>
    <n v="130"/>
  </r>
  <r>
    <x v="0"/>
    <x v="2"/>
    <d v="2017-08-29T00:00:00"/>
    <x v="0"/>
    <n v="46"/>
    <n v="125"/>
    <n v="114"/>
    <n v="851"/>
    <n v="159"/>
  </r>
  <r>
    <x v="0"/>
    <x v="2"/>
    <d v="2017-08-29T00:00:00"/>
    <x v="1"/>
    <n v="58"/>
    <n v="150"/>
    <n v="118"/>
    <n v="847"/>
    <n v="268"/>
  </r>
  <r>
    <x v="0"/>
    <x v="2"/>
    <d v="2017-08-29T00:00:00"/>
    <x v="2"/>
    <n v="54"/>
    <n v="170"/>
    <n v="123"/>
    <n v="848"/>
    <n v="189"/>
  </r>
  <r>
    <x v="0"/>
    <x v="2"/>
    <d v="2017-08-29T00:00:00"/>
    <x v="1"/>
    <n v="49"/>
    <n v="150"/>
    <n v="118"/>
    <n v="849"/>
    <n v="168"/>
  </r>
  <r>
    <x v="0"/>
    <x v="2"/>
    <d v="2017-08-29T00:00:00"/>
    <x v="0"/>
    <n v="38"/>
    <n v="125"/>
    <n v="114"/>
    <n v="850"/>
    <n v="140"/>
  </r>
  <r>
    <x v="0"/>
    <x v="2"/>
    <d v="2017-08-30T00:00:00"/>
    <x v="0"/>
    <n v="41"/>
    <n v="125"/>
    <n v="114"/>
    <n v="859"/>
    <n v="150"/>
  </r>
  <r>
    <x v="0"/>
    <x v="2"/>
    <d v="2017-08-30T00:00:00"/>
    <x v="2"/>
    <n v="42"/>
    <n v="170"/>
    <n v="123"/>
    <n v="858"/>
    <n v="196"/>
  </r>
  <r>
    <x v="0"/>
    <x v="2"/>
    <d v="2017-08-30T00:00:00"/>
    <x v="2"/>
    <n v="52"/>
    <n v="170"/>
    <n v="123"/>
    <n v="857"/>
    <n v="179"/>
  </r>
  <r>
    <x v="0"/>
    <x v="2"/>
    <d v="2017-08-30T00:00:00"/>
    <x v="1"/>
    <n v="39"/>
    <n v="150"/>
    <n v="118"/>
    <n v="856"/>
    <n v="138"/>
  </r>
  <r>
    <x v="0"/>
    <x v="2"/>
    <d v="2017-08-30T00:00:00"/>
    <x v="1"/>
    <n v="47"/>
    <n v="150"/>
    <n v="118"/>
    <n v="855"/>
    <n v="162"/>
  </r>
  <r>
    <x v="0"/>
    <x v="2"/>
    <d v="2017-08-30T00:00:00"/>
    <x v="2"/>
    <n v="53"/>
    <n v="170"/>
    <n v="123"/>
    <n v="854"/>
    <n v="190"/>
  </r>
  <r>
    <x v="0"/>
    <x v="2"/>
    <d v="2017-08-30T00:00:00"/>
    <x v="2"/>
    <n v="42"/>
    <n v="170"/>
    <n v="123"/>
    <n v="852"/>
    <n v="152"/>
  </r>
  <r>
    <x v="0"/>
    <x v="2"/>
    <d v="2017-08-30T00:00:00"/>
    <x v="1"/>
    <n v="61"/>
    <n v="150"/>
    <n v="118"/>
    <n v="853"/>
    <n v="212"/>
  </r>
  <r>
    <x v="0"/>
    <x v="2"/>
    <d v="2017-08-31T00:00:00"/>
    <x v="2"/>
    <n v="38"/>
    <n v="170"/>
    <n v="123"/>
    <n v="861"/>
    <n v="133"/>
  </r>
  <r>
    <x v="0"/>
    <x v="2"/>
    <d v="2017-08-31T00:00:00"/>
    <x v="2"/>
    <n v="55"/>
    <n v="170"/>
    <n v="123"/>
    <n v="860"/>
    <n v="189"/>
  </r>
  <r>
    <x v="0"/>
    <x v="2"/>
    <d v="2017-09-01T00:00:00"/>
    <x v="0"/>
    <n v="44"/>
    <n v="125"/>
    <n v="114"/>
    <n v="862"/>
    <n v="154"/>
  </r>
  <r>
    <x v="0"/>
    <x v="2"/>
    <d v="2017-09-01T00:00:00"/>
    <x v="1"/>
    <n v="47"/>
    <n v="150"/>
    <n v="118"/>
    <n v="863"/>
    <n v="173"/>
  </r>
  <r>
    <x v="0"/>
    <x v="2"/>
    <d v="2017-09-04T00:00:00"/>
    <x v="0"/>
    <n v="47"/>
    <n v="125"/>
    <n v="114"/>
    <n v="864"/>
    <n v="168"/>
  </r>
  <r>
    <x v="0"/>
    <x v="2"/>
    <d v="2017-09-04T00:00:00"/>
    <x v="0"/>
    <n v="46"/>
    <n v="125"/>
    <n v="114"/>
    <n v="865"/>
    <n v="176"/>
  </r>
  <r>
    <x v="0"/>
    <x v="2"/>
    <d v="2017-09-04T00:00:00"/>
    <x v="0"/>
    <n v="51"/>
    <n v="125"/>
    <n v="114"/>
    <n v="866"/>
    <n v="178"/>
  </r>
  <r>
    <x v="0"/>
    <x v="2"/>
    <d v="2017-09-04T00:00:00"/>
    <x v="1"/>
    <n v="58"/>
    <n v="150"/>
    <n v="118"/>
    <n v="867"/>
    <n v="199"/>
  </r>
  <r>
    <x v="0"/>
    <x v="2"/>
    <d v="2017-09-04T00:00:00"/>
    <x v="2"/>
    <n v="54"/>
    <n v="170"/>
    <n v="123"/>
    <n v="868"/>
    <n v="194"/>
  </r>
  <r>
    <x v="0"/>
    <x v="2"/>
    <d v="2017-09-05T00:00:00"/>
    <x v="0"/>
    <n v="42"/>
    <n v="125"/>
    <n v="114"/>
    <n v="870"/>
    <n v="148"/>
  </r>
  <r>
    <x v="0"/>
    <x v="2"/>
    <d v="2017-09-05T00:00:00"/>
    <x v="1"/>
    <n v="64"/>
    <n v="150"/>
    <n v="118"/>
    <n v="869"/>
    <n v="221"/>
  </r>
  <r>
    <x v="0"/>
    <x v="2"/>
    <d v="2017-09-06T00:00:00"/>
    <x v="2"/>
    <n v="50"/>
    <n v="170"/>
    <n v="123"/>
    <n v="876"/>
    <n v="178"/>
  </r>
  <r>
    <x v="0"/>
    <x v="2"/>
    <d v="2017-09-06T00:00:00"/>
    <x v="0"/>
    <n v="46"/>
    <n v="125"/>
    <n v="114"/>
    <n v="875"/>
    <n v="165"/>
  </r>
  <r>
    <x v="0"/>
    <x v="2"/>
    <d v="2017-09-06T00:00:00"/>
    <x v="0"/>
    <n v="52"/>
    <n v="125"/>
    <n v="114"/>
    <n v="874"/>
    <n v="187"/>
  </r>
  <r>
    <x v="0"/>
    <x v="2"/>
    <d v="2017-09-06T00:00:00"/>
    <x v="1"/>
    <n v="42"/>
    <n v="150"/>
    <n v="118"/>
    <n v="873"/>
    <n v="153"/>
  </r>
  <r>
    <x v="0"/>
    <x v="2"/>
    <d v="2017-09-06T00:00:00"/>
    <x v="2"/>
    <n v="37"/>
    <n v="170"/>
    <n v="123"/>
    <n v="871"/>
    <n v="142"/>
  </r>
  <r>
    <x v="0"/>
    <x v="2"/>
    <d v="2017-09-06T00:00:00"/>
    <x v="1"/>
    <n v="40"/>
    <n v="150"/>
    <n v="118"/>
    <n v="872"/>
    <n v="141"/>
  </r>
  <r>
    <x v="0"/>
    <x v="2"/>
    <d v="2017-09-07T00:00:00"/>
    <x v="2"/>
    <n v="44"/>
    <n v="170"/>
    <n v="123"/>
    <n v="878"/>
    <n v="151"/>
  </r>
  <r>
    <x v="0"/>
    <x v="2"/>
    <d v="2017-09-07T00:00:00"/>
    <x v="1"/>
    <n v="62"/>
    <n v="150"/>
    <n v="118"/>
    <n v="883"/>
    <n v="222"/>
  </r>
  <r>
    <x v="0"/>
    <x v="2"/>
    <d v="2017-09-07T00:00:00"/>
    <x v="2"/>
    <n v="39"/>
    <n v="170"/>
    <n v="123"/>
    <n v="884"/>
    <n v="179"/>
  </r>
  <r>
    <x v="0"/>
    <x v="2"/>
    <d v="2017-09-07T00:00:00"/>
    <x v="0"/>
    <n v="35"/>
    <n v="125"/>
    <n v="114"/>
    <n v="882"/>
    <n v="124"/>
  </r>
  <r>
    <x v="0"/>
    <x v="2"/>
    <d v="2017-09-07T00:00:00"/>
    <x v="0"/>
    <n v="60"/>
    <n v="125"/>
    <n v="114"/>
    <n v="879"/>
    <n v="212"/>
  </r>
  <r>
    <x v="0"/>
    <x v="2"/>
    <d v="2017-09-07T00:00:00"/>
    <x v="0"/>
    <n v="45"/>
    <n v="125"/>
    <n v="114"/>
    <n v="877"/>
    <n v="155"/>
  </r>
  <r>
    <x v="0"/>
    <x v="2"/>
    <d v="2017-09-07T00:00:00"/>
    <x v="0"/>
    <n v="58"/>
    <n v="125"/>
    <n v="114"/>
    <n v="880"/>
    <n v="201"/>
  </r>
  <r>
    <x v="0"/>
    <x v="2"/>
    <d v="2017-09-07T00:00:00"/>
    <x v="0"/>
    <n v="59"/>
    <n v="125"/>
    <n v="114"/>
    <n v="881"/>
    <n v="211"/>
  </r>
  <r>
    <x v="0"/>
    <x v="2"/>
    <d v="2017-09-08T00:00:00"/>
    <x v="2"/>
    <n v="54"/>
    <n v="170"/>
    <n v="123"/>
    <n v="889"/>
    <n v="195"/>
  </r>
  <r>
    <x v="0"/>
    <x v="2"/>
    <d v="2017-09-08T00:00:00"/>
    <x v="2"/>
    <n v="49"/>
    <n v="170"/>
    <n v="123"/>
    <n v="890"/>
    <n v="172"/>
  </r>
  <r>
    <x v="0"/>
    <x v="2"/>
    <d v="2017-09-08T00:00:00"/>
    <x v="0"/>
    <n v="44"/>
    <n v="125"/>
    <n v="114"/>
    <n v="888"/>
    <n v="155"/>
  </r>
  <r>
    <x v="0"/>
    <x v="2"/>
    <d v="2017-09-08T00:00:00"/>
    <x v="2"/>
    <n v="38"/>
    <n v="170"/>
    <n v="123"/>
    <n v="887"/>
    <n v="134"/>
  </r>
  <r>
    <x v="0"/>
    <x v="2"/>
    <d v="2017-09-08T00:00:00"/>
    <x v="1"/>
    <n v="45"/>
    <n v="150"/>
    <n v="118"/>
    <n v="886"/>
    <n v="160"/>
  </r>
  <r>
    <x v="0"/>
    <x v="2"/>
    <d v="2017-09-08T00:00:00"/>
    <x v="0"/>
    <n v="42"/>
    <n v="125"/>
    <n v="114"/>
    <n v="885"/>
    <n v="150"/>
  </r>
  <r>
    <x v="0"/>
    <x v="2"/>
    <d v="2017-09-11T00:00:00"/>
    <x v="1"/>
    <n v="54"/>
    <n v="150"/>
    <n v="118"/>
    <n v="892"/>
    <n v="254"/>
  </r>
  <r>
    <x v="0"/>
    <x v="2"/>
    <d v="2017-09-11T00:00:00"/>
    <x v="2"/>
    <n v="43"/>
    <n v="170"/>
    <n v="123"/>
    <n v="893"/>
    <n v="156"/>
  </r>
  <r>
    <x v="0"/>
    <x v="2"/>
    <d v="2017-09-11T00:00:00"/>
    <x v="0"/>
    <n v="36"/>
    <n v="125"/>
    <n v="114"/>
    <n v="894"/>
    <n v="125"/>
  </r>
  <r>
    <x v="0"/>
    <x v="2"/>
    <d v="2017-09-11T00:00:00"/>
    <x v="0"/>
    <n v="59"/>
    <n v="125"/>
    <n v="114"/>
    <n v="891"/>
    <n v="209"/>
  </r>
  <r>
    <x v="0"/>
    <x v="2"/>
    <d v="2017-09-12T00:00:00"/>
    <x v="2"/>
    <n v="37"/>
    <n v="170"/>
    <n v="123"/>
    <n v="895"/>
    <n v="131"/>
  </r>
  <r>
    <x v="0"/>
    <x v="2"/>
    <d v="2017-09-12T00:00:00"/>
    <x v="0"/>
    <n v="54"/>
    <n v="125"/>
    <n v="114"/>
    <n v="896"/>
    <n v="189"/>
  </r>
  <r>
    <x v="0"/>
    <x v="2"/>
    <d v="2017-09-12T00:00:00"/>
    <x v="1"/>
    <n v="41"/>
    <n v="150"/>
    <n v="118"/>
    <n v="897"/>
    <n v="148"/>
  </r>
  <r>
    <x v="0"/>
    <x v="2"/>
    <d v="2017-09-12T00:00:00"/>
    <x v="1"/>
    <n v="62"/>
    <n v="150"/>
    <n v="118"/>
    <n v="898"/>
    <n v="216"/>
  </r>
  <r>
    <x v="0"/>
    <x v="2"/>
    <d v="2017-09-13T00:00:00"/>
    <x v="1"/>
    <n v="44"/>
    <n v="150"/>
    <n v="118"/>
    <n v="899"/>
    <n v="156"/>
  </r>
  <r>
    <x v="0"/>
    <x v="2"/>
    <d v="2017-09-13T00:00:00"/>
    <x v="2"/>
    <n v="43"/>
    <n v="170"/>
    <n v="123"/>
    <n v="900"/>
    <n v="151"/>
  </r>
  <r>
    <x v="0"/>
    <x v="2"/>
    <d v="2017-09-14T00:00:00"/>
    <x v="0"/>
    <n v="36"/>
    <n v="125"/>
    <n v="114"/>
    <n v="902"/>
    <n v="127"/>
  </r>
  <r>
    <x v="0"/>
    <x v="2"/>
    <d v="2017-09-14T00:00:00"/>
    <x v="0"/>
    <n v="43"/>
    <n v="125"/>
    <n v="114"/>
    <n v="903"/>
    <n v="150"/>
  </r>
  <r>
    <x v="0"/>
    <x v="2"/>
    <d v="2017-09-14T00:00:00"/>
    <x v="2"/>
    <n v="31"/>
    <n v="170"/>
    <n v="123"/>
    <n v="904"/>
    <n v="114"/>
  </r>
  <r>
    <x v="0"/>
    <x v="2"/>
    <d v="2017-09-14T00:00:00"/>
    <x v="1"/>
    <n v="56"/>
    <n v="150"/>
    <n v="118"/>
    <n v="905"/>
    <n v="201"/>
  </r>
  <r>
    <x v="0"/>
    <x v="2"/>
    <d v="2017-09-14T00:00:00"/>
    <x v="0"/>
    <n v="49"/>
    <n v="125"/>
    <n v="114"/>
    <n v="906"/>
    <n v="180"/>
  </r>
  <r>
    <x v="0"/>
    <x v="2"/>
    <d v="2017-09-14T00:00:00"/>
    <x v="2"/>
    <n v="41"/>
    <n v="170"/>
    <n v="123"/>
    <n v="907"/>
    <n v="157"/>
  </r>
  <r>
    <x v="0"/>
    <x v="2"/>
    <d v="2017-09-14T00:00:00"/>
    <x v="1"/>
    <n v="41"/>
    <n v="150"/>
    <n v="118"/>
    <n v="901"/>
    <n v="143"/>
  </r>
  <r>
    <x v="0"/>
    <x v="2"/>
    <d v="2017-09-15T00:00:00"/>
    <x v="2"/>
    <n v="33"/>
    <n v="170"/>
    <n v="123"/>
    <n v="908"/>
    <n v="119"/>
  </r>
  <r>
    <x v="0"/>
    <x v="2"/>
    <d v="2017-09-15T00:00:00"/>
    <x v="0"/>
    <n v="49"/>
    <n v="125"/>
    <n v="114"/>
    <n v="916"/>
    <n v="169"/>
  </r>
  <r>
    <x v="0"/>
    <x v="2"/>
    <d v="2017-09-15T00:00:00"/>
    <x v="0"/>
    <n v="47"/>
    <n v="125"/>
    <n v="114"/>
    <n v="915"/>
    <n v="163"/>
  </r>
  <r>
    <x v="0"/>
    <x v="2"/>
    <d v="2017-09-15T00:00:00"/>
    <x v="1"/>
    <n v="39"/>
    <n v="150"/>
    <n v="118"/>
    <n v="914"/>
    <n v="141"/>
  </r>
  <r>
    <x v="0"/>
    <x v="2"/>
    <d v="2017-09-15T00:00:00"/>
    <x v="0"/>
    <n v="57"/>
    <n v="125"/>
    <n v="114"/>
    <n v="913"/>
    <n v="199"/>
  </r>
  <r>
    <x v="0"/>
    <x v="2"/>
    <d v="2017-09-15T00:00:00"/>
    <x v="0"/>
    <n v="60"/>
    <n v="125"/>
    <n v="114"/>
    <n v="912"/>
    <n v="228"/>
  </r>
  <r>
    <x v="0"/>
    <x v="2"/>
    <d v="2017-09-15T00:00:00"/>
    <x v="1"/>
    <n v="39"/>
    <n v="150"/>
    <n v="118"/>
    <n v="911"/>
    <n v="139"/>
  </r>
  <r>
    <x v="0"/>
    <x v="2"/>
    <d v="2017-09-15T00:00:00"/>
    <x v="2"/>
    <n v="38"/>
    <n v="170"/>
    <n v="123"/>
    <n v="909"/>
    <n v="140"/>
  </r>
  <r>
    <x v="0"/>
    <x v="2"/>
    <d v="2017-09-15T00:00:00"/>
    <x v="2"/>
    <n v="34"/>
    <n v="170"/>
    <n v="123"/>
    <n v="910"/>
    <n v="120"/>
  </r>
  <r>
    <x v="0"/>
    <x v="2"/>
    <d v="2017-09-18T00:00:00"/>
    <x v="1"/>
    <n v="54"/>
    <n v="150"/>
    <n v="118"/>
    <n v="920"/>
    <n v="194"/>
  </r>
  <r>
    <x v="0"/>
    <x v="2"/>
    <d v="2017-09-18T00:00:00"/>
    <x v="0"/>
    <n v="36"/>
    <n v="125"/>
    <n v="114"/>
    <n v="921"/>
    <n v="128"/>
  </r>
  <r>
    <x v="0"/>
    <x v="2"/>
    <d v="2017-09-18T00:00:00"/>
    <x v="0"/>
    <n v="45"/>
    <n v="125"/>
    <n v="114"/>
    <n v="919"/>
    <n v="161"/>
  </r>
  <r>
    <x v="0"/>
    <x v="2"/>
    <d v="2017-09-18T00:00:00"/>
    <x v="1"/>
    <n v="45"/>
    <n v="150"/>
    <n v="118"/>
    <n v="917"/>
    <n v="163"/>
  </r>
  <r>
    <x v="0"/>
    <x v="2"/>
    <d v="2017-09-18T00:00:00"/>
    <x v="0"/>
    <n v="58"/>
    <n v="125"/>
    <n v="114"/>
    <n v="918"/>
    <n v="199"/>
  </r>
  <r>
    <x v="0"/>
    <x v="2"/>
    <d v="2017-09-19T00:00:00"/>
    <x v="0"/>
    <n v="52"/>
    <n v="125"/>
    <n v="114"/>
    <n v="922"/>
    <n v="187"/>
  </r>
  <r>
    <x v="0"/>
    <x v="2"/>
    <d v="2017-09-19T00:00:00"/>
    <x v="1"/>
    <n v="52"/>
    <n v="150"/>
    <n v="118"/>
    <n v="923"/>
    <n v="184"/>
  </r>
  <r>
    <x v="0"/>
    <x v="2"/>
    <d v="2017-09-19T00:00:00"/>
    <x v="1"/>
    <n v="49"/>
    <n v="150"/>
    <n v="118"/>
    <n v="924"/>
    <n v="176"/>
  </r>
  <r>
    <x v="0"/>
    <x v="2"/>
    <d v="2017-09-19T00:00:00"/>
    <x v="0"/>
    <n v="53"/>
    <n v="125"/>
    <n v="114"/>
    <n v="925"/>
    <n v="193"/>
  </r>
  <r>
    <x v="0"/>
    <x v="2"/>
    <d v="2017-09-20T00:00:00"/>
    <x v="0"/>
    <n v="40"/>
    <n v="125"/>
    <n v="114"/>
    <n v="927"/>
    <n v="141"/>
  </r>
  <r>
    <x v="0"/>
    <x v="2"/>
    <d v="2017-09-20T00:00:00"/>
    <x v="1"/>
    <n v="47"/>
    <n v="150"/>
    <n v="118"/>
    <n v="928"/>
    <n v="162"/>
  </r>
  <r>
    <x v="0"/>
    <x v="2"/>
    <d v="2017-09-20T00:00:00"/>
    <x v="0"/>
    <n v="51"/>
    <n v="125"/>
    <n v="114"/>
    <n v="926"/>
    <n v="186"/>
  </r>
  <r>
    <x v="0"/>
    <x v="2"/>
    <d v="2017-09-21T00:00:00"/>
    <x v="0"/>
    <n v="49"/>
    <n v="125"/>
    <n v="114"/>
    <n v="930"/>
    <n v="180"/>
  </r>
  <r>
    <x v="0"/>
    <x v="2"/>
    <d v="2017-09-21T00:00:00"/>
    <x v="1"/>
    <n v="59"/>
    <n v="150"/>
    <n v="118"/>
    <n v="931"/>
    <n v="216"/>
  </r>
  <r>
    <x v="0"/>
    <x v="2"/>
    <d v="2017-09-21T00:00:00"/>
    <x v="0"/>
    <n v="49"/>
    <n v="125"/>
    <n v="114"/>
    <n v="932"/>
    <n v="175"/>
  </r>
  <r>
    <x v="0"/>
    <x v="2"/>
    <d v="2017-09-21T00:00:00"/>
    <x v="2"/>
    <n v="55"/>
    <n v="170"/>
    <n v="123"/>
    <n v="933"/>
    <n v="253"/>
  </r>
  <r>
    <x v="0"/>
    <x v="2"/>
    <d v="2017-09-21T00:00:00"/>
    <x v="2"/>
    <n v="46"/>
    <n v="170"/>
    <n v="123"/>
    <n v="929"/>
    <n v="166"/>
  </r>
  <r>
    <x v="0"/>
    <x v="2"/>
    <d v="2017-09-22T00:00:00"/>
    <x v="2"/>
    <n v="55"/>
    <n v="170"/>
    <n v="123"/>
    <n v="935"/>
    <n v="197"/>
  </r>
  <r>
    <x v="0"/>
    <x v="2"/>
    <d v="2017-09-22T00:00:00"/>
    <x v="0"/>
    <n v="44"/>
    <n v="125"/>
    <n v="114"/>
    <n v="940"/>
    <n v="160"/>
  </r>
  <r>
    <x v="0"/>
    <x v="2"/>
    <d v="2017-09-22T00:00:00"/>
    <x v="1"/>
    <n v="40"/>
    <n v="150"/>
    <n v="118"/>
    <n v="941"/>
    <n v="147"/>
  </r>
  <r>
    <x v="0"/>
    <x v="2"/>
    <d v="2017-09-22T00:00:00"/>
    <x v="2"/>
    <n v="34"/>
    <n v="170"/>
    <n v="123"/>
    <n v="939"/>
    <n v="125"/>
  </r>
  <r>
    <x v="0"/>
    <x v="2"/>
    <d v="2017-09-22T00:00:00"/>
    <x v="0"/>
    <n v="38"/>
    <n v="125"/>
    <n v="114"/>
    <n v="938"/>
    <n v="130"/>
  </r>
  <r>
    <x v="0"/>
    <x v="2"/>
    <d v="2017-09-22T00:00:00"/>
    <x v="1"/>
    <n v="45"/>
    <n v="150"/>
    <n v="118"/>
    <n v="936"/>
    <n v="160"/>
  </r>
  <r>
    <x v="0"/>
    <x v="2"/>
    <d v="2017-09-22T00:00:00"/>
    <x v="2"/>
    <n v="38"/>
    <n v="170"/>
    <n v="123"/>
    <n v="934"/>
    <n v="139"/>
  </r>
  <r>
    <x v="0"/>
    <x v="2"/>
    <d v="2017-09-22T00:00:00"/>
    <x v="0"/>
    <n v="57"/>
    <n v="125"/>
    <n v="114"/>
    <n v="937"/>
    <n v="210"/>
  </r>
  <r>
    <x v="0"/>
    <x v="2"/>
    <d v="2017-09-25T00:00:00"/>
    <x v="0"/>
    <n v="56"/>
    <n v="125"/>
    <n v="114"/>
    <n v="942"/>
    <n v="198"/>
  </r>
  <r>
    <x v="0"/>
    <x v="2"/>
    <d v="2017-09-25T00:00:00"/>
    <x v="0"/>
    <n v="34"/>
    <n v="125"/>
    <n v="114"/>
    <n v="943"/>
    <n v="159"/>
  </r>
  <r>
    <x v="0"/>
    <x v="2"/>
    <d v="2017-09-25T00:00:00"/>
    <x v="2"/>
    <n v="36"/>
    <n v="170"/>
    <n v="123"/>
    <n v="944"/>
    <n v="133"/>
  </r>
  <r>
    <x v="0"/>
    <x v="2"/>
    <d v="2017-09-25T00:00:00"/>
    <x v="0"/>
    <n v="49"/>
    <n v="125"/>
    <n v="114"/>
    <n v="945"/>
    <n v="176"/>
  </r>
  <r>
    <x v="0"/>
    <x v="2"/>
    <d v="2017-09-25T00:00:00"/>
    <x v="0"/>
    <n v="46"/>
    <n v="125"/>
    <n v="114"/>
    <n v="946"/>
    <n v="160"/>
  </r>
  <r>
    <x v="0"/>
    <x v="2"/>
    <d v="2017-09-25T00:00:00"/>
    <x v="1"/>
    <n v="51"/>
    <n v="150"/>
    <n v="118"/>
    <n v="947"/>
    <n v="187"/>
  </r>
  <r>
    <x v="0"/>
    <x v="2"/>
    <d v="2017-09-26T00:00:00"/>
    <x v="1"/>
    <n v="64"/>
    <n v="150"/>
    <n v="118"/>
    <n v="948"/>
    <n v="230"/>
  </r>
  <r>
    <x v="0"/>
    <x v="2"/>
    <d v="2017-09-26T00:00:00"/>
    <x v="1"/>
    <n v="47"/>
    <n v="150"/>
    <n v="118"/>
    <n v="949"/>
    <n v="169"/>
  </r>
  <r>
    <x v="0"/>
    <x v="2"/>
    <d v="2017-09-27T00:00:00"/>
    <x v="0"/>
    <n v="54"/>
    <n v="125"/>
    <n v="114"/>
    <n v="954"/>
    <n v="186"/>
  </r>
  <r>
    <x v="0"/>
    <x v="2"/>
    <d v="2017-09-27T00:00:00"/>
    <x v="1"/>
    <n v="63"/>
    <n v="150"/>
    <n v="118"/>
    <n v="951"/>
    <n v="218"/>
  </r>
  <r>
    <x v="0"/>
    <x v="2"/>
    <d v="2017-09-27T00:00:00"/>
    <x v="2"/>
    <n v="54"/>
    <n v="170"/>
    <n v="123"/>
    <n v="955"/>
    <n v="186"/>
  </r>
  <r>
    <x v="0"/>
    <x v="2"/>
    <d v="2017-09-27T00:00:00"/>
    <x v="0"/>
    <n v="46"/>
    <n v="125"/>
    <n v="114"/>
    <n v="952"/>
    <n v="161"/>
  </r>
  <r>
    <x v="0"/>
    <x v="2"/>
    <d v="2017-09-27T00:00:00"/>
    <x v="2"/>
    <n v="29"/>
    <n v="170"/>
    <n v="123"/>
    <n v="950"/>
    <n v="100"/>
  </r>
  <r>
    <x v="0"/>
    <x v="2"/>
    <d v="2017-09-27T00:00:00"/>
    <x v="1"/>
    <n v="51"/>
    <n v="150"/>
    <n v="118"/>
    <n v="953"/>
    <n v="179"/>
  </r>
  <r>
    <x v="0"/>
    <x v="2"/>
    <d v="2017-09-28T00:00:00"/>
    <x v="2"/>
    <n v="49"/>
    <n v="170"/>
    <n v="123"/>
    <n v="961"/>
    <n v="175"/>
  </r>
  <r>
    <x v="0"/>
    <x v="2"/>
    <d v="2017-09-28T00:00:00"/>
    <x v="2"/>
    <n v="49"/>
    <n v="170"/>
    <n v="123"/>
    <n v="962"/>
    <n v="171"/>
  </r>
  <r>
    <x v="0"/>
    <x v="2"/>
    <d v="2017-09-28T00:00:00"/>
    <x v="0"/>
    <n v="54"/>
    <n v="125"/>
    <n v="114"/>
    <n v="960"/>
    <n v="185"/>
  </r>
  <r>
    <x v="0"/>
    <x v="2"/>
    <d v="2017-09-28T00:00:00"/>
    <x v="0"/>
    <n v="57"/>
    <n v="125"/>
    <n v="114"/>
    <n v="959"/>
    <n v="205"/>
  </r>
  <r>
    <x v="0"/>
    <x v="2"/>
    <d v="2017-09-28T00:00:00"/>
    <x v="1"/>
    <n v="60"/>
    <n v="150"/>
    <n v="118"/>
    <n v="958"/>
    <n v="212"/>
  </r>
  <r>
    <x v="0"/>
    <x v="2"/>
    <d v="2017-09-28T00:00:00"/>
    <x v="2"/>
    <n v="33"/>
    <n v="170"/>
    <n v="123"/>
    <n v="957"/>
    <n v="119"/>
  </r>
  <r>
    <x v="0"/>
    <x v="2"/>
    <d v="2017-09-28T00:00:00"/>
    <x v="0"/>
    <n v="52"/>
    <n v="125"/>
    <n v="114"/>
    <n v="956"/>
    <n v="182"/>
  </r>
  <r>
    <x v="0"/>
    <x v="2"/>
    <d v="2017-09-29T00:00:00"/>
    <x v="1"/>
    <n v="61"/>
    <n v="150"/>
    <n v="118"/>
    <n v="964"/>
    <n v="209"/>
  </r>
  <r>
    <x v="0"/>
    <x v="2"/>
    <d v="2017-09-29T00:00:00"/>
    <x v="1"/>
    <n v="46"/>
    <n v="150"/>
    <n v="118"/>
    <n v="965"/>
    <n v="168"/>
  </r>
  <r>
    <x v="0"/>
    <x v="2"/>
    <d v="2017-09-29T00:00:00"/>
    <x v="1"/>
    <n v="62"/>
    <n v="150"/>
    <n v="118"/>
    <n v="966"/>
    <n v="218"/>
  </r>
  <r>
    <x v="0"/>
    <x v="2"/>
    <d v="2017-09-29T00:00:00"/>
    <x v="2"/>
    <n v="54"/>
    <n v="170"/>
    <n v="123"/>
    <n v="963"/>
    <n v="200"/>
  </r>
  <r>
    <x v="0"/>
    <x v="3"/>
    <d v="2017-10-02T00:00:00"/>
    <x v="2"/>
    <n v="33"/>
    <n v="170"/>
    <n v="123"/>
    <n v="969"/>
    <n v="116"/>
  </r>
  <r>
    <x v="0"/>
    <x v="3"/>
    <d v="2017-10-02T00:00:00"/>
    <x v="0"/>
    <n v="39"/>
    <n v="125"/>
    <n v="114"/>
    <n v="972"/>
    <n v="142"/>
  </r>
  <r>
    <x v="0"/>
    <x v="3"/>
    <d v="2017-10-02T00:00:00"/>
    <x v="2"/>
    <n v="37"/>
    <n v="170"/>
    <n v="123"/>
    <n v="975"/>
    <n v="131"/>
  </r>
  <r>
    <x v="0"/>
    <x v="3"/>
    <d v="2017-10-02T00:00:00"/>
    <x v="2"/>
    <n v="47"/>
    <n v="170"/>
    <n v="123"/>
    <n v="974"/>
    <n v="163"/>
  </r>
  <r>
    <x v="0"/>
    <x v="3"/>
    <d v="2017-10-02T00:00:00"/>
    <x v="1"/>
    <n v="45"/>
    <n v="150"/>
    <n v="118"/>
    <n v="973"/>
    <n v="157"/>
  </r>
  <r>
    <x v="0"/>
    <x v="3"/>
    <d v="2017-10-02T00:00:00"/>
    <x v="0"/>
    <n v="43"/>
    <n v="125"/>
    <n v="114"/>
    <n v="970"/>
    <n v="154"/>
  </r>
  <r>
    <x v="0"/>
    <x v="3"/>
    <d v="2017-10-02T00:00:00"/>
    <x v="0"/>
    <n v="48"/>
    <n v="125"/>
    <n v="114"/>
    <n v="968"/>
    <n v="175"/>
  </r>
  <r>
    <x v="0"/>
    <x v="3"/>
    <d v="2017-10-02T00:00:00"/>
    <x v="0"/>
    <n v="46"/>
    <n v="125"/>
    <n v="114"/>
    <n v="967"/>
    <n v="163"/>
  </r>
  <r>
    <x v="0"/>
    <x v="3"/>
    <d v="2017-10-02T00:00:00"/>
    <x v="1"/>
    <n v="41"/>
    <n v="150"/>
    <n v="118"/>
    <n v="971"/>
    <n v="150"/>
  </r>
  <r>
    <x v="0"/>
    <x v="3"/>
    <d v="2017-10-03T00:00:00"/>
    <x v="2"/>
    <n v="50"/>
    <n v="170"/>
    <n v="123"/>
    <n v="976"/>
    <n v="182"/>
  </r>
  <r>
    <x v="0"/>
    <x v="3"/>
    <d v="2017-10-03T00:00:00"/>
    <x v="1"/>
    <n v="48"/>
    <n v="150"/>
    <n v="118"/>
    <n v="977"/>
    <n v="175"/>
  </r>
  <r>
    <x v="0"/>
    <x v="3"/>
    <d v="2017-10-03T00:00:00"/>
    <x v="1"/>
    <n v="61"/>
    <n v="150"/>
    <n v="118"/>
    <n v="978"/>
    <n v="224"/>
  </r>
  <r>
    <x v="0"/>
    <x v="3"/>
    <d v="2017-10-04T00:00:00"/>
    <x v="2"/>
    <n v="43"/>
    <n v="170"/>
    <n v="123"/>
    <n v="979"/>
    <n v="153"/>
  </r>
  <r>
    <x v="0"/>
    <x v="3"/>
    <d v="2017-10-04T00:00:00"/>
    <x v="2"/>
    <n v="38"/>
    <n v="170"/>
    <n v="123"/>
    <n v="980"/>
    <n v="137"/>
  </r>
  <r>
    <x v="0"/>
    <x v="3"/>
    <d v="2017-10-04T00:00:00"/>
    <x v="2"/>
    <n v="41"/>
    <n v="170"/>
    <n v="123"/>
    <n v="981"/>
    <n v="190"/>
  </r>
  <r>
    <x v="0"/>
    <x v="3"/>
    <d v="2017-10-04T00:00:00"/>
    <x v="2"/>
    <n v="31"/>
    <n v="170"/>
    <n v="123"/>
    <n v="982"/>
    <n v="118"/>
  </r>
  <r>
    <x v="0"/>
    <x v="3"/>
    <d v="2017-10-05T00:00:00"/>
    <x v="0"/>
    <n v="53"/>
    <n v="125"/>
    <n v="114"/>
    <n v="988"/>
    <n v="188"/>
  </r>
  <r>
    <x v="0"/>
    <x v="3"/>
    <d v="2017-10-05T00:00:00"/>
    <x v="1"/>
    <n v="45"/>
    <n v="150"/>
    <n v="118"/>
    <n v="987"/>
    <n v="210"/>
  </r>
  <r>
    <x v="0"/>
    <x v="3"/>
    <d v="2017-10-05T00:00:00"/>
    <x v="1"/>
    <n v="52"/>
    <n v="150"/>
    <n v="118"/>
    <n v="991"/>
    <n v="186"/>
  </r>
  <r>
    <x v="0"/>
    <x v="3"/>
    <d v="2017-10-05T00:00:00"/>
    <x v="1"/>
    <n v="40"/>
    <n v="150"/>
    <n v="118"/>
    <n v="990"/>
    <n v="137"/>
  </r>
  <r>
    <x v="0"/>
    <x v="3"/>
    <d v="2017-10-05T00:00:00"/>
    <x v="2"/>
    <n v="38"/>
    <n v="170"/>
    <n v="123"/>
    <n v="986"/>
    <n v="139"/>
  </r>
  <r>
    <x v="0"/>
    <x v="3"/>
    <d v="2017-10-05T00:00:00"/>
    <x v="1"/>
    <n v="61"/>
    <n v="150"/>
    <n v="118"/>
    <n v="985"/>
    <n v="222"/>
  </r>
  <r>
    <x v="0"/>
    <x v="3"/>
    <d v="2017-10-05T00:00:00"/>
    <x v="1"/>
    <n v="50"/>
    <n v="150"/>
    <n v="118"/>
    <n v="984"/>
    <n v="178"/>
  </r>
  <r>
    <x v="0"/>
    <x v="3"/>
    <d v="2017-10-05T00:00:00"/>
    <x v="0"/>
    <n v="55"/>
    <n v="125"/>
    <n v="114"/>
    <n v="983"/>
    <n v="200"/>
  </r>
  <r>
    <x v="0"/>
    <x v="3"/>
    <d v="2017-10-05T00:00:00"/>
    <x v="0"/>
    <n v="35"/>
    <n v="125"/>
    <n v="114"/>
    <n v="989"/>
    <n v="125"/>
  </r>
  <r>
    <x v="0"/>
    <x v="3"/>
    <d v="2017-10-06T00:00:00"/>
    <x v="2"/>
    <n v="41"/>
    <n v="170"/>
    <n v="123"/>
    <n v="992"/>
    <n v="151"/>
  </r>
  <r>
    <x v="0"/>
    <x v="3"/>
    <d v="2017-10-06T00:00:00"/>
    <x v="0"/>
    <n v="34"/>
    <n v="125"/>
    <n v="114"/>
    <n v="993"/>
    <n v="125"/>
  </r>
  <r>
    <x v="0"/>
    <x v="3"/>
    <d v="2017-10-06T00:00:00"/>
    <x v="0"/>
    <n v="58"/>
    <n v="125"/>
    <n v="114"/>
    <n v="994"/>
    <n v="201"/>
  </r>
  <r>
    <x v="0"/>
    <x v="3"/>
    <d v="2017-10-06T00:00:00"/>
    <x v="2"/>
    <n v="48"/>
    <n v="170"/>
    <n v="123"/>
    <n v="995"/>
    <n v="165"/>
  </r>
  <r>
    <x v="0"/>
    <x v="3"/>
    <d v="2017-10-09T00:00:00"/>
    <x v="2"/>
    <n v="30"/>
    <n v="170"/>
    <n v="123"/>
    <n v="1002"/>
    <n v="108"/>
  </r>
  <r>
    <x v="0"/>
    <x v="3"/>
    <d v="2017-10-09T00:00:00"/>
    <x v="0"/>
    <n v="45"/>
    <n v="125"/>
    <n v="114"/>
    <n v="1002"/>
    <n v="159"/>
  </r>
  <r>
    <x v="0"/>
    <x v="3"/>
    <d v="2017-10-09T00:00:00"/>
    <x v="1"/>
    <n v="63"/>
    <n v="150"/>
    <n v="118"/>
    <n v="1001"/>
    <n v="219"/>
  </r>
  <r>
    <x v="0"/>
    <x v="3"/>
    <d v="2017-10-09T00:00:00"/>
    <x v="1"/>
    <n v="59"/>
    <n v="150"/>
    <n v="118"/>
    <n v="1000"/>
    <n v="212"/>
  </r>
  <r>
    <x v="0"/>
    <x v="3"/>
    <d v="2017-10-09T00:00:00"/>
    <x v="2"/>
    <n v="30"/>
    <n v="170"/>
    <n v="123"/>
    <n v="999"/>
    <n v="108"/>
  </r>
  <r>
    <x v="0"/>
    <x v="3"/>
    <d v="2017-10-09T00:00:00"/>
    <x v="0"/>
    <n v="42"/>
    <n v="125"/>
    <n v="114"/>
    <n v="997"/>
    <n v="154"/>
  </r>
  <r>
    <x v="0"/>
    <x v="3"/>
    <d v="2017-10-09T00:00:00"/>
    <x v="0"/>
    <n v="53"/>
    <n v="125"/>
    <n v="114"/>
    <n v="998"/>
    <n v="193"/>
  </r>
  <r>
    <x v="0"/>
    <x v="3"/>
    <d v="2017-10-10T00:00:00"/>
    <x v="1"/>
    <n v="49"/>
    <n v="150"/>
    <n v="118"/>
    <n v="1003"/>
    <n v="179"/>
  </r>
  <r>
    <x v="0"/>
    <x v="3"/>
    <d v="2017-10-10T00:00:00"/>
    <x v="1"/>
    <n v="56"/>
    <n v="150"/>
    <n v="118"/>
    <n v="1004"/>
    <n v="197"/>
  </r>
  <r>
    <x v="0"/>
    <x v="3"/>
    <d v="2017-10-11T00:00:00"/>
    <x v="0"/>
    <n v="46"/>
    <n v="125"/>
    <n v="114"/>
    <n v="1009"/>
    <n v="162"/>
  </r>
  <r>
    <x v="0"/>
    <x v="3"/>
    <d v="2017-10-11T00:00:00"/>
    <x v="0"/>
    <n v="53"/>
    <n v="125"/>
    <n v="114"/>
    <n v="1011"/>
    <n v="193"/>
  </r>
  <r>
    <x v="0"/>
    <x v="3"/>
    <d v="2017-10-11T00:00:00"/>
    <x v="2"/>
    <n v="49"/>
    <n v="170"/>
    <n v="123"/>
    <n v="1010"/>
    <n v="174"/>
  </r>
  <r>
    <x v="0"/>
    <x v="3"/>
    <d v="2017-10-11T00:00:00"/>
    <x v="0"/>
    <n v="36"/>
    <n v="125"/>
    <n v="114"/>
    <n v="1008"/>
    <n v="124"/>
  </r>
  <r>
    <x v="0"/>
    <x v="3"/>
    <d v="2017-10-11T00:00:00"/>
    <x v="0"/>
    <n v="53"/>
    <n v="125"/>
    <n v="114"/>
    <n v="1007"/>
    <n v="190"/>
  </r>
  <r>
    <x v="0"/>
    <x v="3"/>
    <d v="2017-10-11T00:00:00"/>
    <x v="2"/>
    <n v="42"/>
    <n v="170"/>
    <n v="123"/>
    <n v="1005"/>
    <n v="197"/>
  </r>
  <r>
    <x v="0"/>
    <x v="3"/>
    <d v="2017-10-11T00:00:00"/>
    <x v="1"/>
    <n v="55"/>
    <n v="150"/>
    <n v="118"/>
    <n v="1006"/>
    <n v="191"/>
  </r>
  <r>
    <x v="0"/>
    <x v="3"/>
    <d v="2017-10-12T00:00:00"/>
    <x v="2"/>
    <n v="49"/>
    <n v="170"/>
    <n v="123"/>
    <n v="1012"/>
    <n v="229"/>
  </r>
  <r>
    <x v="0"/>
    <x v="3"/>
    <d v="2017-10-12T00:00:00"/>
    <x v="1"/>
    <n v="49"/>
    <n v="150"/>
    <n v="118"/>
    <n v="1013"/>
    <n v="227"/>
  </r>
  <r>
    <x v="0"/>
    <x v="3"/>
    <d v="2017-10-12T00:00:00"/>
    <x v="2"/>
    <n v="30"/>
    <n v="170"/>
    <n v="123"/>
    <n v="1014"/>
    <n v="106"/>
  </r>
  <r>
    <x v="0"/>
    <x v="3"/>
    <d v="2017-10-12T00:00:00"/>
    <x v="0"/>
    <n v="41"/>
    <n v="125"/>
    <n v="114"/>
    <n v="1015"/>
    <n v="156"/>
  </r>
  <r>
    <x v="0"/>
    <x v="3"/>
    <d v="2017-10-12T00:00:00"/>
    <x v="2"/>
    <n v="52"/>
    <n v="170"/>
    <n v="123"/>
    <n v="1016"/>
    <n v="183"/>
  </r>
  <r>
    <x v="0"/>
    <x v="3"/>
    <d v="2017-10-12T00:00:00"/>
    <x v="1"/>
    <n v="56"/>
    <n v="150"/>
    <n v="118"/>
    <n v="1017"/>
    <n v="262"/>
  </r>
  <r>
    <x v="0"/>
    <x v="3"/>
    <d v="2017-10-12T00:00:00"/>
    <x v="2"/>
    <n v="36"/>
    <n v="170"/>
    <n v="123"/>
    <n v="1018"/>
    <n v="166"/>
  </r>
  <r>
    <x v="0"/>
    <x v="3"/>
    <d v="2017-10-12T00:00:00"/>
    <x v="0"/>
    <n v="45"/>
    <n v="125"/>
    <n v="114"/>
    <n v="1019"/>
    <n v="156"/>
  </r>
  <r>
    <x v="0"/>
    <x v="3"/>
    <d v="2017-10-13T00:00:00"/>
    <x v="0"/>
    <n v="55"/>
    <n v="125"/>
    <n v="114"/>
    <n v="1023"/>
    <n v="201"/>
  </r>
  <r>
    <x v="0"/>
    <x v="3"/>
    <d v="2017-10-13T00:00:00"/>
    <x v="0"/>
    <n v="37"/>
    <n v="125"/>
    <n v="114"/>
    <n v="1025"/>
    <n v="128"/>
  </r>
  <r>
    <x v="0"/>
    <x v="3"/>
    <d v="2017-10-13T00:00:00"/>
    <x v="1"/>
    <n v="42"/>
    <n v="150"/>
    <n v="118"/>
    <n v="1024"/>
    <n v="153"/>
  </r>
  <r>
    <x v="0"/>
    <x v="3"/>
    <d v="2017-10-13T00:00:00"/>
    <x v="1"/>
    <n v="38"/>
    <n v="150"/>
    <n v="118"/>
    <n v="1021"/>
    <n v="134"/>
  </r>
  <r>
    <x v="0"/>
    <x v="3"/>
    <d v="2017-10-13T00:00:00"/>
    <x v="0"/>
    <n v="50"/>
    <n v="125"/>
    <n v="114"/>
    <n v="1020"/>
    <n v="177"/>
  </r>
  <r>
    <x v="0"/>
    <x v="3"/>
    <d v="2017-10-13T00:00:00"/>
    <x v="0"/>
    <n v="48"/>
    <n v="125"/>
    <n v="114"/>
    <n v="1026"/>
    <n v="169"/>
  </r>
  <r>
    <x v="0"/>
    <x v="3"/>
    <d v="2017-10-13T00:00:00"/>
    <x v="2"/>
    <n v="42"/>
    <n v="170"/>
    <n v="123"/>
    <n v="1022"/>
    <n v="149"/>
  </r>
  <r>
    <x v="0"/>
    <x v="3"/>
    <d v="2017-10-16T00:00:00"/>
    <x v="1"/>
    <n v="57"/>
    <n v="150"/>
    <n v="118"/>
    <n v="1027"/>
    <n v="206"/>
  </r>
  <r>
    <x v="0"/>
    <x v="3"/>
    <d v="2017-10-16T00:00:00"/>
    <x v="1"/>
    <n v="56"/>
    <n v="150"/>
    <n v="118"/>
    <n v="1028"/>
    <n v="192"/>
  </r>
  <r>
    <x v="0"/>
    <x v="3"/>
    <d v="2017-10-16T00:00:00"/>
    <x v="2"/>
    <n v="47"/>
    <n v="170"/>
    <n v="123"/>
    <n v="1029"/>
    <n v="162"/>
  </r>
  <r>
    <x v="0"/>
    <x v="3"/>
    <d v="2017-10-16T00:00:00"/>
    <x v="2"/>
    <n v="37"/>
    <n v="170"/>
    <n v="123"/>
    <n v="1030"/>
    <n v="134"/>
  </r>
  <r>
    <x v="0"/>
    <x v="3"/>
    <d v="2017-10-16T00:00:00"/>
    <x v="2"/>
    <n v="41"/>
    <n v="170"/>
    <n v="123"/>
    <n v="1031"/>
    <n v="141"/>
  </r>
  <r>
    <x v="0"/>
    <x v="3"/>
    <d v="2017-10-16T00:00:00"/>
    <x v="1"/>
    <n v="64"/>
    <n v="150"/>
    <n v="118"/>
    <n v="1032"/>
    <n v="225"/>
  </r>
  <r>
    <x v="0"/>
    <x v="3"/>
    <d v="2017-10-17T00:00:00"/>
    <x v="0"/>
    <n v="56"/>
    <n v="125"/>
    <n v="114"/>
    <n v="1034"/>
    <n v="202"/>
  </r>
  <r>
    <x v="0"/>
    <x v="3"/>
    <d v="2017-10-17T00:00:00"/>
    <x v="2"/>
    <n v="46"/>
    <n v="170"/>
    <n v="123"/>
    <n v="1035"/>
    <n v="173"/>
  </r>
  <r>
    <x v="0"/>
    <x v="3"/>
    <d v="2017-10-17T00:00:00"/>
    <x v="1"/>
    <n v="41"/>
    <n v="150"/>
    <n v="118"/>
    <n v="1033"/>
    <n v="149"/>
  </r>
  <r>
    <x v="0"/>
    <x v="3"/>
    <d v="2017-10-18T00:00:00"/>
    <x v="1"/>
    <n v="50"/>
    <n v="150"/>
    <n v="118"/>
    <n v="1042"/>
    <n v="181"/>
  </r>
  <r>
    <x v="0"/>
    <x v="3"/>
    <d v="2017-10-18T00:00:00"/>
    <x v="2"/>
    <n v="46"/>
    <n v="170"/>
    <n v="123"/>
    <n v="1037"/>
    <n v="168"/>
  </r>
  <r>
    <x v="0"/>
    <x v="3"/>
    <d v="2017-10-18T00:00:00"/>
    <x v="0"/>
    <n v="40"/>
    <n v="125"/>
    <n v="114"/>
    <n v="1038"/>
    <n v="145"/>
  </r>
  <r>
    <x v="0"/>
    <x v="3"/>
    <d v="2017-10-18T00:00:00"/>
    <x v="1"/>
    <n v="47"/>
    <n v="150"/>
    <n v="118"/>
    <n v="1039"/>
    <n v="173"/>
  </r>
  <r>
    <x v="0"/>
    <x v="3"/>
    <d v="2017-10-18T00:00:00"/>
    <x v="1"/>
    <n v="60"/>
    <n v="150"/>
    <n v="118"/>
    <n v="1040"/>
    <n v="215"/>
  </r>
  <r>
    <x v="0"/>
    <x v="3"/>
    <d v="2017-10-18T00:00:00"/>
    <x v="2"/>
    <n v="46"/>
    <n v="170"/>
    <n v="123"/>
    <n v="1041"/>
    <n v="161"/>
  </r>
  <r>
    <x v="0"/>
    <x v="3"/>
    <d v="2017-10-18T00:00:00"/>
    <x v="1"/>
    <n v="64"/>
    <n v="150"/>
    <n v="118"/>
    <n v="1036"/>
    <n v="220"/>
  </r>
  <r>
    <x v="0"/>
    <x v="3"/>
    <d v="2017-10-19T00:00:00"/>
    <x v="2"/>
    <n v="35"/>
    <n v="170"/>
    <n v="123"/>
    <n v="1048"/>
    <n v="124"/>
  </r>
  <r>
    <x v="0"/>
    <x v="3"/>
    <d v="2017-10-19T00:00:00"/>
    <x v="1"/>
    <n v="56"/>
    <n v="150"/>
    <n v="118"/>
    <n v="1051"/>
    <n v="201"/>
  </r>
  <r>
    <x v="0"/>
    <x v="3"/>
    <d v="2017-10-19T00:00:00"/>
    <x v="1"/>
    <n v="44"/>
    <n v="150"/>
    <n v="118"/>
    <n v="1050"/>
    <n v="157"/>
  </r>
  <r>
    <x v="0"/>
    <x v="3"/>
    <d v="2017-10-19T00:00:00"/>
    <x v="2"/>
    <n v="41"/>
    <n v="170"/>
    <n v="123"/>
    <n v="1049"/>
    <n v="144"/>
  </r>
  <r>
    <x v="0"/>
    <x v="3"/>
    <d v="2017-10-19T00:00:00"/>
    <x v="0"/>
    <n v="55"/>
    <n v="125"/>
    <n v="114"/>
    <n v="1046"/>
    <n v="194"/>
  </r>
  <r>
    <x v="0"/>
    <x v="3"/>
    <d v="2017-10-19T00:00:00"/>
    <x v="1"/>
    <n v="41"/>
    <n v="150"/>
    <n v="118"/>
    <n v="1045"/>
    <n v="144"/>
  </r>
  <r>
    <x v="0"/>
    <x v="3"/>
    <d v="2017-10-19T00:00:00"/>
    <x v="2"/>
    <n v="38"/>
    <n v="170"/>
    <n v="123"/>
    <n v="1043"/>
    <n v="134"/>
  </r>
  <r>
    <x v="0"/>
    <x v="3"/>
    <d v="2017-10-19T00:00:00"/>
    <x v="2"/>
    <n v="46"/>
    <n v="170"/>
    <n v="123"/>
    <n v="1047"/>
    <n v="166"/>
  </r>
  <r>
    <x v="0"/>
    <x v="3"/>
    <d v="2017-10-19T00:00:00"/>
    <x v="0"/>
    <n v="49"/>
    <n v="125"/>
    <n v="114"/>
    <n v="1044"/>
    <n v="176"/>
  </r>
  <r>
    <x v="0"/>
    <x v="3"/>
    <d v="2017-10-20T00:00:00"/>
    <x v="1"/>
    <n v="58"/>
    <n v="150"/>
    <n v="118"/>
    <n v="1054"/>
    <n v="210"/>
  </r>
  <r>
    <x v="0"/>
    <x v="3"/>
    <d v="2017-10-20T00:00:00"/>
    <x v="1"/>
    <n v="56"/>
    <n v="150"/>
    <n v="118"/>
    <n v="1060"/>
    <n v="194"/>
  </r>
  <r>
    <x v="0"/>
    <x v="3"/>
    <d v="2017-10-20T00:00:00"/>
    <x v="0"/>
    <n v="39"/>
    <n v="125"/>
    <n v="114"/>
    <n v="1059"/>
    <n v="183"/>
  </r>
  <r>
    <x v="0"/>
    <x v="3"/>
    <d v="2017-10-20T00:00:00"/>
    <x v="1"/>
    <n v="58"/>
    <n v="150"/>
    <n v="118"/>
    <n v="1058"/>
    <n v="213"/>
  </r>
  <r>
    <x v="0"/>
    <x v="3"/>
    <d v="2017-10-20T00:00:00"/>
    <x v="2"/>
    <n v="48"/>
    <n v="170"/>
    <n v="123"/>
    <n v="1057"/>
    <n v="170"/>
  </r>
  <r>
    <x v="0"/>
    <x v="3"/>
    <d v="2017-10-20T00:00:00"/>
    <x v="0"/>
    <n v="35"/>
    <n v="125"/>
    <n v="114"/>
    <n v="1055"/>
    <n v="121"/>
  </r>
  <r>
    <x v="0"/>
    <x v="3"/>
    <d v="2017-10-20T00:00:00"/>
    <x v="0"/>
    <n v="38"/>
    <n v="125"/>
    <n v="114"/>
    <n v="1053"/>
    <n v="137"/>
  </r>
  <r>
    <x v="0"/>
    <x v="3"/>
    <d v="2017-10-20T00:00:00"/>
    <x v="2"/>
    <n v="31"/>
    <n v="170"/>
    <n v="123"/>
    <n v="1052"/>
    <n v="111"/>
  </r>
  <r>
    <x v="0"/>
    <x v="3"/>
    <d v="2017-10-20T00:00:00"/>
    <x v="1"/>
    <n v="44"/>
    <n v="150"/>
    <n v="118"/>
    <n v="1056"/>
    <n v="162"/>
  </r>
  <r>
    <x v="0"/>
    <x v="3"/>
    <d v="2017-10-23T00:00:00"/>
    <x v="1"/>
    <n v="53"/>
    <n v="150"/>
    <n v="118"/>
    <n v="1064"/>
    <n v="189"/>
  </r>
  <r>
    <x v="0"/>
    <x v="3"/>
    <d v="2017-10-23T00:00:00"/>
    <x v="0"/>
    <n v="55"/>
    <n v="125"/>
    <n v="114"/>
    <n v="1066"/>
    <n v="192"/>
  </r>
  <r>
    <x v="0"/>
    <x v="3"/>
    <d v="2017-10-23T00:00:00"/>
    <x v="1"/>
    <n v="48"/>
    <n v="150"/>
    <n v="118"/>
    <n v="1065"/>
    <n v="170"/>
  </r>
  <r>
    <x v="0"/>
    <x v="3"/>
    <d v="2017-10-23T00:00:00"/>
    <x v="1"/>
    <n v="38"/>
    <n v="150"/>
    <n v="118"/>
    <n v="1062"/>
    <n v="136"/>
  </r>
  <r>
    <x v="0"/>
    <x v="3"/>
    <d v="2017-10-23T00:00:00"/>
    <x v="0"/>
    <n v="34"/>
    <n v="125"/>
    <n v="114"/>
    <n v="1061"/>
    <n v="122"/>
  </r>
  <r>
    <x v="0"/>
    <x v="3"/>
    <d v="2017-10-23T00:00:00"/>
    <x v="0"/>
    <n v="39"/>
    <n v="125"/>
    <n v="114"/>
    <n v="1063"/>
    <n v="140"/>
  </r>
  <r>
    <x v="0"/>
    <x v="3"/>
    <d v="2017-10-24T00:00:00"/>
    <x v="1"/>
    <n v="62"/>
    <n v="150"/>
    <n v="118"/>
    <n v="1067"/>
    <n v="224"/>
  </r>
  <r>
    <x v="0"/>
    <x v="3"/>
    <d v="2017-10-24T00:00:00"/>
    <x v="0"/>
    <n v="41"/>
    <n v="125"/>
    <n v="114"/>
    <n v="1068"/>
    <n v="147"/>
  </r>
  <r>
    <x v="0"/>
    <x v="3"/>
    <d v="2017-10-24T00:00:00"/>
    <x v="0"/>
    <n v="40"/>
    <n v="125"/>
    <n v="114"/>
    <n v="1069"/>
    <n v="145"/>
  </r>
  <r>
    <x v="0"/>
    <x v="3"/>
    <d v="2017-10-24T00:00:00"/>
    <x v="1"/>
    <n v="51"/>
    <n v="150"/>
    <n v="118"/>
    <n v="1070"/>
    <n v="178"/>
  </r>
  <r>
    <x v="0"/>
    <x v="3"/>
    <d v="2017-10-24T00:00:00"/>
    <x v="2"/>
    <n v="30"/>
    <n v="170"/>
    <n v="123"/>
    <n v="1071"/>
    <n v="104"/>
  </r>
  <r>
    <x v="0"/>
    <x v="3"/>
    <d v="2017-10-24T00:00:00"/>
    <x v="2"/>
    <n v="29"/>
    <n v="170"/>
    <n v="123"/>
    <n v="1072"/>
    <n v="107"/>
  </r>
  <r>
    <x v="0"/>
    <x v="3"/>
    <d v="2017-10-24T00:00:00"/>
    <x v="1"/>
    <n v="38"/>
    <n v="150"/>
    <n v="118"/>
    <n v="1073"/>
    <n v="130"/>
  </r>
  <r>
    <x v="0"/>
    <x v="3"/>
    <d v="2017-10-24T00:00:00"/>
    <x v="1"/>
    <n v="40"/>
    <n v="150"/>
    <n v="118"/>
    <n v="1074"/>
    <n v="140"/>
  </r>
  <r>
    <x v="0"/>
    <x v="3"/>
    <d v="2017-10-24T00:00:00"/>
    <x v="1"/>
    <n v="40"/>
    <n v="150"/>
    <n v="118"/>
    <n v="1075"/>
    <n v="141"/>
  </r>
  <r>
    <x v="0"/>
    <x v="3"/>
    <d v="2017-10-25T00:00:00"/>
    <x v="1"/>
    <n v="61"/>
    <n v="150"/>
    <n v="118"/>
    <n v="1080"/>
    <n v="223"/>
  </r>
  <r>
    <x v="0"/>
    <x v="3"/>
    <d v="2017-10-25T00:00:00"/>
    <x v="0"/>
    <n v="33"/>
    <n v="125"/>
    <n v="114"/>
    <n v="1081"/>
    <n v="113"/>
  </r>
  <r>
    <x v="0"/>
    <x v="3"/>
    <d v="2017-10-25T00:00:00"/>
    <x v="2"/>
    <n v="53"/>
    <n v="170"/>
    <n v="123"/>
    <n v="1079"/>
    <n v="193"/>
  </r>
  <r>
    <x v="0"/>
    <x v="3"/>
    <d v="2017-10-25T00:00:00"/>
    <x v="2"/>
    <n v="48"/>
    <n v="170"/>
    <n v="123"/>
    <n v="1077"/>
    <n v="173"/>
  </r>
  <r>
    <x v="0"/>
    <x v="3"/>
    <d v="2017-10-25T00:00:00"/>
    <x v="0"/>
    <n v="54"/>
    <n v="125"/>
    <n v="114"/>
    <n v="1076"/>
    <n v="194"/>
  </r>
  <r>
    <x v="0"/>
    <x v="3"/>
    <d v="2017-10-25T00:00:00"/>
    <x v="0"/>
    <n v="56"/>
    <n v="125"/>
    <n v="114"/>
    <n v="1082"/>
    <n v="204"/>
  </r>
  <r>
    <x v="0"/>
    <x v="3"/>
    <d v="2017-10-25T00:00:00"/>
    <x v="2"/>
    <n v="42"/>
    <n v="170"/>
    <n v="123"/>
    <n v="1078"/>
    <n v="160"/>
  </r>
  <r>
    <x v="0"/>
    <x v="3"/>
    <d v="2017-10-26T00:00:00"/>
    <x v="2"/>
    <n v="31"/>
    <n v="170"/>
    <n v="123"/>
    <n v="1088"/>
    <n v="111"/>
  </r>
  <r>
    <x v="0"/>
    <x v="3"/>
    <d v="2017-10-26T00:00:00"/>
    <x v="1"/>
    <n v="58"/>
    <n v="150"/>
    <n v="118"/>
    <n v="1089"/>
    <n v="214"/>
  </r>
  <r>
    <x v="0"/>
    <x v="3"/>
    <d v="2017-10-26T00:00:00"/>
    <x v="0"/>
    <n v="55"/>
    <n v="125"/>
    <n v="114"/>
    <n v="1087"/>
    <n v="201"/>
  </r>
  <r>
    <x v="0"/>
    <x v="3"/>
    <d v="2017-10-26T00:00:00"/>
    <x v="0"/>
    <n v="44"/>
    <n v="125"/>
    <n v="114"/>
    <n v="1086"/>
    <n v="150"/>
  </r>
  <r>
    <x v="0"/>
    <x v="3"/>
    <d v="2017-10-26T00:00:00"/>
    <x v="2"/>
    <n v="33"/>
    <n v="170"/>
    <n v="123"/>
    <n v="1085"/>
    <n v="115"/>
  </r>
  <r>
    <x v="0"/>
    <x v="3"/>
    <d v="2017-10-26T00:00:00"/>
    <x v="2"/>
    <n v="37"/>
    <n v="170"/>
    <n v="123"/>
    <n v="1084"/>
    <n v="136"/>
  </r>
  <r>
    <x v="0"/>
    <x v="3"/>
    <d v="2017-10-26T00:00:00"/>
    <x v="2"/>
    <n v="39"/>
    <n v="170"/>
    <n v="123"/>
    <n v="1083"/>
    <n v="135"/>
  </r>
  <r>
    <x v="0"/>
    <x v="3"/>
    <d v="2017-10-27T00:00:00"/>
    <x v="2"/>
    <n v="34"/>
    <n v="170"/>
    <n v="123"/>
    <n v="1091"/>
    <n v="118"/>
  </r>
  <r>
    <x v="0"/>
    <x v="3"/>
    <d v="2017-10-27T00:00:00"/>
    <x v="1"/>
    <n v="39"/>
    <n v="150"/>
    <n v="118"/>
    <n v="1092"/>
    <n v="137"/>
  </r>
  <r>
    <x v="0"/>
    <x v="3"/>
    <d v="2017-10-27T00:00:00"/>
    <x v="1"/>
    <n v="38"/>
    <n v="150"/>
    <n v="118"/>
    <n v="1093"/>
    <n v="135"/>
  </r>
  <r>
    <x v="0"/>
    <x v="3"/>
    <d v="2017-10-27T00:00:00"/>
    <x v="0"/>
    <n v="38"/>
    <n v="125"/>
    <n v="114"/>
    <n v="1094"/>
    <n v="175"/>
  </r>
  <r>
    <x v="0"/>
    <x v="3"/>
    <d v="2017-10-27T00:00:00"/>
    <x v="2"/>
    <n v="38"/>
    <n v="170"/>
    <n v="123"/>
    <n v="1090"/>
    <n v="177"/>
  </r>
  <r>
    <x v="0"/>
    <x v="3"/>
    <d v="2017-10-30T00:00:00"/>
    <x v="1"/>
    <n v="45"/>
    <n v="150"/>
    <n v="118"/>
    <n v="1100"/>
    <n v="165"/>
  </r>
  <r>
    <x v="0"/>
    <x v="3"/>
    <d v="2017-10-30T00:00:00"/>
    <x v="2"/>
    <n v="32"/>
    <n v="170"/>
    <n v="123"/>
    <n v="1095"/>
    <n v="114"/>
  </r>
  <r>
    <x v="0"/>
    <x v="3"/>
    <d v="2017-10-30T00:00:00"/>
    <x v="0"/>
    <n v="52"/>
    <n v="125"/>
    <n v="114"/>
    <n v="1101"/>
    <n v="191"/>
  </r>
  <r>
    <x v="0"/>
    <x v="3"/>
    <d v="2017-10-30T00:00:00"/>
    <x v="2"/>
    <n v="38"/>
    <n v="170"/>
    <n v="123"/>
    <n v="1102"/>
    <n v="175"/>
  </r>
  <r>
    <x v="0"/>
    <x v="3"/>
    <d v="2017-10-30T00:00:00"/>
    <x v="1"/>
    <n v="58"/>
    <n v="150"/>
    <n v="118"/>
    <n v="1098"/>
    <n v="204"/>
  </r>
  <r>
    <x v="0"/>
    <x v="3"/>
    <d v="2017-10-30T00:00:00"/>
    <x v="1"/>
    <n v="58"/>
    <n v="150"/>
    <n v="118"/>
    <n v="1096"/>
    <n v="201"/>
  </r>
  <r>
    <x v="0"/>
    <x v="3"/>
    <d v="2017-10-30T00:00:00"/>
    <x v="1"/>
    <n v="43"/>
    <n v="150"/>
    <n v="118"/>
    <n v="1099"/>
    <n v="149"/>
  </r>
  <r>
    <x v="0"/>
    <x v="3"/>
    <d v="2017-10-30T00:00:00"/>
    <x v="1"/>
    <n v="45"/>
    <n v="150"/>
    <n v="118"/>
    <n v="1097"/>
    <n v="210"/>
  </r>
  <r>
    <x v="0"/>
    <x v="3"/>
    <d v="2017-10-31T00:00:00"/>
    <x v="2"/>
    <n v="40"/>
    <n v="170"/>
    <n v="123"/>
    <n v="1103"/>
    <n v="147"/>
  </r>
  <r>
    <x v="0"/>
    <x v="3"/>
    <d v="2017-10-31T00:00:00"/>
    <x v="0"/>
    <n v="42"/>
    <n v="125"/>
    <n v="114"/>
    <n v="1104"/>
    <n v="154"/>
  </r>
  <r>
    <x v="0"/>
    <x v="3"/>
    <d v="2017-11-01T00:00:00"/>
    <x v="2"/>
    <n v="34"/>
    <n v="170"/>
    <n v="123"/>
    <n v="1108"/>
    <n v="124"/>
  </r>
  <r>
    <x v="0"/>
    <x v="3"/>
    <d v="2017-11-01T00:00:00"/>
    <x v="2"/>
    <n v="29"/>
    <n v="170"/>
    <n v="123"/>
    <n v="1109"/>
    <n v="105"/>
  </r>
  <r>
    <x v="0"/>
    <x v="3"/>
    <d v="2017-11-01T00:00:00"/>
    <x v="1"/>
    <n v="61"/>
    <n v="150"/>
    <n v="118"/>
    <n v="1107"/>
    <n v="223"/>
  </r>
  <r>
    <x v="0"/>
    <x v="3"/>
    <d v="2017-11-01T00:00:00"/>
    <x v="0"/>
    <n v="38"/>
    <n v="125"/>
    <n v="114"/>
    <n v="1106"/>
    <n v="132"/>
  </r>
  <r>
    <x v="0"/>
    <x v="3"/>
    <d v="2017-11-01T00:00:00"/>
    <x v="1"/>
    <n v="43"/>
    <n v="150"/>
    <n v="118"/>
    <n v="1105"/>
    <n v="152"/>
  </r>
  <r>
    <x v="0"/>
    <x v="3"/>
    <d v="2017-11-02T00:00:00"/>
    <x v="0"/>
    <n v="58"/>
    <n v="125"/>
    <n v="114"/>
    <n v="1111"/>
    <n v="202"/>
  </r>
  <r>
    <x v="0"/>
    <x v="3"/>
    <d v="2017-11-02T00:00:00"/>
    <x v="0"/>
    <n v="57"/>
    <n v="125"/>
    <n v="114"/>
    <n v="1112"/>
    <n v="199"/>
  </r>
  <r>
    <x v="0"/>
    <x v="3"/>
    <d v="2017-11-02T00:00:00"/>
    <x v="2"/>
    <n v="37"/>
    <n v="170"/>
    <n v="123"/>
    <n v="1113"/>
    <n v="173"/>
  </r>
  <r>
    <x v="0"/>
    <x v="3"/>
    <d v="2017-11-02T00:00:00"/>
    <x v="0"/>
    <n v="52"/>
    <n v="125"/>
    <n v="114"/>
    <n v="1114"/>
    <n v="180"/>
  </r>
  <r>
    <x v="0"/>
    <x v="3"/>
    <d v="2017-11-02T00:00:00"/>
    <x v="2"/>
    <n v="35"/>
    <n v="170"/>
    <n v="123"/>
    <n v="1115"/>
    <n v="121"/>
  </r>
  <r>
    <x v="0"/>
    <x v="3"/>
    <d v="2017-11-02T00:00:00"/>
    <x v="2"/>
    <n v="47"/>
    <n v="170"/>
    <n v="123"/>
    <n v="1110"/>
    <n v="171"/>
  </r>
  <r>
    <x v="0"/>
    <x v="3"/>
    <d v="2017-11-03T00:00:00"/>
    <x v="1"/>
    <n v="49"/>
    <n v="150"/>
    <n v="118"/>
    <n v="1116"/>
    <n v="173"/>
  </r>
  <r>
    <x v="0"/>
    <x v="3"/>
    <d v="2017-11-03T00:00:00"/>
    <x v="0"/>
    <n v="58"/>
    <n v="125"/>
    <n v="114"/>
    <n v="1121"/>
    <n v="199"/>
  </r>
  <r>
    <x v="0"/>
    <x v="3"/>
    <d v="2017-11-03T00:00:00"/>
    <x v="2"/>
    <n v="42"/>
    <n v="170"/>
    <n v="123"/>
    <n v="1123"/>
    <n v="193"/>
  </r>
  <r>
    <x v="0"/>
    <x v="3"/>
    <d v="2017-11-03T00:00:00"/>
    <x v="2"/>
    <n v="28"/>
    <n v="170"/>
    <n v="123"/>
    <n v="1122"/>
    <n v="99"/>
  </r>
  <r>
    <x v="0"/>
    <x v="3"/>
    <d v="2017-11-03T00:00:00"/>
    <x v="2"/>
    <n v="36"/>
    <n v="170"/>
    <n v="123"/>
    <n v="1120"/>
    <n v="131"/>
  </r>
  <r>
    <x v="0"/>
    <x v="3"/>
    <d v="2017-11-03T00:00:00"/>
    <x v="2"/>
    <n v="51"/>
    <n v="170"/>
    <n v="123"/>
    <n v="1119"/>
    <n v="180"/>
  </r>
  <r>
    <x v="0"/>
    <x v="3"/>
    <d v="2017-11-03T00:00:00"/>
    <x v="1"/>
    <n v="42"/>
    <n v="150"/>
    <n v="118"/>
    <n v="1117"/>
    <n v="150"/>
  </r>
  <r>
    <x v="0"/>
    <x v="3"/>
    <d v="2017-11-03T00:00:00"/>
    <x v="0"/>
    <n v="52"/>
    <n v="125"/>
    <n v="114"/>
    <n v="1118"/>
    <n v="200"/>
  </r>
  <r>
    <x v="0"/>
    <x v="3"/>
    <d v="2017-11-06T00:00:00"/>
    <x v="2"/>
    <n v="54"/>
    <n v="170"/>
    <n v="123"/>
    <n v="1124"/>
    <n v="189"/>
  </r>
  <r>
    <x v="0"/>
    <x v="3"/>
    <d v="2017-11-06T00:00:00"/>
    <x v="1"/>
    <n v="62"/>
    <n v="150"/>
    <n v="118"/>
    <n v="1125"/>
    <n v="224"/>
  </r>
  <r>
    <x v="0"/>
    <x v="3"/>
    <d v="2017-11-06T00:00:00"/>
    <x v="1"/>
    <n v="60"/>
    <n v="150"/>
    <n v="118"/>
    <n v="1126"/>
    <n v="219"/>
  </r>
  <r>
    <x v="0"/>
    <x v="3"/>
    <d v="2017-11-06T00:00:00"/>
    <x v="1"/>
    <n v="62"/>
    <n v="150"/>
    <n v="118"/>
    <n v="1127"/>
    <n v="217"/>
  </r>
  <r>
    <x v="0"/>
    <x v="3"/>
    <d v="2017-11-06T00:00:00"/>
    <x v="2"/>
    <n v="41"/>
    <n v="170"/>
    <n v="123"/>
    <n v="1128"/>
    <n v="150"/>
  </r>
  <r>
    <x v="0"/>
    <x v="3"/>
    <d v="2017-11-06T00:00:00"/>
    <x v="1"/>
    <n v="49"/>
    <n v="150"/>
    <n v="118"/>
    <n v="1129"/>
    <n v="180"/>
  </r>
  <r>
    <x v="0"/>
    <x v="3"/>
    <d v="2017-11-06T00:00:00"/>
    <x v="1"/>
    <n v="60"/>
    <n v="150"/>
    <n v="118"/>
    <n v="1130"/>
    <n v="210"/>
  </r>
  <r>
    <x v="0"/>
    <x v="3"/>
    <d v="2017-11-06T00:00:00"/>
    <x v="2"/>
    <n v="31"/>
    <n v="170"/>
    <n v="123"/>
    <n v="1131"/>
    <n v="110"/>
  </r>
  <r>
    <x v="0"/>
    <x v="3"/>
    <d v="2017-11-06T00:00:00"/>
    <x v="0"/>
    <n v="36"/>
    <n v="125"/>
    <n v="114"/>
    <n v="1132"/>
    <n v="135"/>
  </r>
  <r>
    <x v="0"/>
    <x v="3"/>
    <d v="2017-11-07T00:00:00"/>
    <x v="2"/>
    <n v="43"/>
    <n v="170"/>
    <n v="123"/>
    <n v="1133"/>
    <n v="148"/>
  </r>
  <r>
    <x v="0"/>
    <x v="3"/>
    <d v="2017-11-07T00:00:00"/>
    <x v="1"/>
    <n v="50"/>
    <n v="150"/>
    <n v="118"/>
    <n v="1136"/>
    <n v="175"/>
  </r>
  <r>
    <x v="0"/>
    <x v="3"/>
    <d v="2017-11-07T00:00:00"/>
    <x v="1"/>
    <n v="38"/>
    <n v="150"/>
    <n v="118"/>
    <n v="1134"/>
    <n v="137"/>
  </r>
  <r>
    <x v="0"/>
    <x v="3"/>
    <d v="2017-11-07T00:00:00"/>
    <x v="2"/>
    <n v="41"/>
    <n v="170"/>
    <n v="123"/>
    <n v="1135"/>
    <n v="148"/>
  </r>
  <r>
    <x v="0"/>
    <x v="3"/>
    <d v="2017-11-08T00:00:00"/>
    <x v="0"/>
    <n v="52"/>
    <n v="125"/>
    <n v="114"/>
    <n v="1143"/>
    <n v="182"/>
  </r>
  <r>
    <x v="0"/>
    <x v="3"/>
    <d v="2017-11-08T00:00:00"/>
    <x v="0"/>
    <n v="37"/>
    <n v="125"/>
    <n v="114"/>
    <n v="1144"/>
    <n v="131"/>
  </r>
  <r>
    <x v="0"/>
    <x v="3"/>
    <d v="2017-11-08T00:00:00"/>
    <x v="2"/>
    <n v="49"/>
    <n v="170"/>
    <n v="123"/>
    <n v="1142"/>
    <n v="168"/>
  </r>
  <r>
    <x v="0"/>
    <x v="3"/>
    <d v="2017-11-08T00:00:00"/>
    <x v="1"/>
    <n v="48"/>
    <n v="150"/>
    <n v="118"/>
    <n v="1141"/>
    <n v="170"/>
  </r>
  <r>
    <x v="0"/>
    <x v="3"/>
    <d v="2017-11-08T00:00:00"/>
    <x v="1"/>
    <n v="52"/>
    <n v="150"/>
    <n v="118"/>
    <n v="1140"/>
    <n v="192"/>
  </r>
  <r>
    <x v="0"/>
    <x v="3"/>
    <d v="2017-11-08T00:00:00"/>
    <x v="2"/>
    <n v="49"/>
    <n v="170"/>
    <n v="123"/>
    <n v="1139"/>
    <n v="172"/>
  </r>
  <r>
    <x v="0"/>
    <x v="3"/>
    <d v="2017-11-08T00:00:00"/>
    <x v="2"/>
    <n v="31"/>
    <n v="170"/>
    <n v="123"/>
    <n v="1138"/>
    <n v="114"/>
  </r>
  <r>
    <x v="0"/>
    <x v="3"/>
    <d v="2017-11-08T00:00:00"/>
    <x v="0"/>
    <n v="55"/>
    <n v="125"/>
    <n v="114"/>
    <n v="1137"/>
    <n v="203"/>
  </r>
  <r>
    <x v="0"/>
    <x v="3"/>
    <d v="2017-11-09T00:00:00"/>
    <x v="2"/>
    <n v="30"/>
    <n v="170"/>
    <n v="123"/>
    <n v="1146"/>
    <n v="109"/>
  </r>
  <r>
    <x v="0"/>
    <x v="3"/>
    <d v="2017-11-09T00:00:00"/>
    <x v="2"/>
    <n v="32"/>
    <n v="170"/>
    <n v="123"/>
    <n v="1147"/>
    <n v="118"/>
  </r>
  <r>
    <x v="0"/>
    <x v="3"/>
    <d v="2017-11-09T00:00:00"/>
    <x v="1"/>
    <n v="49"/>
    <n v="150"/>
    <n v="118"/>
    <n v="1148"/>
    <n v="178"/>
  </r>
  <r>
    <x v="0"/>
    <x v="3"/>
    <d v="2017-11-09T00:00:00"/>
    <x v="0"/>
    <n v="54"/>
    <n v="125"/>
    <n v="114"/>
    <n v="1149"/>
    <n v="204"/>
  </r>
  <r>
    <x v="0"/>
    <x v="3"/>
    <d v="2017-11-09T00:00:00"/>
    <x v="1"/>
    <n v="41"/>
    <n v="150"/>
    <n v="118"/>
    <n v="1150"/>
    <n v="148"/>
  </r>
  <r>
    <x v="0"/>
    <x v="3"/>
    <d v="2017-11-09T00:00:00"/>
    <x v="0"/>
    <n v="41"/>
    <n v="125"/>
    <n v="114"/>
    <n v="1145"/>
    <n v="144"/>
  </r>
  <r>
    <x v="0"/>
    <x v="3"/>
    <d v="2017-11-10T00:00:00"/>
    <x v="1"/>
    <n v="44"/>
    <n v="150"/>
    <n v="118"/>
    <n v="1151"/>
    <n v="153"/>
  </r>
  <r>
    <x v="0"/>
    <x v="3"/>
    <d v="2017-11-10T00:00:00"/>
    <x v="2"/>
    <n v="36"/>
    <n v="170"/>
    <n v="123"/>
    <n v="1156"/>
    <n v="130"/>
  </r>
  <r>
    <x v="0"/>
    <x v="3"/>
    <d v="2017-11-10T00:00:00"/>
    <x v="2"/>
    <n v="44"/>
    <n v="170"/>
    <n v="123"/>
    <n v="1155"/>
    <n v="162"/>
  </r>
  <r>
    <x v="0"/>
    <x v="3"/>
    <d v="2017-11-10T00:00:00"/>
    <x v="0"/>
    <n v="53"/>
    <n v="125"/>
    <n v="114"/>
    <n v="1152"/>
    <n v="193"/>
  </r>
  <r>
    <x v="0"/>
    <x v="3"/>
    <d v="2017-11-10T00:00:00"/>
    <x v="2"/>
    <n v="33"/>
    <n v="170"/>
    <n v="123"/>
    <n v="1153"/>
    <n v="116"/>
  </r>
  <r>
    <x v="0"/>
    <x v="3"/>
    <d v="2017-11-10T00:00:00"/>
    <x v="0"/>
    <n v="39"/>
    <n v="125"/>
    <n v="114"/>
    <n v="1154"/>
    <n v="142"/>
  </r>
  <r>
    <x v="0"/>
    <x v="3"/>
    <d v="2017-11-13T00:00:00"/>
    <x v="2"/>
    <n v="46"/>
    <n v="170"/>
    <n v="123"/>
    <n v="1161"/>
    <n v="162"/>
  </r>
  <r>
    <x v="0"/>
    <x v="3"/>
    <d v="2017-11-13T00:00:00"/>
    <x v="2"/>
    <n v="35"/>
    <n v="170"/>
    <n v="123"/>
    <n v="1162"/>
    <n v="122"/>
  </r>
  <r>
    <x v="0"/>
    <x v="3"/>
    <d v="2017-11-13T00:00:00"/>
    <x v="1"/>
    <n v="55"/>
    <n v="150"/>
    <n v="118"/>
    <n v="1160"/>
    <n v="199"/>
  </r>
  <r>
    <x v="0"/>
    <x v="3"/>
    <d v="2017-11-13T00:00:00"/>
    <x v="2"/>
    <n v="46"/>
    <n v="170"/>
    <n v="123"/>
    <n v="1159"/>
    <n v="165"/>
  </r>
  <r>
    <x v="0"/>
    <x v="3"/>
    <d v="2017-11-13T00:00:00"/>
    <x v="2"/>
    <n v="34"/>
    <n v="170"/>
    <n v="123"/>
    <n v="1158"/>
    <n v="122"/>
  </r>
  <r>
    <x v="0"/>
    <x v="3"/>
    <d v="2017-11-13T00:00:00"/>
    <x v="2"/>
    <n v="32"/>
    <n v="170"/>
    <n v="123"/>
    <n v="1157"/>
    <n v="111"/>
  </r>
  <r>
    <x v="0"/>
    <x v="3"/>
    <d v="2017-11-13T00:00:00"/>
    <x v="2"/>
    <n v="48"/>
    <n v="170"/>
    <n v="123"/>
    <n v="1163"/>
    <n v="169"/>
  </r>
  <r>
    <x v="0"/>
    <x v="3"/>
    <d v="2017-11-14T00:00:00"/>
    <x v="2"/>
    <n v="35"/>
    <n v="170"/>
    <n v="123"/>
    <n v="1164"/>
    <n v="163"/>
  </r>
  <r>
    <x v="0"/>
    <x v="3"/>
    <d v="2017-11-14T00:00:00"/>
    <x v="0"/>
    <n v="50"/>
    <n v="125"/>
    <n v="114"/>
    <n v="1165"/>
    <n v="178"/>
  </r>
  <r>
    <x v="0"/>
    <x v="3"/>
    <d v="2017-11-15T00:00:00"/>
    <x v="2"/>
    <n v="39"/>
    <n v="170"/>
    <n v="123"/>
    <n v="1170"/>
    <n v="148"/>
  </r>
  <r>
    <x v="0"/>
    <x v="3"/>
    <d v="2017-11-15T00:00:00"/>
    <x v="1"/>
    <n v="48"/>
    <n v="150"/>
    <n v="118"/>
    <n v="1172"/>
    <n v="167"/>
  </r>
  <r>
    <x v="0"/>
    <x v="3"/>
    <d v="2017-11-15T00:00:00"/>
    <x v="0"/>
    <n v="36"/>
    <n v="125"/>
    <n v="114"/>
    <n v="1171"/>
    <n v="169"/>
  </r>
  <r>
    <x v="0"/>
    <x v="3"/>
    <d v="2017-11-15T00:00:00"/>
    <x v="2"/>
    <n v="33"/>
    <n v="170"/>
    <n v="123"/>
    <n v="1166"/>
    <n v="116"/>
  </r>
  <r>
    <x v="0"/>
    <x v="3"/>
    <d v="2017-11-15T00:00:00"/>
    <x v="1"/>
    <n v="57"/>
    <n v="150"/>
    <n v="118"/>
    <n v="1167"/>
    <n v="210"/>
  </r>
  <r>
    <x v="0"/>
    <x v="3"/>
    <d v="2017-11-15T00:00:00"/>
    <x v="2"/>
    <n v="49"/>
    <n v="170"/>
    <n v="123"/>
    <n v="1168"/>
    <n v="176"/>
  </r>
  <r>
    <x v="0"/>
    <x v="3"/>
    <d v="2017-11-15T00:00:00"/>
    <x v="1"/>
    <n v="41"/>
    <n v="150"/>
    <n v="118"/>
    <n v="1169"/>
    <n v="148"/>
  </r>
  <r>
    <x v="0"/>
    <x v="3"/>
    <d v="2017-11-16T00:00:00"/>
    <x v="2"/>
    <n v="28"/>
    <n v="170"/>
    <n v="123"/>
    <n v="1173"/>
    <n v="100"/>
  </r>
  <r>
    <x v="0"/>
    <x v="3"/>
    <d v="2017-11-16T00:00:00"/>
    <x v="1"/>
    <n v="61"/>
    <n v="150"/>
    <n v="118"/>
    <n v="1174"/>
    <n v="208"/>
  </r>
  <r>
    <x v="0"/>
    <x v="3"/>
    <d v="2017-11-17T00:00:00"/>
    <x v="1"/>
    <n v="55"/>
    <n v="150"/>
    <n v="118"/>
    <n v="1178"/>
    <n v="258"/>
  </r>
  <r>
    <x v="0"/>
    <x v="3"/>
    <d v="2017-11-17T00:00:00"/>
    <x v="0"/>
    <n v="58"/>
    <n v="125"/>
    <n v="114"/>
    <n v="1181"/>
    <n v="268"/>
  </r>
  <r>
    <x v="0"/>
    <x v="3"/>
    <d v="2017-11-17T00:00:00"/>
    <x v="1"/>
    <n v="53"/>
    <n v="150"/>
    <n v="118"/>
    <n v="1179"/>
    <n v="184"/>
  </r>
  <r>
    <x v="0"/>
    <x v="3"/>
    <d v="2017-11-17T00:00:00"/>
    <x v="1"/>
    <n v="59"/>
    <n v="150"/>
    <n v="118"/>
    <n v="1177"/>
    <n v="211"/>
  </r>
  <r>
    <x v="0"/>
    <x v="3"/>
    <d v="2017-11-17T00:00:00"/>
    <x v="0"/>
    <n v="58"/>
    <n v="125"/>
    <n v="114"/>
    <n v="1176"/>
    <n v="212"/>
  </r>
  <r>
    <x v="0"/>
    <x v="3"/>
    <d v="2017-11-17T00:00:00"/>
    <x v="2"/>
    <n v="50"/>
    <n v="170"/>
    <n v="123"/>
    <n v="1175"/>
    <n v="183"/>
  </r>
  <r>
    <x v="0"/>
    <x v="3"/>
    <d v="2017-11-17T00:00:00"/>
    <x v="1"/>
    <n v="41"/>
    <n v="150"/>
    <n v="118"/>
    <n v="1180"/>
    <n v="144"/>
  </r>
  <r>
    <x v="0"/>
    <x v="3"/>
    <d v="2017-11-20T00:00:00"/>
    <x v="1"/>
    <n v="41"/>
    <n v="150"/>
    <n v="118"/>
    <n v="1182"/>
    <n v="141"/>
  </r>
  <r>
    <x v="0"/>
    <x v="3"/>
    <d v="2017-11-20T00:00:00"/>
    <x v="0"/>
    <n v="48"/>
    <n v="125"/>
    <n v="114"/>
    <n v="1183"/>
    <n v="165"/>
  </r>
  <r>
    <x v="0"/>
    <x v="3"/>
    <d v="2017-11-21T00:00:00"/>
    <x v="2"/>
    <n v="49"/>
    <n v="170"/>
    <n v="123"/>
    <n v="1187"/>
    <n v="174"/>
  </r>
  <r>
    <x v="0"/>
    <x v="3"/>
    <d v="2017-11-21T00:00:00"/>
    <x v="1"/>
    <n v="58"/>
    <n v="150"/>
    <n v="118"/>
    <n v="1190"/>
    <n v="211"/>
  </r>
  <r>
    <x v="0"/>
    <x v="3"/>
    <d v="2017-11-21T00:00:00"/>
    <x v="1"/>
    <n v="49"/>
    <n v="150"/>
    <n v="118"/>
    <n v="1192"/>
    <n v="180"/>
  </r>
  <r>
    <x v="0"/>
    <x v="3"/>
    <d v="2017-11-21T00:00:00"/>
    <x v="2"/>
    <n v="40"/>
    <n v="170"/>
    <n v="123"/>
    <n v="1191"/>
    <n v="145"/>
  </r>
  <r>
    <x v="0"/>
    <x v="3"/>
    <d v="2017-11-21T00:00:00"/>
    <x v="1"/>
    <n v="40"/>
    <n v="150"/>
    <n v="118"/>
    <n v="1184"/>
    <n v="139"/>
  </r>
  <r>
    <x v="0"/>
    <x v="3"/>
    <d v="2017-11-21T00:00:00"/>
    <x v="2"/>
    <n v="40"/>
    <n v="170"/>
    <n v="123"/>
    <n v="1189"/>
    <n v="154"/>
  </r>
  <r>
    <x v="0"/>
    <x v="3"/>
    <d v="2017-11-21T00:00:00"/>
    <x v="2"/>
    <n v="46"/>
    <n v="170"/>
    <n v="123"/>
    <n v="1186"/>
    <n v="159"/>
  </r>
  <r>
    <x v="0"/>
    <x v="3"/>
    <d v="2017-11-21T00:00:00"/>
    <x v="0"/>
    <n v="39"/>
    <n v="125"/>
    <n v="114"/>
    <n v="1185"/>
    <n v="135"/>
  </r>
  <r>
    <x v="0"/>
    <x v="3"/>
    <d v="2017-11-21T00:00:00"/>
    <x v="1"/>
    <n v="55"/>
    <n v="150"/>
    <n v="118"/>
    <n v="1188"/>
    <n v="192"/>
  </r>
  <r>
    <x v="0"/>
    <x v="3"/>
    <d v="2017-11-22T00:00:00"/>
    <x v="2"/>
    <n v="36"/>
    <n v="170"/>
    <n v="123"/>
    <n v="1193"/>
    <n v="166"/>
  </r>
  <r>
    <x v="0"/>
    <x v="3"/>
    <d v="2017-11-22T00:00:00"/>
    <x v="1"/>
    <n v="40"/>
    <n v="150"/>
    <n v="118"/>
    <n v="1194"/>
    <n v="143"/>
  </r>
  <r>
    <x v="0"/>
    <x v="3"/>
    <d v="2017-11-22T00:00:00"/>
    <x v="2"/>
    <n v="50"/>
    <n v="170"/>
    <n v="123"/>
    <n v="1195"/>
    <n v="178"/>
  </r>
  <r>
    <x v="0"/>
    <x v="3"/>
    <d v="2017-11-23T00:00:00"/>
    <x v="0"/>
    <n v="56"/>
    <n v="125"/>
    <n v="114"/>
    <n v="1196"/>
    <n v="201"/>
  </r>
  <r>
    <x v="0"/>
    <x v="3"/>
    <d v="2017-11-23T00:00:00"/>
    <x v="1"/>
    <n v="45"/>
    <n v="150"/>
    <n v="118"/>
    <n v="1197"/>
    <n v="172"/>
  </r>
  <r>
    <x v="0"/>
    <x v="3"/>
    <d v="2017-11-24T00:00:00"/>
    <x v="2"/>
    <n v="36"/>
    <n v="170"/>
    <n v="123"/>
    <n v="1199"/>
    <n v="128"/>
  </r>
  <r>
    <x v="0"/>
    <x v="3"/>
    <d v="2017-11-24T00:00:00"/>
    <x v="0"/>
    <n v="53"/>
    <n v="125"/>
    <n v="114"/>
    <n v="1200"/>
    <n v="194"/>
  </r>
  <r>
    <x v="0"/>
    <x v="3"/>
    <d v="2017-11-24T00:00:00"/>
    <x v="1"/>
    <n v="60"/>
    <n v="150"/>
    <n v="118"/>
    <n v="1201"/>
    <n v="209"/>
  </r>
  <r>
    <x v="0"/>
    <x v="3"/>
    <d v="2017-11-24T00:00:00"/>
    <x v="1"/>
    <n v="38"/>
    <n v="150"/>
    <n v="118"/>
    <n v="1202"/>
    <n v="134"/>
  </r>
  <r>
    <x v="0"/>
    <x v="3"/>
    <d v="2017-11-24T00:00:00"/>
    <x v="2"/>
    <n v="28"/>
    <n v="170"/>
    <n v="123"/>
    <n v="1203"/>
    <n v="102"/>
  </r>
  <r>
    <x v="0"/>
    <x v="3"/>
    <d v="2017-11-24T00:00:00"/>
    <x v="0"/>
    <n v="33"/>
    <n v="125"/>
    <n v="114"/>
    <n v="1198"/>
    <n v="115"/>
  </r>
  <r>
    <x v="0"/>
    <x v="3"/>
    <d v="2017-11-27T00:00:00"/>
    <x v="1"/>
    <n v="62"/>
    <n v="150"/>
    <n v="118"/>
    <n v="1207"/>
    <n v="217"/>
  </r>
  <r>
    <x v="0"/>
    <x v="3"/>
    <d v="2017-11-27T00:00:00"/>
    <x v="2"/>
    <n v="38"/>
    <n v="170"/>
    <n v="123"/>
    <n v="1208"/>
    <n v="139"/>
  </r>
  <r>
    <x v="0"/>
    <x v="3"/>
    <d v="2017-11-27T00:00:00"/>
    <x v="1"/>
    <n v="54"/>
    <n v="150"/>
    <n v="118"/>
    <n v="1204"/>
    <n v="254"/>
  </r>
  <r>
    <x v="0"/>
    <x v="3"/>
    <d v="2017-11-27T00:00:00"/>
    <x v="1"/>
    <n v="50"/>
    <n v="150"/>
    <n v="118"/>
    <n v="1205"/>
    <n v="179"/>
  </r>
  <r>
    <x v="0"/>
    <x v="3"/>
    <d v="2017-11-27T00:00:00"/>
    <x v="0"/>
    <n v="50"/>
    <n v="125"/>
    <n v="114"/>
    <n v="1206"/>
    <n v="182"/>
  </r>
  <r>
    <x v="0"/>
    <x v="3"/>
    <d v="2017-11-27T00:00:00"/>
    <x v="0"/>
    <n v="38"/>
    <n v="125"/>
    <n v="114"/>
    <n v="1209"/>
    <n v="133"/>
  </r>
  <r>
    <x v="0"/>
    <x v="3"/>
    <d v="2017-11-28T00:00:00"/>
    <x v="0"/>
    <n v="56"/>
    <n v="125"/>
    <n v="114"/>
    <n v="1210"/>
    <n v="195"/>
  </r>
  <r>
    <x v="0"/>
    <x v="3"/>
    <d v="2017-11-28T00:00:00"/>
    <x v="2"/>
    <n v="50"/>
    <n v="170"/>
    <n v="123"/>
    <n v="1211"/>
    <n v="174"/>
  </r>
  <r>
    <x v="0"/>
    <x v="3"/>
    <d v="2017-11-29T00:00:00"/>
    <x v="0"/>
    <n v="49"/>
    <n v="125"/>
    <n v="114"/>
    <n v="1212"/>
    <n v="173"/>
  </r>
  <r>
    <x v="0"/>
    <x v="3"/>
    <d v="2017-11-29T00:00:00"/>
    <x v="1"/>
    <n v="50"/>
    <n v="150"/>
    <n v="118"/>
    <n v="1213"/>
    <n v="176"/>
  </r>
  <r>
    <x v="0"/>
    <x v="3"/>
    <d v="2017-11-30T00:00:00"/>
    <x v="0"/>
    <n v="50"/>
    <n v="125"/>
    <n v="114"/>
    <n v="1216"/>
    <n v="173"/>
  </r>
  <r>
    <x v="0"/>
    <x v="3"/>
    <d v="2017-11-30T00:00:00"/>
    <x v="0"/>
    <n v="46"/>
    <n v="125"/>
    <n v="114"/>
    <n v="1217"/>
    <n v="164"/>
  </r>
  <r>
    <x v="0"/>
    <x v="3"/>
    <d v="2017-11-30T00:00:00"/>
    <x v="0"/>
    <n v="39"/>
    <n v="125"/>
    <n v="114"/>
    <n v="1215"/>
    <n v="135"/>
  </r>
  <r>
    <x v="0"/>
    <x v="3"/>
    <d v="2017-11-30T00:00:00"/>
    <x v="1"/>
    <n v="53"/>
    <n v="150"/>
    <n v="118"/>
    <n v="1214"/>
    <n v="186"/>
  </r>
  <r>
    <x v="0"/>
    <x v="3"/>
    <d v="2017-11-30T00:00:00"/>
    <x v="0"/>
    <n v="36"/>
    <n v="125"/>
    <n v="114"/>
    <n v="1218"/>
    <n v="128"/>
  </r>
  <r>
    <x v="0"/>
    <x v="3"/>
    <d v="2017-12-01T00:00:00"/>
    <x v="2"/>
    <n v="35"/>
    <n v="170"/>
    <n v="123"/>
    <n v="1225"/>
    <n v="122"/>
  </r>
  <r>
    <x v="0"/>
    <x v="3"/>
    <d v="2017-12-01T00:00:00"/>
    <x v="1"/>
    <n v="55"/>
    <n v="150"/>
    <n v="118"/>
    <n v="1219"/>
    <n v="193"/>
  </r>
  <r>
    <x v="0"/>
    <x v="3"/>
    <d v="2017-12-01T00:00:00"/>
    <x v="2"/>
    <n v="38"/>
    <n v="170"/>
    <n v="123"/>
    <n v="1220"/>
    <n v="140"/>
  </r>
  <r>
    <x v="0"/>
    <x v="3"/>
    <d v="2017-12-01T00:00:00"/>
    <x v="1"/>
    <n v="48"/>
    <n v="150"/>
    <n v="118"/>
    <n v="1221"/>
    <n v="175"/>
  </r>
  <r>
    <x v="0"/>
    <x v="3"/>
    <d v="2017-12-01T00:00:00"/>
    <x v="0"/>
    <n v="36"/>
    <n v="125"/>
    <n v="114"/>
    <n v="1222"/>
    <n v="139"/>
  </r>
  <r>
    <x v="0"/>
    <x v="3"/>
    <d v="2017-12-01T00:00:00"/>
    <x v="2"/>
    <n v="48"/>
    <n v="170"/>
    <n v="123"/>
    <n v="1223"/>
    <n v="169"/>
  </r>
  <r>
    <x v="0"/>
    <x v="3"/>
    <d v="2017-12-01T00:00:00"/>
    <x v="2"/>
    <n v="53"/>
    <n v="170"/>
    <n v="123"/>
    <n v="1224"/>
    <n v="187"/>
  </r>
  <r>
    <x v="0"/>
    <x v="3"/>
    <d v="2017-12-04T00:00:00"/>
    <x v="1"/>
    <n v="58"/>
    <n v="150"/>
    <n v="118"/>
    <n v="1230"/>
    <n v="212"/>
  </r>
  <r>
    <x v="0"/>
    <x v="3"/>
    <d v="2017-12-04T00:00:00"/>
    <x v="2"/>
    <n v="42"/>
    <n v="170"/>
    <n v="123"/>
    <n v="1229"/>
    <n v="153"/>
  </r>
  <r>
    <x v="0"/>
    <x v="3"/>
    <d v="2017-12-04T00:00:00"/>
    <x v="1"/>
    <n v="47"/>
    <n v="150"/>
    <n v="118"/>
    <n v="1226"/>
    <n v="164"/>
  </r>
  <r>
    <x v="0"/>
    <x v="3"/>
    <d v="2017-12-04T00:00:00"/>
    <x v="0"/>
    <n v="38"/>
    <n v="125"/>
    <n v="114"/>
    <n v="1227"/>
    <n v="136"/>
  </r>
  <r>
    <x v="0"/>
    <x v="3"/>
    <d v="2017-12-04T00:00:00"/>
    <x v="0"/>
    <n v="55"/>
    <n v="125"/>
    <n v="114"/>
    <n v="1228"/>
    <n v="192"/>
  </r>
  <r>
    <x v="0"/>
    <x v="3"/>
    <d v="2017-12-05T00:00:00"/>
    <x v="1"/>
    <n v="58"/>
    <n v="150"/>
    <n v="118"/>
    <n v="1236"/>
    <n v="204"/>
  </r>
  <r>
    <x v="0"/>
    <x v="3"/>
    <d v="2017-12-05T00:00:00"/>
    <x v="1"/>
    <n v="42"/>
    <n v="150"/>
    <n v="118"/>
    <n v="1231"/>
    <n v="154"/>
  </r>
  <r>
    <x v="0"/>
    <x v="3"/>
    <d v="2017-12-05T00:00:00"/>
    <x v="0"/>
    <n v="55"/>
    <n v="125"/>
    <n v="114"/>
    <n v="1232"/>
    <n v="195"/>
  </r>
  <r>
    <x v="0"/>
    <x v="3"/>
    <d v="2017-12-05T00:00:00"/>
    <x v="1"/>
    <n v="62"/>
    <n v="150"/>
    <n v="118"/>
    <n v="1233"/>
    <n v="225"/>
  </r>
  <r>
    <x v="0"/>
    <x v="3"/>
    <d v="2017-12-05T00:00:00"/>
    <x v="2"/>
    <n v="39"/>
    <n v="170"/>
    <n v="123"/>
    <n v="1234"/>
    <n v="135"/>
  </r>
  <r>
    <x v="0"/>
    <x v="3"/>
    <d v="2017-12-05T00:00:00"/>
    <x v="0"/>
    <n v="47"/>
    <n v="125"/>
    <n v="114"/>
    <n v="1235"/>
    <n v="165"/>
  </r>
  <r>
    <x v="0"/>
    <x v="3"/>
    <d v="2017-12-06T00:00:00"/>
    <x v="0"/>
    <n v="36"/>
    <n v="125"/>
    <n v="114"/>
    <n v="1237"/>
    <n v="127"/>
  </r>
  <r>
    <x v="0"/>
    <x v="3"/>
    <d v="2017-12-06T00:00:00"/>
    <x v="1"/>
    <n v="53"/>
    <n v="150"/>
    <n v="118"/>
    <n v="1238"/>
    <n v="182"/>
  </r>
  <r>
    <x v="0"/>
    <x v="3"/>
    <d v="2017-12-07T00:00:00"/>
    <x v="1"/>
    <n v="62"/>
    <n v="150"/>
    <n v="118"/>
    <n v="1239"/>
    <n v="221"/>
  </r>
  <r>
    <x v="0"/>
    <x v="3"/>
    <d v="2017-12-07T00:00:00"/>
    <x v="2"/>
    <n v="34"/>
    <n v="170"/>
    <n v="123"/>
    <n v="1240"/>
    <n v="118"/>
  </r>
  <r>
    <x v="0"/>
    <x v="3"/>
    <d v="2017-12-07T00:00:00"/>
    <x v="0"/>
    <n v="43"/>
    <n v="125"/>
    <n v="114"/>
    <n v="1241"/>
    <n v="157"/>
  </r>
  <r>
    <x v="0"/>
    <x v="3"/>
    <d v="2017-12-07T00:00:00"/>
    <x v="2"/>
    <n v="44"/>
    <n v="170"/>
    <n v="123"/>
    <n v="1242"/>
    <n v="158"/>
  </r>
  <r>
    <x v="0"/>
    <x v="3"/>
    <d v="2017-12-07T00:00:00"/>
    <x v="2"/>
    <n v="29"/>
    <n v="170"/>
    <n v="123"/>
    <n v="1243"/>
    <n v="100"/>
  </r>
  <r>
    <x v="0"/>
    <x v="3"/>
    <d v="2017-12-08T00:00:00"/>
    <x v="1"/>
    <n v="46"/>
    <n v="150"/>
    <n v="118"/>
    <n v="1247"/>
    <n v="166"/>
  </r>
  <r>
    <x v="0"/>
    <x v="3"/>
    <d v="2017-12-08T00:00:00"/>
    <x v="2"/>
    <n v="44"/>
    <n v="170"/>
    <n v="123"/>
    <n v="1244"/>
    <n v="157"/>
  </r>
  <r>
    <x v="0"/>
    <x v="3"/>
    <d v="2017-12-08T00:00:00"/>
    <x v="2"/>
    <n v="51"/>
    <n v="170"/>
    <n v="123"/>
    <n v="1245"/>
    <n v="178"/>
  </r>
  <r>
    <x v="0"/>
    <x v="3"/>
    <d v="2017-12-08T00:00:00"/>
    <x v="2"/>
    <n v="32"/>
    <n v="170"/>
    <n v="123"/>
    <n v="1246"/>
    <n v="116"/>
  </r>
  <r>
    <x v="0"/>
    <x v="3"/>
    <d v="2017-12-11T00:00:00"/>
    <x v="2"/>
    <n v="39"/>
    <n v="170"/>
    <n v="123"/>
    <n v="1248"/>
    <n v="144"/>
  </r>
  <r>
    <x v="0"/>
    <x v="3"/>
    <d v="2017-12-11T00:00:00"/>
    <x v="2"/>
    <n v="28"/>
    <n v="170"/>
    <n v="123"/>
    <n v="1249"/>
    <n v="99"/>
  </r>
  <r>
    <x v="0"/>
    <x v="3"/>
    <d v="2017-12-12T00:00:00"/>
    <x v="0"/>
    <n v="55"/>
    <n v="125"/>
    <n v="114"/>
    <n v="1250"/>
    <n v="197"/>
  </r>
  <r>
    <x v="0"/>
    <x v="3"/>
    <d v="2017-12-12T00:00:00"/>
    <x v="2"/>
    <n v="52"/>
    <n v="170"/>
    <n v="123"/>
    <n v="1251"/>
    <n v="244"/>
  </r>
  <r>
    <x v="0"/>
    <x v="3"/>
    <d v="2017-12-13T00:00:00"/>
    <x v="2"/>
    <n v="53"/>
    <n v="170"/>
    <n v="123"/>
    <n v="1254"/>
    <n v="245"/>
  </r>
  <r>
    <x v="0"/>
    <x v="3"/>
    <d v="2017-12-13T00:00:00"/>
    <x v="2"/>
    <n v="42"/>
    <n v="170"/>
    <n v="123"/>
    <n v="1258"/>
    <n v="154"/>
  </r>
  <r>
    <x v="0"/>
    <x v="3"/>
    <d v="2017-12-13T00:00:00"/>
    <x v="2"/>
    <n v="29"/>
    <n v="170"/>
    <n v="123"/>
    <n v="1257"/>
    <n v="106"/>
  </r>
  <r>
    <x v="0"/>
    <x v="3"/>
    <d v="2017-12-13T00:00:00"/>
    <x v="2"/>
    <n v="50"/>
    <n v="170"/>
    <n v="123"/>
    <n v="1255"/>
    <n v="176"/>
  </r>
  <r>
    <x v="0"/>
    <x v="3"/>
    <d v="2017-12-13T00:00:00"/>
    <x v="0"/>
    <n v="47"/>
    <n v="125"/>
    <n v="114"/>
    <n v="1253"/>
    <n v="162"/>
  </r>
  <r>
    <x v="0"/>
    <x v="3"/>
    <d v="2017-12-13T00:00:00"/>
    <x v="0"/>
    <n v="45"/>
    <n v="125"/>
    <n v="114"/>
    <n v="1252"/>
    <n v="163"/>
  </r>
  <r>
    <x v="0"/>
    <x v="3"/>
    <d v="2017-12-13T00:00:00"/>
    <x v="2"/>
    <n v="54"/>
    <n v="170"/>
    <n v="123"/>
    <n v="1256"/>
    <n v="186"/>
  </r>
  <r>
    <x v="0"/>
    <x v="3"/>
    <d v="2017-12-14T00:00:00"/>
    <x v="2"/>
    <n v="36"/>
    <n v="170"/>
    <n v="123"/>
    <n v="1263"/>
    <n v="125"/>
  </r>
  <r>
    <x v="0"/>
    <x v="3"/>
    <d v="2017-12-14T00:00:00"/>
    <x v="1"/>
    <n v="47"/>
    <n v="150"/>
    <n v="118"/>
    <n v="1259"/>
    <n v="176"/>
  </r>
  <r>
    <x v="0"/>
    <x v="3"/>
    <d v="2017-12-14T00:00:00"/>
    <x v="2"/>
    <n v="42"/>
    <n v="170"/>
    <n v="123"/>
    <n v="1260"/>
    <n v="155"/>
  </r>
  <r>
    <x v="0"/>
    <x v="3"/>
    <d v="2017-12-14T00:00:00"/>
    <x v="2"/>
    <n v="46"/>
    <n v="170"/>
    <n v="123"/>
    <n v="1261"/>
    <n v="159"/>
  </r>
  <r>
    <x v="0"/>
    <x v="3"/>
    <d v="2017-12-14T00:00:00"/>
    <x v="1"/>
    <n v="45"/>
    <n v="150"/>
    <n v="118"/>
    <n v="1262"/>
    <n v="157"/>
  </r>
  <r>
    <x v="0"/>
    <x v="3"/>
    <d v="2017-12-15T00:00:00"/>
    <x v="1"/>
    <n v="46"/>
    <n v="150"/>
    <n v="118"/>
    <n v="1266"/>
    <n v="168"/>
  </r>
  <r>
    <x v="0"/>
    <x v="3"/>
    <d v="2017-12-15T00:00:00"/>
    <x v="0"/>
    <n v="48"/>
    <n v="125"/>
    <n v="114"/>
    <n v="1264"/>
    <n v="173"/>
  </r>
  <r>
    <x v="0"/>
    <x v="3"/>
    <d v="2017-12-15T00:00:00"/>
    <x v="0"/>
    <n v="36"/>
    <n v="125"/>
    <n v="114"/>
    <n v="1265"/>
    <n v="124"/>
  </r>
  <r>
    <x v="0"/>
    <x v="3"/>
    <d v="2017-12-18T00:00:00"/>
    <x v="1"/>
    <n v="40"/>
    <n v="150"/>
    <n v="118"/>
    <n v="1267"/>
    <n v="147"/>
  </r>
  <r>
    <x v="0"/>
    <x v="3"/>
    <d v="2017-12-18T00:00:00"/>
    <x v="0"/>
    <n v="55"/>
    <n v="125"/>
    <n v="114"/>
    <n v="1268"/>
    <n v="199"/>
  </r>
  <r>
    <x v="0"/>
    <x v="3"/>
    <d v="2017-12-18T00:00:00"/>
    <x v="2"/>
    <n v="51"/>
    <n v="170"/>
    <n v="123"/>
    <n v="1269"/>
    <n v="178"/>
  </r>
  <r>
    <x v="0"/>
    <x v="3"/>
    <d v="2017-12-18T00:00:00"/>
    <x v="2"/>
    <n v="42"/>
    <n v="170"/>
    <n v="123"/>
    <n v="1270"/>
    <n v="194"/>
  </r>
  <r>
    <x v="0"/>
    <x v="3"/>
    <d v="2017-12-19T00:00:00"/>
    <x v="1"/>
    <n v="53"/>
    <n v="150"/>
    <n v="118"/>
    <n v="1272"/>
    <n v="186"/>
  </r>
  <r>
    <x v="0"/>
    <x v="3"/>
    <d v="2017-12-19T00:00:00"/>
    <x v="1"/>
    <n v="52"/>
    <n v="150"/>
    <n v="118"/>
    <n v="1271"/>
    <n v="179"/>
  </r>
  <r>
    <x v="0"/>
    <x v="3"/>
    <d v="2017-12-20T00:00:00"/>
    <x v="1"/>
    <n v="45"/>
    <n v="150"/>
    <n v="118"/>
    <n v="1279"/>
    <n v="158"/>
  </r>
  <r>
    <x v="0"/>
    <x v="3"/>
    <d v="2017-12-20T00:00:00"/>
    <x v="1"/>
    <n v="43"/>
    <n v="150"/>
    <n v="118"/>
    <n v="1278"/>
    <n v="198"/>
  </r>
  <r>
    <x v="0"/>
    <x v="3"/>
    <d v="2017-12-20T00:00:00"/>
    <x v="1"/>
    <n v="63"/>
    <n v="150"/>
    <n v="118"/>
    <n v="1277"/>
    <n v="291"/>
  </r>
  <r>
    <x v="0"/>
    <x v="3"/>
    <d v="2017-12-20T00:00:00"/>
    <x v="1"/>
    <n v="50"/>
    <n v="150"/>
    <n v="118"/>
    <n v="1276"/>
    <n v="178"/>
  </r>
  <r>
    <x v="0"/>
    <x v="3"/>
    <d v="2017-12-20T00:00:00"/>
    <x v="1"/>
    <n v="62"/>
    <n v="150"/>
    <n v="118"/>
    <n v="1275"/>
    <n v="225"/>
  </r>
  <r>
    <x v="0"/>
    <x v="3"/>
    <d v="2017-12-20T00:00:00"/>
    <x v="1"/>
    <n v="46"/>
    <n v="150"/>
    <n v="118"/>
    <n v="1273"/>
    <n v="168"/>
  </r>
  <r>
    <x v="0"/>
    <x v="3"/>
    <d v="2017-12-20T00:00:00"/>
    <x v="0"/>
    <n v="47"/>
    <n v="125"/>
    <n v="114"/>
    <n v="1274"/>
    <n v="170"/>
  </r>
  <r>
    <x v="0"/>
    <x v="3"/>
    <d v="2017-12-21T00:00:00"/>
    <x v="0"/>
    <n v="52"/>
    <n v="125"/>
    <n v="114"/>
    <n v="1283"/>
    <n v="179"/>
  </r>
  <r>
    <x v="0"/>
    <x v="3"/>
    <d v="2017-12-21T00:00:00"/>
    <x v="2"/>
    <n v="37"/>
    <n v="170"/>
    <n v="123"/>
    <n v="1282"/>
    <n v="136"/>
  </r>
  <r>
    <x v="0"/>
    <x v="3"/>
    <d v="2017-12-21T00:00:00"/>
    <x v="1"/>
    <n v="43"/>
    <n v="150"/>
    <n v="118"/>
    <n v="1281"/>
    <n v="156"/>
  </r>
  <r>
    <x v="0"/>
    <x v="3"/>
    <d v="2017-12-21T00:00:00"/>
    <x v="2"/>
    <n v="54"/>
    <n v="170"/>
    <n v="123"/>
    <n v="1280"/>
    <n v="185"/>
  </r>
  <r>
    <x v="0"/>
    <x v="3"/>
    <d v="2017-12-22T00:00:00"/>
    <x v="0"/>
    <n v="33"/>
    <n v="125"/>
    <n v="114"/>
    <n v="1285"/>
    <n v="121"/>
  </r>
  <r>
    <x v="0"/>
    <x v="3"/>
    <d v="2017-12-22T00:00:00"/>
    <x v="0"/>
    <n v="58"/>
    <n v="125"/>
    <n v="114"/>
    <n v="1286"/>
    <n v="214"/>
  </r>
  <r>
    <x v="0"/>
    <x v="3"/>
    <d v="2017-12-22T00:00:00"/>
    <x v="2"/>
    <n v="46"/>
    <n v="170"/>
    <n v="123"/>
    <n v="1287"/>
    <n v="170"/>
  </r>
  <r>
    <x v="0"/>
    <x v="3"/>
    <d v="2017-12-22T00:00:00"/>
    <x v="1"/>
    <n v="39"/>
    <n v="150"/>
    <n v="118"/>
    <n v="1284"/>
    <n v="134"/>
  </r>
  <r>
    <x v="0"/>
    <x v="3"/>
    <d v="2017-12-25T00:00:00"/>
    <x v="2"/>
    <n v="35"/>
    <n v="170"/>
    <n v="123"/>
    <n v="1289"/>
    <n v="124"/>
  </r>
  <r>
    <x v="0"/>
    <x v="3"/>
    <d v="2017-12-25T00:00:00"/>
    <x v="0"/>
    <n v="33"/>
    <n v="125"/>
    <n v="114"/>
    <n v="1293"/>
    <n v="152"/>
  </r>
  <r>
    <x v="0"/>
    <x v="3"/>
    <d v="2017-12-25T00:00:00"/>
    <x v="1"/>
    <n v="47"/>
    <n v="150"/>
    <n v="118"/>
    <n v="1292"/>
    <n v="169"/>
  </r>
  <r>
    <x v="0"/>
    <x v="3"/>
    <d v="2017-12-25T00:00:00"/>
    <x v="0"/>
    <n v="34"/>
    <n v="125"/>
    <n v="114"/>
    <n v="1290"/>
    <n v="121"/>
  </r>
  <r>
    <x v="0"/>
    <x v="3"/>
    <d v="2017-12-25T00:00:00"/>
    <x v="2"/>
    <n v="46"/>
    <n v="170"/>
    <n v="123"/>
    <n v="1288"/>
    <n v="163"/>
  </r>
  <r>
    <x v="0"/>
    <x v="3"/>
    <d v="2017-12-25T00:00:00"/>
    <x v="0"/>
    <n v="40"/>
    <n v="125"/>
    <n v="114"/>
    <n v="1291"/>
    <n v="185"/>
  </r>
  <r>
    <x v="0"/>
    <x v="3"/>
    <d v="2017-12-26T00:00:00"/>
    <x v="2"/>
    <n v="28"/>
    <n v="170"/>
    <n v="123"/>
    <n v="1298"/>
    <n v="103"/>
  </r>
  <r>
    <x v="0"/>
    <x v="3"/>
    <d v="2017-12-26T00:00:00"/>
    <x v="1"/>
    <n v="59"/>
    <n v="150"/>
    <n v="118"/>
    <n v="1300"/>
    <n v="213"/>
  </r>
  <r>
    <x v="0"/>
    <x v="3"/>
    <d v="2017-12-26T00:00:00"/>
    <x v="2"/>
    <n v="29"/>
    <n v="170"/>
    <n v="123"/>
    <n v="1301"/>
    <n v="102"/>
  </r>
  <r>
    <x v="0"/>
    <x v="3"/>
    <d v="2017-12-26T00:00:00"/>
    <x v="1"/>
    <n v="60"/>
    <n v="150"/>
    <n v="118"/>
    <n v="1299"/>
    <n v="219"/>
  </r>
  <r>
    <x v="0"/>
    <x v="3"/>
    <d v="2017-12-26T00:00:00"/>
    <x v="2"/>
    <n v="53"/>
    <n v="170"/>
    <n v="123"/>
    <n v="1296"/>
    <n v="184"/>
  </r>
  <r>
    <x v="0"/>
    <x v="3"/>
    <d v="2017-12-26T00:00:00"/>
    <x v="0"/>
    <n v="39"/>
    <n v="125"/>
    <n v="114"/>
    <n v="1295"/>
    <n v="140"/>
  </r>
  <r>
    <x v="0"/>
    <x v="3"/>
    <d v="2017-12-26T00:00:00"/>
    <x v="2"/>
    <n v="51"/>
    <n v="170"/>
    <n v="123"/>
    <n v="1294"/>
    <n v="179"/>
  </r>
  <r>
    <x v="0"/>
    <x v="3"/>
    <d v="2017-12-26T00:00:00"/>
    <x v="1"/>
    <n v="43"/>
    <n v="150"/>
    <n v="118"/>
    <n v="1297"/>
    <n v="156"/>
  </r>
  <r>
    <x v="0"/>
    <x v="3"/>
    <d v="2017-12-27T00:00:00"/>
    <x v="2"/>
    <n v="37"/>
    <n v="170"/>
    <n v="123"/>
    <n v="1308"/>
    <n v="131"/>
  </r>
  <r>
    <x v="0"/>
    <x v="3"/>
    <d v="2017-12-27T00:00:00"/>
    <x v="1"/>
    <n v="52"/>
    <n v="150"/>
    <n v="118"/>
    <n v="1302"/>
    <n v="185"/>
  </r>
  <r>
    <x v="0"/>
    <x v="3"/>
    <d v="2017-12-27T00:00:00"/>
    <x v="1"/>
    <n v="50"/>
    <n v="150"/>
    <n v="118"/>
    <n v="1309"/>
    <n v="182"/>
  </r>
  <r>
    <x v="0"/>
    <x v="3"/>
    <d v="2017-12-27T00:00:00"/>
    <x v="1"/>
    <n v="41"/>
    <n v="150"/>
    <n v="118"/>
    <n v="1307"/>
    <n v="191"/>
  </r>
  <r>
    <x v="0"/>
    <x v="3"/>
    <d v="2017-12-27T00:00:00"/>
    <x v="1"/>
    <n v="56"/>
    <n v="150"/>
    <n v="118"/>
    <n v="1306"/>
    <n v="196"/>
  </r>
  <r>
    <x v="0"/>
    <x v="3"/>
    <d v="2017-12-27T00:00:00"/>
    <x v="1"/>
    <n v="38"/>
    <n v="150"/>
    <n v="118"/>
    <n v="1305"/>
    <n v="134"/>
  </r>
  <r>
    <x v="0"/>
    <x v="3"/>
    <d v="2017-12-27T00:00:00"/>
    <x v="2"/>
    <n v="51"/>
    <n v="170"/>
    <n v="123"/>
    <n v="1304"/>
    <n v="180"/>
  </r>
  <r>
    <x v="0"/>
    <x v="3"/>
    <d v="2017-12-27T00:00:00"/>
    <x v="2"/>
    <n v="46"/>
    <n v="170"/>
    <n v="123"/>
    <n v="1303"/>
    <n v="159"/>
  </r>
  <r>
    <x v="0"/>
    <x v="3"/>
    <d v="2017-12-28T00:00:00"/>
    <x v="0"/>
    <n v="55"/>
    <n v="125"/>
    <n v="114"/>
    <n v="1311"/>
    <n v="193"/>
  </r>
  <r>
    <x v="0"/>
    <x v="3"/>
    <d v="2017-12-28T00:00:00"/>
    <x v="2"/>
    <n v="28"/>
    <n v="170"/>
    <n v="123"/>
    <n v="1312"/>
    <n v="103"/>
  </r>
  <r>
    <x v="0"/>
    <x v="3"/>
    <d v="2017-12-28T00:00:00"/>
    <x v="2"/>
    <n v="48"/>
    <n v="170"/>
    <n v="123"/>
    <n v="1313"/>
    <n v="170"/>
  </r>
  <r>
    <x v="0"/>
    <x v="3"/>
    <d v="2017-12-28T00:00:00"/>
    <x v="0"/>
    <n v="57"/>
    <n v="125"/>
    <n v="114"/>
    <n v="1314"/>
    <n v="199"/>
  </r>
  <r>
    <x v="0"/>
    <x v="3"/>
    <d v="2017-12-28T00:00:00"/>
    <x v="2"/>
    <n v="28"/>
    <n v="170"/>
    <n v="123"/>
    <n v="1315"/>
    <n v="98"/>
  </r>
  <r>
    <x v="0"/>
    <x v="3"/>
    <d v="2017-12-28T00:00:00"/>
    <x v="1"/>
    <n v="54"/>
    <n v="150"/>
    <n v="118"/>
    <n v="1310"/>
    <n v="199"/>
  </r>
  <r>
    <x v="0"/>
    <x v="3"/>
    <d v="2017-12-29T00:00:00"/>
    <x v="0"/>
    <n v="36"/>
    <n v="125"/>
    <n v="114"/>
    <n v="1321"/>
    <n v="130"/>
  </r>
  <r>
    <x v="0"/>
    <x v="3"/>
    <d v="2017-12-29T00:00:00"/>
    <x v="2"/>
    <n v="37"/>
    <n v="170"/>
    <n v="123"/>
    <n v="1324"/>
    <n v="132"/>
  </r>
  <r>
    <x v="0"/>
    <x v="3"/>
    <d v="2017-12-29T00:00:00"/>
    <x v="1"/>
    <n v="43"/>
    <n v="150"/>
    <n v="118"/>
    <n v="1323"/>
    <n v="153"/>
  </r>
  <r>
    <x v="0"/>
    <x v="3"/>
    <d v="2017-12-29T00:00:00"/>
    <x v="2"/>
    <n v="41"/>
    <n v="170"/>
    <n v="123"/>
    <n v="1322"/>
    <n v="149"/>
  </r>
  <r>
    <x v="0"/>
    <x v="3"/>
    <d v="2017-12-29T00:00:00"/>
    <x v="2"/>
    <n v="36"/>
    <n v="170"/>
    <n v="123"/>
    <n v="1319"/>
    <n v="129"/>
  </r>
  <r>
    <x v="0"/>
    <x v="3"/>
    <d v="2017-12-29T00:00:00"/>
    <x v="0"/>
    <n v="59"/>
    <n v="125"/>
    <n v="114"/>
    <n v="1318"/>
    <n v="213"/>
  </r>
  <r>
    <x v="0"/>
    <x v="3"/>
    <d v="2017-12-29T00:00:00"/>
    <x v="1"/>
    <n v="52"/>
    <n v="150"/>
    <n v="118"/>
    <n v="1316"/>
    <n v="181"/>
  </r>
  <r>
    <x v="0"/>
    <x v="3"/>
    <d v="2017-12-29T00:00:00"/>
    <x v="2"/>
    <n v="42"/>
    <n v="170"/>
    <n v="123"/>
    <n v="1317"/>
    <n v="161"/>
  </r>
  <r>
    <x v="0"/>
    <x v="3"/>
    <d v="2017-12-29T00:00:00"/>
    <x v="0"/>
    <n v="37"/>
    <n v="125"/>
    <n v="114"/>
    <n v="1320"/>
    <n v="131"/>
  </r>
  <r>
    <x v="1"/>
    <x v="0"/>
    <d v="2018-01-01T00:00:00"/>
    <x v="2"/>
    <n v="41"/>
    <n v="170"/>
    <n v="123"/>
    <n v="1328"/>
    <n v="148"/>
  </r>
  <r>
    <x v="1"/>
    <x v="0"/>
    <d v="2018-01-01T00:00:00"/>
    <x v="1"/>
    <n v="64"/>
    <n v="150"/>
    <n v="118"/>
    <n v="1332"/>
    <n v="221"/>
  </r>
  <r>
    <x v="1"/>
    <x v="0"/>
    <d v="2018-01-01T00:00:00"/>
    <x v="1"/>
    <n v="43"/>
    <n v="150"/>
    <n v="118"/>
    <n v="1331"/>
    <n v="155"/>
  </r>
  <r>
    <x v="1"/>
    <x v="0"/>
    <d v="2018-01-01T00:00:00"/>
    <x v="1"/>
    <n v="47"/>
    <n v="150"/>
    <n v="118"/>
    <n v="1329"/>
    <n v="172"/>
  </r>
  <r>
    <x v="1"/>
    <x v="0"/>
    <d v="2018-01-01T00:00:00"/>
    <x v="1"/>
    <n v="50"/>
    <n v="150"/>
    <n v="118"/>
    <n v="1327"/>
    <n v="181"/>
  </r>
  <r>
    <x v="1"/>
    <x v="0"/>
    <d v="2018-01-01T00:00:00"/>
    <x v="1"/>
    <n v="49"/>
    <n v="150"/>
    <n v="118"/>
    <n v="1326"/>
    <n v="172"/>
  </r>
  <r>
    <x v="1"/>
    <x v="0"/>
    <d v="2018-01-01T00:00:00"/>
    <x v="2"/>
    <n v="46"/>
    <n v="170"/>
    <n v="123"/>
    <n v="1325"/>
    <n v="165"/>
  </r>
  <r>
    <x v="1"/>
    <x v="0"/>
    <d v="2018-01-01T00:00:00"/>
    <x v="2"/>
    <n v="52"/>
    <n v="170"/>
    <n v="123"/>
    <n v="1330"/>
    <n v="185"/>
  </r>
  <r>
    <x v="1"/>
    <x v="0"/>
    <d v="2018-01-02T00:00:00"/>
    <x v="2"/>
    <n v="53"/>
    <n v="170"/>
    <n v="123"/>
    <n v="1333"/>
    <n v="189"/>
  </r>
  <r>
    <x v="1"/>
    <x v="0"/>
    <d v="2018-01-02T00:00:00"/>
    <x v="0"/>
    <n v="48"/>
    <n v="125"/>
    <n v="114"/>
    <n v="1334"/>
    <n v="171"/>
  </r>
  <r>
    <x v="1"/>
    <x v="0"/>
    <d v="2018-01-03T00:00:00"/>
    <x v="0"/>
    <n v="38"/>
    <n v="125"/>
    <n v="114"/>
    <n v="1335"/>
    <n v="132"/>
  </r>
  <r>
    <x v="1"/>
    <x v="0"/>
    <d v="2018-01-04T00:00:00"/>
    <x v="0"/>
    <n v="48"/>
    <n v="125"/>
    <n v="114"/>
    <n v="1337"/>
    <n v="166"/>
  </r>
  <r>
    <x v="1"/>
    <x v="0"/>
    <d v="2018-01-04T00:00:00"/>
    <x v="2"/>
    <n v="36"/>
    <n v="170"/>
    <n v="123"/>
    <n v="1336"/>
    <n v="132"/>
  </r>
  <r>
    <x v="1"/>
    <x v="0"/>
    <d v="2018-01-05T00:00:00"/>
    <x v="2"/>
    <n v="41"/>
    <n v="170"/>
    <n v="123"/>
    <n v="1338"/>
    <n v="190"/>
  </r>
  <r>
    <x v="1"/>
    <x v="0"/>
    <d v="2018-01-08T00:00:00"/>
    <x v="0"/>
    <n v="37"/>
    <n v="125"/>
    <n v="114"/>
    <n v="1340"/>
    <n v="136"/>
  </r>
  <r>
    <x v="1"/>
    <x v="0"/>
    <d v="2018-01-08T00:00:00"/>
    <x v="1"/>
    <n v="44"/>
    <n v="150"/>
    <n v="118"/>
    <n v="1339"/>
    <n v="162"/>
  </r>
  <r>
    <x v="1"/>
    <x v="0"/>
    <d v="2018-01-09T00:00:00"/>
    <x v="1"/>
    <n v="59"/>
    <n v="150"/>
    <n v="118"/>
    <n v="1341"/>
    <n v="216"/>
  </r>
  <r>
    <x v="1"/>
    <x v="0"/>
    <d v="2018-01-09T00:00:00"/>
    <x v="1"/>
    <n v="63"/>
    <n v="150"/>
    <n v="118"/>
    <n v="1342"/>
    <n v="222"/>
  </r>
  <r>
    <x v="1"/>
    <x v="0"/>
    <d v="2018-01-09T00:00:00"/>
    <x v="0"/>
    <n v="50"/>
    <n v="125"/>
    <n v="114"/>
    <n v="1343"/>
    <n v="188"/>
  </r>
  <r>
    <x v="1"/>
    <x v="0"/>
    <d v="2018-01-09T00:00:00"/>
    <x v="0"/>
    <n v="47"/>
    <n v="125"/>
    <n v="114"/>
    <n v="1344"/>
    <n v="172"/>
  </r>
  <r>
    <x v="1"/>
    <x v="0"/>
    <d v="2018-01-09T00:00:00"/>
    <x v="2"/>
    <n v="51"/>
    <n v="170"/>
    <n v="123"/>
    <n v="1345"/>
    <n v="181"/>
  </r>
  <r>
    <x v="1"/>
    <x v="0"/>
    <d v="2018-01-10T00:00:00"/>
    <x v="0"/>
    <n v="49"/>
    <n v="125"/>
    <n v="114"/>
    <n v="1346"/>
    <n v="169"/>
  </r>
  <r>
    <x v="1"/>
    <x v="0"/>
    <d v="2018-01-10T00:00:00"/>
    <x v="0"/>
    <n v="55"/>
    <n v="125"/>
    <n v="114"/>
    <n v="1351"/>
    <n v="203"/>
  </r>
  <r>
    <x v="1"/>
    <x v="0"/>
    <d v="2018-01-10T00:00:00"/>
    <x v="1"/>
    <n v="62"/>
    <n v="150"/>
    <n v="118"/>
    <n v="1350"/>
    <n v="220"/>
  </r>
  <r>
    <x v="1"/>
    <x v="0"/>
    <d v="2018-01-10T00:00:00"/>
    <x v="0"/>
    <n v="37"/>
    <n v="125"/>
    <n v="114"/>
    <n v="1349"/>
    <n v="136"/>
  </r>
  <r>
    <x v="1"/>
    <x v="0"/>
    <d v="2018-01-10T00:00:00"/>
    <x v="0"/>
    <n v="45"/>
    <n v="125"/>
    <n v="114"/>
    <n v="1347"/>
    <n v="163"/>
  </r>
  <r>
    <x v="1"/>
    <x v="0"/>
    <d v="2018-01-10T00:00:00"/>
    <x v="2"/>
    <n v="39"/>
    <n v="170"/>
    <n v="123"/>
    <n v="1348"/>
    <n v="140"/>
  </r>
  <r>
    <x v="1"/>
    <x v="0"/>
    <d v="2018-01-11T00:00:00"/>
    <x v="2"/>
    <n v="30"/>
    <n v="170"/>
    <n v="123"/>
    <n v="1354"/>
    <n v="106"/>
  </r>
  <r>
    <x v="1"/>
    <x v="0"/>
    <d v="2018-01-11T00:00:00"/>
    <x v="0"/>
    <n v="48"/>
    <n v="125"/>
    <n v="114"/>
    <n v="1359"/>
    <n v="165"/>
  </r>
  <r>
    <x v="1"/>
    <x v="0"/>
    <d v="2018-01-11T00:00:00"/>
    <x v="1"/>
    <n v="43"/>
    <n v="150"/>
    <n v="118"/>
    <n v="1358"/>
    <n v="199"/>
  </r>
  <r>
    <x v="1"/>
    <x v="0"/>
    <d v="2018-01-11T00:00:00"/>
    <x v="0"/>
    <n v="47"/>
    <n v="125"/>
    <n v="114"/>
    <n v="1357"/>
    <n v="164"/>
  </r>
  <r>
    <x v="1"/>
    <x v="0"/>
    <d v="2018-01-11T00:00:00"/>
    <x v="1"/>
    <n v="43"/>
    <n v="150"/>
    <n v="118"/>
    <n v="1355"/>
    <n v="159"/>
  </r>
  <r>
    <x v="1"/>
    <x v="0"/>
    <d v="2018-01-11T00:00:00"/>
    <x v="0"/>
    <n v="59"/>
    <n v="125"/>
    <n v="114"/>
    <n v="1353"/>
    <n v="217"/>
  </r>
  <r>
    <x v="1"/>
    <x v="0"/>
    <d v="2018-01-11T00:00:00"/>
    <x v="1"/>
    <n v="62"/>
    <n v="150"/>
    <n v="118"/>
    <n v="1352"/>
    <n v="215"/>
  </r>
  <r>
    <x v="1"/>
    <x v="0"/>
    <d v="2018-01-11T00:00:00"/>
    <x v="1"/>
    <n v="40"/>
    <n v="150"/>
    <n v="118"/>
    <n v="1356"/>
    <n v="152"/>
  </r>
  <r>
    <x v="1"/>
    <x v="0"/>
    <d v="2018-01-12T00:00:00"/>
    <x v="1"/>
    <n v="53"/>
    <n v="150"/>
    <n v="118"/>
    <n v="1364"/>
    <n v="249"/>
  </r>
  <r>
    <x v="1"/>
    <x v="0"/>
    <d v="2018-01-12T00:00:00"/>
    <x v="2"/>
    <n v="45"/>
    <n v="170"/>
    <n v="123"/>
    <n v="1360"/>
    <n v="160"/>
  </r>
  <r>
    <x v="1"/>
    <x v="0"/>
    <d v="2018-01-12T00:00:00"/>
    <x v="0"/>
    <n v="41"/>
    <n v="125"/>
    <n v="114"/>
    <n v="1361"/>
    <n v="142"/>
  </r>
  <r>
    <x v="1"/>
    <x v="0"/>
    <d v="2018-01-12T00:00:00"/>
    <x v="0"/>
    <n v="40"/>
    <n v="125"/>
    <n v="114"/>
    <n v="1362"/>
    <n v="187"/>
  </r>
  <r>
    <x v="1"/>
    <x v="0"/>
    <d v="2018-01-12T00:00:00"/>
    <x v="1"/>
    <n v="57"/>
    <n v="150"/>
    <n v="118"/>
    <n v="1363"/>
    <n v="199"/>
  </r>
  <r>
    <x v="1"/>
    <x v="0"/>
    <d v="2018-01-15T00:00:00"/>
    <x v="1"/>
    <n v="59"/>
    <n v="150"/>
    <n v="118"/>
    <n v="1371"/>
    <n v="220"/>
  </r>
  <r>
    <x v="1"/>
    <x v="0"/>
    <d v="2018-01-15T00:00:00"/>
    <x v="0"/>
    <n v="50"/>
    <n v="125"/>
    <n v="114"/>
    <n v="1370"/>
    <n v="184"/>
  </r>
  <r>
    <x v="1"/>
    <x v="0"/>
    <d v="2018-01-15T00:00:00"/>
    <x v="0"/>
    <n v="46"/>
    <n v="125"/>
    <n v="114"/>
    <n v="1369"/>
    <n v="164"/>
  </r>
  <r>
    <x v="1"/>
    <x v="0"/>
    <d v="2018-01-15T00:00:00"/>
    <x v="1"/>
    <n v="43"/>
    <n v="150"/>
    <n v="118"/>
    <n v="1368"/>
    <n v="149"/>
  </r>
  <r>
    <x v="1"/>
    <x v="0"/>
    <d v="2018-01-15T00:00:00"/>
    <x v="1"/>
    <n v="46"/>
    <n v="150"/>
    <n v="118"/>
    <n v="1367"/>
    <n v="164"/>
  </r>
  <r>
    <x v="1"/>
    <x v="0"/>
    <d v="2018-01-15T00:00:00"/>
    <x v="1"/>
    <n v="48"/>
    <n v="150"/>
    <n v="118"/>
    <n v="1365"/>
    <n v="167"/>
  </r>
  <r>
    <x v="1"/>
    <x v="0"/>
    <d v="2018-01-15T00:00:00"/>
    <x v="2"/>
    <n v="40"/>
    <n v="170"/>
    <n v="123"/>
    <n v="1366"/>
    <n v="139"/>
  </r>
  <r>
    <x v="1"/>
    <x v="0"/>
    <d v="2018-01-16T00:00:00"/>
    <x v="2"/>
    <n v="45"/>
    <n v="170"/>
    <n v="123"/>
    <n v="1372"/>
    <n v="155"/>
  </r>
  <r>
    <x v="1"/>
    <x v="0"/>
    <d v="2018-01-16T00:00:00"/>
    <x v="0"/>
    <n v="52"/>
    <n v="125"/>
    <n v="114"/>
    <n v="1375"/>
    <n v="182"/>
  </r>
  <r>
    <x v="1"/>
    <x v="0"/>
    <d v="2018-01-16T00:00:00"/>
    <x v="1"/>
    <n v="65"/>
    <n v="150"/>
    <n v="118"/>
    <n v="1374"/>
    <n v="237"/>
  </r>
  <r>
    <x v="1"/>
    <x v="0"/>
    <d v="2018-01-16T00:00:00"/>
    <x v="0"/>
    <n v="51"/>
    <n v="125"/>
    <n v="114"/>
    <n v="1373"/>
    <n v="178"/>
  </r>
  <r>
    <x v="1"/>
    <x v="0"/>
    <d v="2018-01-17T00:00:00"/>
    <x v="2"/>
    <n v="39"/>
    <n v="170"/>
    <n v="123"/>
    <n v="1381"/>
    <n v="138"/>
  </r>
  <r>
    <x v="1"/>
    <x v="0"/>
    <d v="2018-01-17T00:00:00"/>
    <x v="2"/>
    <n v="51"/>
    <n v="170"/>
    <n v="123"/>
    <n v="1382"/>
    <n v="182"/>
  </r>
  <r>
    <x v="1"/>
    <x v="0"/>
    <d v="2018-01-17T00:00:00"/>
    <x v="2"/>
    <n v="45"/>
    <n v="170"/>
    <n v="123"/>
    <n v="1380"/>
    <n v="155"/>
  </r>
  <r>
    <x v="1"/>
    <x v="0"/>
    <d v="2018-01-17T00:00:00"/>
    <x v="0"/>
    <n v="59"/>
    <n v="125"/>
    <n v="114"/>
    <n v="1379"/>
    <n v="215"/>
  </r>
  <r>
    <x v="1"/>
    <x v="0"/>
    <d v="2018-01-17T00:00:00"/>
    <x v="2"/>
    <n v="36"/>
    <n v="170"/>
    <n v="123"/>
    <n v="1378"/>
    <n v="125"/>
  </r>
  <r>
    <x v="1"/>
    <x v="0"/>
    <d v="2018-01-17T00:00:00"/>
    <x v="1"/>
    <n v="60"/>
    <n v="150"/>
    <n v="118"/>
    <n v="1377"/>
    <n v="207"/>
  </r>
  <r>
    <x v="1"/>
    <x v="0"/>
    <d v="2018-01-17T00:00:00"/>
    <x v="1"/>
    <n v="49"/>
    <n v="150"/>
    <n v="118"/>
    <n v="1376"/>
    <n v="175"/>
  </r>
  <r>
    <x v="1"/>
    <x v="0"/>
    <d v="2018-01-18T00:00:00"/>
    <x v="0"/>
    <n v="56"/>
    <n v="125"/>
    <n v="114"/>
    <n v="1384"/>
    <n v="194"/>
  </r>
  <r>
    <x v="1"/>
    <x v="0"/>
    <d v="2018-01-18T00:00:00"/>
    <x v="0"/>
    <n v="48"/>
    <n v="125"/>
    <n v="114"/>
    <n v="1385"/>
    <n v="167"/>
  </r>
  <r>
    <x v="1"/>
    <x v="0"/>
    <d v="2018-01-18T00:00:00"/>
    <x v="0"/>
    <n v="35"/>
    <n v="125"/>
    <n v="114"/>
    <n v="1386"/>
    <n v="129"/>
  </r>
  <r>
    <x v="1"/>
    <x v="0"/>
    <d v="2018-01-18T00:00:00"/>
    <x v="0"/>
    <n v="58"/>
    <n v="125"/>
    <n v="114"/>
    <n v="1387"/>
    <n v="272"/>
  </r>
  <r>
    <x v="1"/>
    <x v="0"/>
    <d v="2018-01-18T00:00:00"/>
    <x v="2"/>
    <n v="56"/>
    <n v="170"/>
    <n v="123"/>
    <n v="1383"/>
    <n v="199"/>
  </r>
  <r>
    <x v="1"/>
    <x v="0"/>
    <d v="2018-01-19T00:00:00"/>
    <x v="1"/>
    <n v="45"/>
    <n v="150"/>
    <n v="118"/>
    <n v="1388"/>
    <n v="159"/>
  </r>
  <r>
    <x v="1"/>
    <x v="0"/>
    <d v="2018-01-22T00:00:00"/>
    <x v="2"/>
    <n v="35"/>
    <n v="170"/>
    <n v="123"/>
    <n v="1390"/>
    <n v="122"/>
  </r>
  <r>
    <x v="1"/>
    <x v="0"/>
    <d v="2018-01-22T00:00:00"/>
    <x v="0"/>
    <n v="45"/>
    <n v="125"/>
    <n v="114"/>
    <n v="1393"/>
    <n v="164"/>
  </r>
  <r>
    <x v="1"/>
    <x v="0"/>
    <d v="2018-01-22T00:00:00"/>
    <x v="2"/>
    <n v="42"/>
    <n v="170"/>
    <n v="123"/>
    <n v="1389"/>
    <n v="145"/>
  </r>
  <r>
    <x v="1"/>
    <x v="0"/>
    <d v="2018-01-22T00:00:00"/>
    <x v="0"/>
    <n v="47"/>
    <n v="125"/>
    <n v="114"/>
    <n v="1392"/>
    <n v="169"/>
  </r>
  <r>
    <x v="1"/>
    <x v="0"/>
    <d v="2018-01-22T00:00:00"/>
    <x v="0"/>
    <n v="51"/>
    <n v="125"/>
    <n v="114"/>
    <n v="1391"/>
    <n v="178"/>
  </r>
  <r>
    <x v="1"/>
    <x v="0"/>
    <d v="2018-01-23T00:00:00"/>
    <x v="2"/>
    <n v="43"/>
    <n v="170"/>
    <n v="123"/>
    <n v="1394"/>
    <n v="153"/>
  </r>
  <r>
    <x v="1"/>
    <x v="0"/>
    <d v="2018-01-23T00:00:00"/>
    <x v="0"/>
    <n v="43"/>
    <n v="125"/>
    <n v="114"/>
    <n v="1395"/>
    <n v="158"/>
  </r>
  <r>
    <x v="1"/>
    <x v="0"/>
    <d v="2018-01-23T00:00:00"/>
    <x v="2"/>
    <n v="51"/>
    <n v="170"/>
    <n v="123"/>
    <n v="1396"/>
    <n v="186"/>
  </r>
  <r>
    <x v="1"/>
    <x v="0"/>
    <d v="2018-01-24T00:00:00"/>
    <x v="2"/>
    <n v="42"/>
    <n v="170"/>
    <n v="123"/>
    <n v="1398"/>
    <n v="145"/>
  </r>
  <r>
    <x v="1"/>
    <x v="0"/>
    <d v="2018-01-24T00:00:00"/>
    <x v="1"/>
    <n v="42"/>
    <n v="150"/>
    <n v="118"/>
    <n v="1399"/>
    <n v="146"/>
  </r>
  <r>
    <x v="1"/>
    <x v="0"/>
    <d v="2018-01-24T00:00:00"/>
    <x v="0"/>
    <n v="52"/>
    <n v="125"/>
    <n v="114"/>
    <n v="1397"/>
    <n v="191"/>
  </r>
  <r>
    <x v="1"/>
    <x v="0"/>
    <d v="2018-01-24T00:00:00"/>
    <x v="2"/>
    <n v="39"/>
    <n v="170"/>
    <n v="123"/>
    <n v="1400"/>
    <n v="141"/>
  </r>
  <r>
    <x v="1"/>
    <x v="0"/>
    <d v="2018-01-25T00:00:00"/>
    <x v="1"/>
    <n v="44"/>
    <n v="150"/>
    <n v="118"/>
    <n v="1401"/>
    <n v="160"/>
  </r>
  <r>
    <x v="1"/>
    <x v="0"/>
    <d v="2018-01-25T00:00:00"/>
    <x v="0"/>
    <n v="37"/>
    <n v="125"/>
    <n v="114"/>
    <n v="1402"/>
    <n v="129"/>
  </r>
  <r>
    <x v="1"/>
    <x v="0"/>
    <d v="2018-01-25T00:00:00"/>
    <x v="0"/>
    <n v="51"/>
    <n v="125"/>
    <n v="114"/>
    <n v="1403"/>
    <n v="183"/>
  </r>
  <r>
    <x v="1"/>
    <x v="0"/>
    <d v="2018-01-25T00:00:00"/>
    <x v="1"/>
    <n v="57"/>
    <n v="150"/>
    <n v="118"/>
    <n v="1404"/>
    <n v="201"/>
  </r>
  <r>
    <x v="1"/>
    <x v="0"/>
    <d v="2018-01-26T00:00:00"/>
    <x v="1"/>
    <n v="63"/>
    <n v="150"/>
    <n v="118"/>
    <n v="1405"/>
    <n v="229"/>
  </r>
  <r>
    <x v="1"/>
    <x v="0"/>
    <d v="2018-01-26T00:00:00"/>
    <x v="2"/>
    <n v="52"/>
    <n v="170"/>
    <n v="123"/>
    <n v="1406"/>
    <n v="185"/>
  </r>
  <r>
    <x v="1"/>
    <x v="0"/>
    <d v="2018-01-29T00:00:00"/>
    <x v="0"/>
    <n v="35"/>
    <n v="125"/>
    <n v="114"/>
    <n v="1407"/>
    <n v="161"/>
  </r>
  <r>
    <x v="1"/>
    <x v="0"/>
    <d v="2018-01-29T00:00:00"/>
    <x v="1"/>
    <n v="65"/>
    <n v="150"/>
    <n v="118"/>
    <n v="1408"/>
    <n v="230"/>
  </r>
  <r>
    <x v="1"/>
    <x v="0"/>
    <d v="2018-01-30T00:00:00"/>
    <x v="0"/>
    <n v="56"/>
    <n v="125"/>
    <n v="114"/>
    <n v="1409"/>
    <n v="194"/>
  </r>
  <r>
    <x v="1"/>
    <x v="0"/>
    <d v="2018-01-31T00:00:00"/>
    <x v="2"/>
    <n v="34"/>
    <n v="170"/>
    <n v="123"/>
    <n v="1410"/>
    <n v="122"/>
  </r>
  <r>
    <x v="1"/>
    <x v="0"/>
    <d v="2018-02-01T00:00:00"/>
    <x v="2"/>
    <n v="52"/>
    <n v="170"/>
    <n v="123"/>
    <n v="1411"/>
    <n v="186"/>
  </r>
  <r>
    <x v="1"/>
    <x v="0"/>
    <d v="2018-02-01T00:00:00"/>
    <x v="1"/>
    <n v="53"/>
    <n v="150"/>
    <n v="118"/>
    <n v="1412"/>
    <n v="197"/>
  </r>
  <r>
    <x v="1"/>
    <x v="0"/>
    <d v="2018-02-01T00:00:00"/>
    <x v="0"/>
    <n v="55"/>
    <n v="125"/>
    <n v="114"/>
    <n v="1413"/>
    <n v="198"/>
  </r>
  <r>
    <x v="1"/>
    <x v="0"/>
    <d v="2018-02-02T00:00:00"/>
    <x v="2"/>
    <n v="46"/>
    <n v="170"/>
    <n v="123"/>
    <n v="1414"/>
    <n v="159"/>
  </r>
  <r>
    <x v="1"/>
    <x v="0"/>
    <d v="2018-02-02T00:00:00"/>
    <x v="2"/>
    <n v="41"/>
    <n v="170"/>
    <n v="123"/>
    <n v="1415"/>
    <n v="151"/>
  </r>
  <r>
    <x v="1"/>
    <x v="0"/>
    <d v="2018-02-05T00:00:00"/>
    <x v="0"/>
    <n v="38"/>
    <n v="125"/>
    <n v="114"/>
    <n v="1416"/>
    <n v="134"/>
  </r>
  <r>
    <x v="1"/>
    <x v="0"/>
    <d v="2018-02-06T00:00:00"/>
    <x v="2"/>
    <n v="35"/>
    <n v="170"/>
    <n v="123"/>
    <n v="1423"/>
    <n v="120"/>
  </r>
  <r>
    <x v="1"/>
    <x v="0"/>
    <d v="2018-02-06T00:00:00"/>
    <x v="1"/>
    <n v="64"/>
    <n v="150"/>
    <n v="118"/>
    <n v="1422"/>
    <n v="225"/>
  </r>
  <r>
    <x v="1"/>
    <x v="0"/>
    <d v="2018-02-06T00:00:00"/>
    <x v="2"/>
    <n v="51"/>
    <n v="170"/>
    <n v="123"/>
    <n v="1421"/>
    <n v="184"/>
  </r>
  <r>
    <x v="1"/>
    <x v="0"/>
    <d v="2018-02-06T00:00:00"/>
    <x v="2"/>
    <n v="50"/>
    <n v="170"/>
    <n v="123"/>
    <n v="1420"/>
    <n v="173"/>
  </r>
  <r>
    <x v="1"/>
    <x v="0"/>
    <d v="2018-02-06T00:00:00"/>
    <x v="2"/>
    <n v="33"/>
    <n v="170"/>
    <n v="123"/>
    <n v="1419"/>
    <n v="116"/>
  </r>
  <r>
    <x v="1"/>
    <x v="0"/>
    <d v="2018-02-06T00:00:00"/>
    <x v="1"/>
    <n v="59"/>
    <n v="150"/>
    <n v="118"/>
    <n v="1417"/>
    <n v="203"/>
  </r>
  <r>
    <x v="1"/>
    <x v="0"/>
    <d v="2018-02-06T00:00:00"/>
    <x v="0"/>
    <n v="47"/>
    <n v="125"/>
    <n v="114"/>
    <n v="1418"/>
    <n v="168"/>
  </r>
  <r>
    <x v="1"/>
    <x v="0"/>
    <d v="2018-02-07T00:00:00"/>
    <x v="0"/>
    <n v="47"/>
    <n v="125"/>
    <n v="114"/>
    <n v="1424"/>
    <n v="166"/>
  </r>
  <r>
    <x v="1"/>
    <x v="0"/>
    <d v="2018-02-08T00:00:00"/>
    <x v="0"/>
    <n v="52"/>
    <n v="125"/>
    <n v="114"/>
    <n v="1425"/>
    <n v="178"/>
  </r>
  <r>
    <x v="1"/>
    <x v="0"/>
    <d v="2018-02-08T00:00:00"/>
    <x v="2"/>
    <n v="42"/>
    <n v="170"/>
    <n v="123"/>
    <n v="1426"/>
    <n v="148"/>
  </r>
  <r>
    <x v="1"/>
    <x v="0"/>
    <d v="2018-02-09T00:00:00"/>
    <x v="0"/>
    <n v="54"/>
    <n v="125"/>
    <n v="114"/>
    <n v="1427"/>
    <n v="196"/>
  </r>
  <r>
    <x v="1"/>
    <x v="0"/>
    <d v="2018-02-09T00:00:00"/>
    <x v="1"/>
    <n v="51"/>
    <n v="150"/>
    <n v="118"/>
    <n v="1428"/>
    <n v="175"/>
  </r>
  <r>
    <x v="1"/>
    <x v="0"/>
    <d v="2018-02-09T00:00:00"/>
    <x v="0"/>
    <n v="46"/>
    <n v="125"/>
    <n v="114"/>
    <n v="1429"/>
    <n v="215"/>
  </r>
  <r>
    <x v="1"/>
    <x v="0"/>
    <d v="2018-02-09T00:00:00"/>
    <x v="2"/>
    <n v="31"/>
    <n v="170"/>
    <n v="123"/>
    <n v="1430"/>
    <n v="145"/>
  </r>
  <r>
    <x v="1"/>
    <x v="0"/>
    <d v="2018-02-09T00:00:00"/>
    <x v="0"/>
    <n v="56"/>
    <n v="125"/>
    <n v="114"/>
    <n v="1431"/>
    <n v="192"/>
  </r>
  <r>
    <x v="1"/>
    <x v="0"/>
    <d v="2018-02-12T00:00:00"/>
    <x v="0"/>
    <n v="59"/>
    <n v="125"/>
    <n v="114"/>
    <n v="1434"/>
    <n v="213"/>
  </r>
  <r>
    <x v="1"/>
    <x v="0"/>
    <d v="2018-02-12T00:00:00"/>
    <x v="1"/>
    <n v="65"/>
    <n v="150"/>
    <n v="118"/>
    <n v="1437"/>
    <n v="226"/>
  </r>
  <r>
    <x v="1"/>
    <x v="0"/>
    <d v="2018-02-12T00:00:00"/>
    <x v="1"/>
    <n v="60"/>
    <n v="150"/>
    <n v="118"/>
    <n v="1435"/>
    <n v="209"/>
  </r>
  <r>
    <x v="1"/>
    <x v="0"/>
    <d v="2018-02-12T00:00:00"/>
    <x v="0"/>
    <n v="50"/>
    <n v="125"/>
    <n v="114"/>
    <n v="1433"/>
    <n v="186"/>
  </r>
  <r>
    <x v="1"/>
    <x v="0"/>
    <d v="2018-02-12T00:00:00"/>
    <x v="1"/>
    <n v="60"/>
    <n v="150"/>
    <n v="118"/>
    <n v="1432"/>
    <n v="278"/>
  </r>
  <r>
    <x v="1"/>
    <x v="0"/>
    <d v="2018-02-12T00:00:00"/>
    <x v="2"/>
    <n v="36"/>
    <n v="170"/>
    <n v="123"/>
    <n v="1436"/>
    <n v="128"/>
  </r>
  <r>
    <x v="1"/>
    <x v="0"/>
    <d v="2018-02-13T00:00:00"/>
    <x v="0"/>
    <n v="38"/>
    <n v="125"/>
    <n v="114"/>
    <n v="1438"/>
    <n v="140"/>
  </r>
  <r>
    <x v="1"/>
    <x v="0"/>
    <d v="2018-02-13T00:00:00"/>
    <x v="0"/>
    <n v="36"/>
    <n v="125"/>
    <n v="114"/>
    <n v="1439"/>
    <n v="131"/>
  </r>
  <r>
    <x v="1"/>
    <x v="0"/>
    <d v="2018-02-13T00:00:00"/>
    <x v="2"/>
    <n v="54"/>
    <n v="170"/>
    <n v="123"/>
    <n v="1440"/>
    <n v="187"/>
  </r>
  <r>
    <x v="1"/>
    <x v="0"/>
    <d v="2018-02-13T00:00:00"/>
    <x v="2"/>
    <n v="56"/>
    <n v="170"/>
    <n v="123"/>
    <n v="1441"/>
    <n v="201"/>
  </r>
  <r>
    <x v="1"/>
    <x v="0"/>
    <d v="2018-02-13T00:00:00"/>
    <x v="1"/>
    <n v="52"/>
    <n v="150"/>
    <n v="118"/>
    <n v="1442"/>
    <n v="186"/>
  </r>
  <r>
    <x v="1"/>
    <x v="0"/>
    <d v="2018-02-14T00:00:00"/>
    <x v="1"/>
    <n v="60"/>
    <n v="150"/>
    <n v="118"/>
    <n v="1443"/>
    <n v="277"/>
  </r>
  <r>
    <x v="1"/>
    <x v="0"/>
    <d v="2018-02-14T00:00:00"/>
    <x v="0"/>
    <n v="56"/>
    <n v="125"/>
    <n v="114"/>
    <n v="1444"/>
    <n v="196"/>
  </r>
  <r>
    <x v="1"/>
    <x v="0"/>
    <d v="2018-02-15T00:00:00"/>
    <x v="1"/>
    <n v="50"/>
    <n v="150"/>
    <n v="118"/>
    <n v="1446"/>
    <n v="185"/>
  </r>
  <r>
    <x v="1"/>
    <x v="0"/>
    <d v="2018-02-15T00:00:00"/>
    <x v="1"/>
    <n v="44"/>
    <n v="150"/>
    <n v="118"/>
    <n v="1447"/>
    <n v="160"/>
  </r>
  <r>
    <x v="1"/>
    <x v="0"/>
    <d v="2018-02-15T00:00:00"/>
    <x v="1"/>
    <n v="44"/>
    <n v="150"/>
    <n v="118"/>
    <n v="1448"/>
    <n v="155"/>
  </r>
  <r>
    <x v="1"/>
    <x v="0"/>
    <d v="2018-02-15T00:00:00"/>
    <x v="2"/>
    <n v="49"/>
    <n v="170"/>
    <n v="123"/>
    <n v="1445"/>
    <n v="174"/>
  </r>
  <r>
    <x v="1"/>
    <x v="0"/>
    <d v="2018-02-16T00:00:00"/>
    <x v="2"/>
    <n v="51"/>
    <n v="170"/>
    <n v="123"/>
    <n v="1452"/>
    <n v="176"/>
  </r>
  <r>
    <x v="1"/>
    <x v="0"/>
    <d v="2018-02-16T00:00:00"/>
    <x v="2"/>
    <n v="30"/>
    <n v="170"/>
    <n v="123"/>
    <n v="1455"/>
    <n v="103"/>
  </r>
  <r>
    <x v="1"/>
    <x v="0"/>
    <d v="2018-02-16T00:00:00"/>
    <x v="2"/>
    <n v="54"/>
    <n v="170"/>
    <n v="123"/>
    <n v="1453"/>
    <n v="194"/>
  </r>
  <r>
    <x v="1"/>
    <x v="0"/>
    <d v="2018-02-16T00:00:00"/>
    <x v="2"/>
    <n v="38"/>
    <n v="170"/>
    <n v="123"/>
    <n v="1451"/>
    <n v="133"/>
  </r>
  <r>
    <x v="1"/>
    <x v="0"/>
    <d v="2018-02-16T00:00:00"/>
    <x v="0"/>
    <n v="60"/>
    <n v="125"/>
    <n v="114"/>
    <n v="1450"/>
    <n v="280"/>
  </r>
  <r>
    <x v="1"/>
    <x v="0"/>
    <d v="2018-02-16T00:00:00"/>
    <x v="1"/>
    <n v="55"/>
    <n v="150"/>
    <n v="118"/>
    <n v="1449"/>
    <n v="195"/>
  </r>
  <r>
    <x v="1"/>
    <x v="0"/>
    <d v="2018-02-16T00:00:00"/>
    <x v="1"/>
    <n v="58"/>
    <n v="150"/>
    <n v="118"/>
    <n v="1454"/>
    <n v="268"/>
  </r>
  <r>
    <x v="1"/>
    <x v="0"/>
    <d v="2018-02-19T00:00:00"/>
    <x v="2"/>
    <n v="38"/>
    <n v="170"/>
    <n v="123"/>
    <n v="1456"/>
    <n v="133"/>
  </r>
  <r>
    <x v="1"/>
    <x v="0"/>
    <d v="2018-02-19T00:00:00"/>
    <x v="1"/>
    <n v="56"/>
    <n v="150"/>
    <n v="118"/>
    <n v="1457"/>
    <n v="192"/>
  </r>
  <r>
    <x v="1"/>
    <x v="0"/>
    <d v="2018-02-20T00:00:00"/>
    <x v="0"/>
    <n v="40"/>
    <n v="125"/>
    <n v="114"/>
    <n v="1459"/>
    <n v="139"/>
  </r>
  <r>
    <x v="1"/>
    <x v="0"/>
    <d v="2018-02-20T00:00:00"/>
    <x v="1"/>
    <n v="51"/>
    <n v="150"/>
    <n v="118"/>
    <n v="1465"/>
    <n v="190"/>
  </r>
  <r>
    <x v="1"/>
    <x v="0"/>
    <d v="2018-02-20T00:00:00"/>
    <x v="2"/>
    <n v="45"/>
    <n v="170"/>
    <n v="123"/>
    <n v="1464"/>
    <n v="162"/>
  </r>
  <r>
    <x v="1"/>
    <x v="0"/>
    <d v="2018-02-20T00:00:00"/>
    <x v="0"/>
    <n v="36"/>
    <n v="125"/>
    <n v="114"/>
    <n v="1463"/>
    <n v="131"/>
  </r>
  <r>
    <x v="1"/>
    <x v="0"/>
    <d v="2018-02-20T00:00:00"/>
    <x v="2"/>
    <n v="54"/>
    <n v="170"/>
    <n v="123"/>
    <n v="1460"/>
    <n v="191"/>
  </r>
  <r>
    <x v="1"/>
    <x v="0"/>
    <d v="2018-02-20T00:00:00"/>
    <x v="0"/>
    <n v="47"/>
    <n v="125"/>
    <n v="114"/>
    <n v="1462"/>
    <n v="166"/>
  </r>
  <r>
    <x v="1"/>
    <x v="0"/>
    <d v="2018-02-20T00:00:00"/>
    <x v="2"/>
    <n v="39"/>
    <n v="170"/>
    <n v="123"/>
    <n v="1458"/>
    <n v="139"/>
  </r>
  <r>
    <x v="1"/>
    <x v="0"/>
    <d v="2018-02-20T00:00:00"/>
    <x v="0"/>
    <n v="43"/>
    <n v="125"/>
    <n v="114"/>
    <n v="1461"/>
    <n v="156"/>
  </r>
  <r>
    <x v="1"/>
    <x v="0"/>
    <d v="2018-02-21T00:00:00"/>
    <x v="2"/>
    <n v="54"/>
    <n v="170"/>
    <n v="123"/>
    <n v="1466"/>
    <n v="194"/>
  </r>
  <r>
    <x v="1"/>
    <x v="0"/>
    <d v="2018-02-21T00:00:00"/>
    <x v="2"/>
    <n v="56"/>
    <n v="170"/>
    <n v="123"/>
    <n v="1467"/>
    <n v="199"/>
  </r>
  <r>
    <x v="1"/>
    <x v="0"/>
    <d v="2018-02-21T00:00:00"/>
    <x v="1"/>
    <n v="42"/>
    <n v="150"/>
    <n v="118"/>
    <n v="1468"/>
    <n v="146"/>
  </r>
  <r>
    <x v="1"/>
    <x v="0"/>
    <d v="2018-02-21T00:00:00"/>
    <x v="2"/>
    <n v="53"/>
    <n v="170"/>
    <n v="123"/>
    <n v="1469"/>
    <n v="183"/>
  </r>
  <r>
    <x v="1"/>
    <x v="0"/>
    <d v="2018-02-21T00:00:00"/>
    <x v="2"/>
    <n v="41"/>
    <n v="170"/>
    <n v="123"/>
    <n v="1470"/>
    <n v="148"/>
  </r>
  <r>
    <x v="1"/>
    <x v="0"/>
    <d v="2018-02-22T00:00:00"/>
    <x v="1"/>
    <n v="62"/>
    <n v="150"/>
    <n v="118"/>
    <n v="1471"/>
    <n v="226"/>
  </r>
  <r>
    <x v="1"/>
    <x v="0"/>
    <d v="2018-02-22T00:00:00"/>
    <x v="2"/>
    <n v="50"/>
    <n v="170"/>
    <n v="123"/>
    <n v="1472"/>
    <n v="233"/>
  </r>
  <r>
    <x v="1"/>
    <x v="0"/>
    <d v="2018-02-22T00:00:00"/>
    <x v="0"/>
    <n v="58"/>
    <n v="125"/>
    <n v="114"/>
    <n v="1473"/>
    <n v="200"/>
  </r>
  <r>
    <x v="1"/>
    <x v="0"/>
    <d v="2018-02-23T00:00:00"/>
    <x v="0"/>
    <n v="57"/>
    <n v="125"/>
    <n v="114"/>
    <n v="1474"/>
    <n v="197"/>
  </r>
  <r>
    <x v="1"/>
    <x v="0"/>
    <d v="2018-02-23T00:00:00"/>
    <x v="1"/>
    <n v="62"/>
    <n v="150"/>
    <n v="118"/>
    <n v="1475"/>
    <n v="214"/>
  </r>
  <r>
    <x v="1"/>
    <x v="0"/>
    <d v="2018-02-23T00:00:00"/>
    <x v="1"/>
    <n v="47"/>
    <n v="150"/>
    <n v="118"/>
    <n v="1476"/>
    <n v="221"/>
  </r>
  <r>
    <x v="1"/>
    <x v="0"/>
    <d v="2018-02-23T00:00:00"/>
    <x v="2"/>
    <n v="35"/>
    <n v="170"/>
    <n v="123"/>
    <n v="1477"/>
    <n v="125"/>
  </r>
  <r>
    <x v="1"/>
    <x v="0"/>
    <d v="2018-02-26T00:00:00"/>
    <x v="1"/>
    <n v="65"/>
    <n v="150"/>
    <n v="118"/>
    <n v="1478"/>
    <n v="232"/>
  </r>
  <r>
    <x v="1"/>
    <x v="0"/>
    <d v="2018-02-26T00:00:00"/>
    <x v="2"/>
    <n v="34"/>
    <n v="170"/>
    <n v="123"/>
    <n v="1479"/>
    <n v="124"/>
  </r>
  <r>
    <x v="1"/>
    <x v="0"/>
    <d v="2018-02-26T00:00:00"/>
    <x v="0"/>
    <n v="58"/>
    <n v="125"/>
    <n v="114"/>
    <n v="1480"/>
    <n v="201"/>
  </r>
  <r>
    <x v="1"/>
    <x v="0"/>
    <d v="2018-02-27T00:00:00"/>
    <x v="2"/>
    <n v="32"/>
    <n v="170"/>
    <n v="123"/>
    <n v="1484"/>
    <n v="116"/>
  </r>
  <r>
    <x v="1"/>
    <x v="0"/>
    <d v="2018-02-27T00:00:00"/>
    <x v="1"/>
    <n v="42"/>
    <n v="150"/>
    <n v="118"/>
    <n v="1481"/>
    <n v="153"/>
  </r>
  <r>
    <x v="1"/>
    <x v="0"/>
    <d v="2018-02-27T00:00:00"/>
    <x v="1"/>
    <n v="40"/>
    <n v="150"/>
    <n v="118"/>
    <n v="1482"/>
    <n v="138"/>
  </r>
  <r>
    <x v="1"/>
    <x v="0"/>
    <d v="2018-02-27T00:00:00"/>
    <x v="1"/>
    <n v="64"/>
    <n v="150"/>
    <n v="118"/>
    <n v="1483"/>
    <n v="246"/>
  </r>
  <r>
    <x v="1"/>
    <x v="0"/>
    <d v="2018-02-28T00:00:00"/>
    <x v="1"/>
    <n v="49"/>
    <n v="150"/>
    <n v="118"/>
    <n v="1491"/>
    <n v="178"/>
  </r>
  <r>
    <x v="1"/>
    <x v="0"/>
    <d v="2018-02-28T00:00:00"/>
    <x v="0"/>
    <n v="35"/>
    <n v="125"/>
    <n v="114"/>
    <n v="1485"/>
    <n v="122"/>
  </r>
  <r>
    <x v="1"/>
    <x v="0"/>
    <d v="2018-02-28T00:00:00"/>
    <x v="0"/>
    <n v="55"/>
    <n v="125"/>
    <n v="114"/>
    <n v="1486"/>
    <n v="189"/>
  </r>
  <r>
    <x v="1"/>
    <x v="0"/>
    <d v="2018-02-28T00:00:00"/>
    <x v="2"/>
    <n v="44"/>
    <n v="170"/>
    <n v="123"/>
    <n v="1487"/>
    <n v="152"/>
  </r>
  <r>
    <x v="1"/>
    <x v="0"/>
    <d v="2018-02-28T00:00:00"/>
    <x v="2"/>
    <n v="51"/>
    <n v="170"/>
    <n v="123"/>
    <n v="1488"/>
    <n v="177"/>
  </r>
  <r>
    <x v="1"/>
    <x v="0"/>
    <d v="2018-02-28T00:00:00"/>
    <x v="2"/>
    <n v="36"/>
    <n v="170"/>
    <n v="123"/>
    <n v="1489"/>
    <n v="130"/>
  </r>
  <r>
    <x v="1"/>
    <x v="0"/>
    <d v="2018-02-28T00:00:00"/>
    <x v="1"/>
    <n v="49"/>
    <n v="150"/>
    <n v="118"/>
    <n v="1490"/>
    <n v="172"/>
  </r>
  <r>
    <x v="1"/>
    <x v="0"/>
    <d v="2018-03-01T00:00:00"/>
    <x v="0"/>
    <n v="54"/>
    <n v="125"/>
    <n v="114"/>
    <n v="1497"/>
    <n v="196"/>
  </r>
  <r>
    <x v="1"/>
    <x v="0"/>
    <d v="2018-03-01T00:00:00"/>
    <x v="2"/>
    <n v="37"/>
    <n v="170"/>
    <n v="123"/>
    <n v="1496"/>
    <n v="130"/>
  </r>
  <r>
    <x v="1"/>
    <x v="0"/>
    <d v="2018-03-01T00:00:00"/>
    <x v="0"/>
    <n v="57"/>
    <n v="125"/>
    <n v="114"/>
    <n v="1495"/>
    <n v="206"/>
  </r>
  <r>
    <x v="1"/>
    <x v="0"/>
    <d v="2018-03-01T00:00:00"/>
    <x v="1"/>
    <n v="47"/>
    <n v="150"/>
    <n v="118"/>
    <n v="1494"/>
    <n v="176"/>
  </r>
  <r>
    <x v="1"/>
    <x v="0"/>
    <d v="2018-03-01T00:00:00"/>
    <x v="1"/>
    <n v="40"/>
    <n v="150"/>
    <n v="118"/>
    <n v="1492"/>
    <n v="143"/>
  </r>
  <r>
    <x v="1"/>
    <x v="0"/>
    <d v="2018-03-01T00:00:00"/>
    <x v="1"/>
    <n v="62"/>
    <n v="150"/>
    <n v="118"/>
    <n v="1493"/>
    <n v="215"/>
  </r>
  <r>
    <x v="1"/>
    <x v="0"/>
    <d v="2018-03-02T00:00:00"/>
    <x v="0"/>
    <n v="45"/>
    <n v="125"/>
    <n v="114"/>
    <n v="1502"/>
    <n v="210"/>
  </r>
  <r>
    <x v="1"/>
    <x v="0"/>
    <d v="2018-03-02T00:00:00"/>
    <x v="0"/>
    <n v="43"/>
    <n v="125"/>
    <n v="114"/>
    <n v="1504"/>
    <n v="153"/>
  </r>
  <r>
    <x v="1"/>
    <x v="0"/>
    <d v="2018-03-02T00:00:00"/>
    <x v="2"/>
    <n v="54"/>
    <n v="170"/>
    <n v="123"/>
    <n v="1503"/>
    <n v="196"/>
  </r>
  <r>
    <x v="1"/>
    <x v="0"/>
    <d v="2018-03-02T00:00:00"/>
    <x v="0"/>
    <n v="48"/>
    <n v="125"/>
    <n v="114"/>
    <n v="1498"/>
    <n v="226"/>
  </r>
  <r>
    <x v="1"/>
    <x v="0"/>
    <d v="2018-03-02T00:00:00"/>
    <x v="0"/>
    <n v="44"/>
    <n v="125"/>
    <n v="114"/>
    <n v="1499"/>
    <n v="164"/>
  </r>
  <r>
    <x v="1"/>
    <x v="0"/>
    <d v="2018-03-02T00:00:00"/>
    <x v="0"/>
    <n v="37"/>
    <n v="125"/>
    <n v="114"/>
    <n v="1500"/>
    <n v="132"/>
  </r>
  <r>
    <x v="1"/>
    <x v="0"/>
    <d v="2018-03-02T00:00:00"/>
    <x v="2"/>
    <n v="30"/>
    <n v="170"/>
    <n v="123"/>
    <n v="1501"/>
    <n v="108"/>
  </r>
  <r>
    <x v="1"/>
    <x v="0"/>
    <d v="2018-03-05T00:00:00"/>
    <x v="1"/>
    <n v="65"/>
    <n v="150"/>
    <n v="118"/>
    <n v="1505"/>
    <n v="238"/>
  </r>
  <r>
    <x v="1"/>
    <x v="0"/>
    <d v="2018-03-05T00:00:00"/>
    <x v="0"/>
    <n v="60"/>
    <n v="125"/>
    <n v="114"/>
    <n v="1506"/>
    <n v="210"/>
  </r>
  <r>
    <x v="1"/>
    <x v="0"/>
    <d v="2018-03-05T00:00:00"/>
    <x v="2"/>
    <n v="45"/>
    <n v="170"/>
    <n v="123"/>
    <n v="1507"/>
    <n v="155"/>
  </r>
  <r>
    <x v="1"/>
    <x v="0"/>
    <d v="2018-03-05T00:00:00"/>
    <x v="0"/>
    <n v="50"/>
    <n v="125"/>
    <n v="114"/>
    <n v="1508"/>
    <n v="179"/>
  </r>
  <r>
    <x v="1"/>
    <x v="0"/>
    <d v="2018-03-06T00:00:00"/>
    <x v="1"/>
    <n v="57"/>
    <n v="150"/>
    <n v="118"/>
    <n v="1509"/>
    <n v="208"/>
  </r>
  <r>
    <x v="1"/>
    <x v="0"/>
    <d v="2018-03-06T00:00:00"/>
    <x v="0"/>
    <n v="57"/>
    <n v="125"/>
    <n v="114"/>
    <n v="1510"/>
    <n v="208"/>
  </r>
  <r>
    <x v="1"/>
    <x v="0"/>
    <d v="2018-03-06T00:00:00"/>
    <x v="2"/>
    <n v="53"/>
    <n v="170"/>
    <n v="123"/>
    <n v="1511"/>
    <n v="187"/>
  </r>
  <r>
    <x v="1"/>
    <x v="0"/>
    <d v="2018-03-06T00:00:00"/>
    <x v="1"/>
    <n v="62"/>
    <n v="150"/>
    <n v="118"/>
    <n v="1512"/>
    <n v="224"/>
  </r>
  <r>
    <x v="1"/>
    <x v="0"/>
    <d v="2018-03-07T00:00:00"/>
    <x v="2"/>
    <n v="53"/>
    <n v="170"/>
    <n v="123"/>
    <n v="1518"/>
    <n v="192"/>
  </r>
  <r>
    <x v="1"/>
    <x v="0"/>
    <d v="2018-03-07T00:00:00"/>
    <x v="2"/>
    <n v="33"/>
    <n v="170"/>
    <n v="123"/>
    <n v="1519"/>
    <n v="117"/>
  </r>
  <r>
    <x v="1"/>
    <x v="0"/>
    <d v="2018-03-07T00:00:00"/>
    <x v="1"/>
    <n v="54"/>
    <n v="150"/>
    <n v="118"/>
    <n v="1517"/>
    <n v="194"/>
  </r>
  <r>
    <x v="1"/>
    <x v="0"/>
    <d v="2018-03-07T00:00:00"/>
    <x v="0"/>
    <n v="49"/>
    <n v="125"/>
    <n v="114"/>
    <n v="1515"/>
    <n v="170"/>
  </r>
  <r>
    <x v="1"/>
    <x v="0"/>
    <d v="2018-03-07T00:00:00"/>
    <x v="2"/>
    <n v="43"/>
    <n v="170"/>
    <n v="123"/>
    <n v="1514"/>
    <n v="151"/>
  </r>
  <r>
    <x v="1"/>
    <x v="0"/>
    <d v="2018-03-07T00:00:00"/>
    <x v="1"/>
    <n v="53"/>
    <n v="150"/>
    <n v="118"/>
    <n v="1513"/>
    <n v="188"/>
  </r>
  <r>
    <x v="1"/>
    <x v="0"/>
    <d v="2018-03-07T00:00:00"/>
    <x v="1"/>
    <n v="43"/>
    <n v="150"/>
    <n v="118"/>
    <n v="1520"/>
    <n v="151"/>
  </r>
  <r>
    <x v="1"/>
    <x v="0"/>
    <d v="2018-03-07T00:00:00"/>
    <x v="0"/>
    <n v="45"/>
    <n v="125"/>
    <n v="114"/>
    <n v="1516"/>
    <n v="158"/>
  </r>
  <r>
    <x v="1"/>
    <x v="0"/>
    <d v="2018-03-08T00:00:00"/>
    <x v="0"/>
    <n v="53"/>
    <n v="125"/>
    <n v="114"/>
    <n v="1525"/>
    <n v="189"/>
  </r>
  <r>
    <x v="1"/>
    <x v="0"/>
    <d v="2018-03-08T00:00:00"/>
    <x v="0"/>
    <n v="48"/>
    <n v="125"/>
    <n v="114"/>
    <n v="1521"/>
    <n v="171"/>
  </r>
  <r>
    <x v="1"/>
    <x v="0"/>
    <d v="2018-03-08T00:00:00"/>
    <x v="0"/>
    <n v="48"/>
    <n v="125"/>
    <n v="114"/>
    <n v="1522"/>
    <n v="176"/>
  </r>
  <r>
    <x v="1"/>
    <x v="0"/>
    <d v="2018-03-08T00:00:00"/>
    <x v="2"/>
    <n v="49"/>
    <n v="170"/>
    <n v="123"/>
    <n v="1523"/>
    <n v="178"/>
  </r>
  <r>
    <x v="1"/>
    <x v="0"/>
    <d v="2018-03-08T00:00:00"/>
    <x v="0"/>
    <n v="47"/>
    <n v="125"/>
    <n v="114"/>
    <n v="1524"/>
    <n v="163"/>
  </r>
  <r>
    <x v="1"/>
    <x v="0"/>
    <d v="2018-03-09T00:00:00"/>
    <x v="0"/>
    <n v="40"/>
    <n v="125"/>
    <n v="114"/>
    <n v="1526"/>
    <n v="138"/>
  </r>
  <r>
    <x v="1"/>
    <x v="0"/>
    <d v="2018-03-12T00:00:00"/>
    <x v="1"/>
    <n v="63"/>
    <n v="150"/>
    <n v="118"/>
    <n v="1533"/>
    <n v="220"/>
  </r>
  <r>
    <x v="1"/>
    <x v="0"/>
    <d v="2018-03-12T00:00:00"/>
    <x v="1"/>
    <n v="63"/>
    <n v="150"/>
    <n v="118"/>
    <n v="1528"/>
    <n v="226"/>
  </r>
  <r>
    <x v="1"/>
    <x v="0"/>
    <d v="2018-03-12T00:00:00"/>
    <x v="2"/>
    <n v="30"/>
    <n v="170"/>
    <n v="123"/>
    <n v="1529"/>
    <n v="104"/>
  </r>
  <r>
    <x v="1"/>
    <x v="0"/>
    <d v="2018-03-12T00:00:00"/>
    <x v="1"/>
    <n v="44"/>
    <n v="150"/>
    <n v="118"/>
    <n v="1530"/>
    <n v="150"/>
  </r>
  <r>
    <x v="1"/>
    <x v="0"/>
    <d v="2018-03-12T00:00:00"/>
    <x v="2"/>
    <n v="49"/>
    <n v="170"/>
    <n v="123"/>
    <n v="1531"/>
    <n v="227"/>
  </r>
  <r>
    <x v="1"/>
    <x v="0"/>
    <d v="2018-03-12T00:00:00"/>
    <x v="2"/>
    <n v="44"/>
    <n v="170"/>
    <n v="123"/>
    <n v="1532"/>
    <n v="205"/>
  </r>
  <r>
    <x v="1"/>
    <x v="0"/>
    <d v="2018-03-12T00:00:00"/>
    <x v="0"/>
    <n v="52"/>
    <n v="125"/>
    <n v="114"/>
    <n v="1527"/>
    <n v="239"/>
  </r>
  <r>
    <x v="1"/>
    <x v="0"/>
    <d v="2018-03-13T00:00:00"/>
    <x v="1"/>
    <n v="42"/>
    <n v="150"/>
    <n v="118"/>
    <n v="1537"/>
    <n v="161"/>
  </r>
  <r>
    <x v="1"/>
    <x v="0"/>
    <d v="2018-03-13T00:00:00"/>
    <x v="2"/>
    <n v="35"/>
    <n v="170"/>
    <n v="123"/>
    <n v="1536"/>
    <n v="121"/>
  </r>
  <r>
    <x v="1"/>
    <x v="0"/>
    <d v="2018-03-13T00:00:00"/>
    <x v="2"/>
    <n v="53"/>
    <n v="170"/>
    <n v="123"/>
    <n v="1534"/>
    <n v="195"/>
  </r>
  <r>
    <x v="1"/>
    <x v="0"/>
    <d v="2018-03-13T00:00:00"/>
    <x v="1"/>
    <n v="64"/>
    <n v="150"/>
    <n v="118"/>
    <n v="1535"/>
    <n v="225"/>
  </r>
  <r>
    <x v="1"/>
    <x v="0"/>
    <d v="2018-03-14T00:00:00"/>
    <x v="0"/>
    <n v="56"/>
    <n v="125"/>
    <n v="114"/>
    <n v="1538"/>
    <n v="262"/>
  </r>
  <r>
    <x v="1"/>
    <x v="0"/>
    <d v="2018-03-14T00:00:00"/>
    <x v="1"/>
    <n v="49"/>
    <n v="150"/>
    <n v="118"/>
    <n v="1539"/>
    <n v="170"/>
  </r>
  <r>
    <x v="1"/>
    <x v="0"/>
    <d v="2018-03-14T00:00:00"/>
    <x v="2"/>
    <n v="49"/>
    <n v="170"/>
    <n v="123"/>
    <n v="1540"/>
    <n v="230"/>
  </r>
  <r>
    <x v="1"/>
    <x v="0"/>
    <d v="2018-03-14T00:00:00"/>
    <x v="2"/>
    <n v="51"/>
    <n v="170"/>
    <n v="123"/>
    <n v="1541"/>
    <n v="182"/>
  </r>
  <r>
    <x v="1"/>
    <x v="0"/>
    <d v="2018-03-14T00:00:00"/>
    <x v="0"/>
    <n v="61"/>
    <n v="125"/>
    <n v="114"/>
    <n v="1542"/>
    <n v="283"/>
  </r>
  <r>
    <x v="1"/>
    <x v="0"/>
    <d v="2018-03-14T00:00:00"/>
    <x v="2"/>
    <n v="45"/>
    <n v="170"/>
    <n v="123"/>
    <n v="1543"/>
    <n v="155"/>
  </r>
  <r>
    <x v="1"/>
    <x v="0"/>
    <d v="2018-03-14T00:00:00"/>
    <x v="1"/>
    <n v="62"/>
    <n v="150"/>
    <n v="118"/>
    <n v="1544"/>
    <n v="221"/>
  </r>
  <r>
    <x v="1"/>
    <x v="0"/>
    <d v="2018-03-15T00:00:00"/>
    <x v="2"/>
    <n v="53"/>
    <n v="170"/>
    <n v="123"/>
    <n v="1545"/>
    <n v="186"/>
  </r>
  <r>
    <x v="1"/>
    <x v="0"/>
    <d v="2018-03-15T00:00:00"/>
    <x v="0"/>
    <n v="48"/>
    <n v="125"/>
    <n v="114"/>
    <n v="1549"/>
    <n v="165"/>
  </r>
  <r>
    <x v="1"/>
    <x v="0"/>
    <d v="2018-03-15T00:00:00"/>
    <x v="0"/>
    <n v="55"/>
    <n v="125"/>
    <n v="114"/>
    <n v="1548"/>
    <n v="190"/>
  </r>
  <r>
    <x v="1"/>
    <x v="0"/>
    <d v="2018-03-15T00:00:00"/>
    <x v="2"/>
    <n v="44"/>
    <n v="170"/>
    <n v="123"/>
    <n v="1546"/>
    <n v="161"/>
  </r>
  <r>
    <x v="1"/>
    <x v="0"/>
    <d v="2018-03-15T00:00:00"/>
    <x v="2"/>
    <n v="49"/>
    <n v="170"/>
    <n v="123"/>
    <n v="1547"/>
    <n v="171"/>
  </r>
  <r>
    <x v="1"/>
    <x v="0"/>
    <d v="2018-03-16T00:00:00"/>
    <x v="0"/>
    <n v="60"/>
    <n v="125"/>
    <n v="114"/>
    <n v="1550"/>
    <n v="221"/>
  </r>
  <r>
    <x v="1"/>
    <x v="0"/>
    <d v="2018-03-19T00:00:00"/>
    <x v="0"/>
    <n v="52"/>
    <n v="125"/>
    <n v="114"/>
    <n v="1553"/>
    <n v="180"/>
  </r>
  <r>
    <x v="1"/>
    <x v="0"/>
    <d v="2018-03-19T00:00:00"/>
    <x v="1"/>
    <n v="56"/>
    <n v="150"/>
    <n v="118"/>
    <n v="1551"/>
    <n v="203"/>
  </r>
  <r>
    <x v="1"/>
    <x v="0"/>
    <d v="2018-03-19T00:00:00"/>
    <x v="0"/>
    <n v="49"/>
    <n v="125"/>
    <n v="114"/>
    <n v="1552"/>
    <n v="172"/>
  </r>
  <r>
    <x v="1"/>
    <x v="0"/>
    <d v="2018-03-20T00:00:00"/>
    <x v="0"/>
    <n v="55"/>
    <n v="125"/>
    <n v="114"/>
    <n v="1558"/>
    <n v="193"/>
  </r>
  <r>
    <x v="1"/>
    <x v="0"/>
    <d v="2018-03-20T00:00:00"/>
    <x v="1"/>
    <n v="66"/>
    <n v="150"/>
    <n v="118"/>
    <n v="1557"/>
    <n v="230"/>
  </r>
  <r>
    <x v="1"/>
    <x v="0"/>
    <d v="2018-03-20T00:00:00"/>
    <x v="0"/>
    <n v="52"/>
    <n v="125"/>
    <n v="114"/>
    <n v="1554"/>
    <n v="240"/>
  </r>
  <r>
    <x v="1"/>
    <x v="0"/>
    <d v="2018-03-20T00:00:00"/>
    <x v="1"/>
    <n v="40"/>
    <n v="150"/>
    <n v="118"/>
    <n v="1556"/>
    <n v="143"/>
  </r>
  <r>
    <x v="1"/>
    <x v="0"/>
    <d v="2018-03-20T00:00:00"/>
    <x v="1"/>
    <n v="44"/>
    <n v="150"/>
    <n v="118"/>
    <n v="1555"/>
    <n v="151"/>
  </r>
  <r>
    <x v="1"/>
    <x v="0"/>
    <d v="2018-03-21T00:00:00"/>
    <x v="1"/>
    <n v="65"/>
    <n v="150"/>
    <n v="118"/>
    <n v="1559"/>
    <n v="250"/>
  </r>
  <r>
    <x v="1"/>
    <x v="0"/>
    <d v="2018-03-21T00:00:00"/>
    <x v="2"/>
    <n v="51"/>
    <n v="170"/>
    <n v="123"/>
    <n v="1560"/>
    <n v="178"/>
  </r>
  <r>
    <x v="1"/>
    <x v="0"/>
    <d v="2018-03-21T00:00:00"/>
    <x v="1"/>
    <n v="40"/>
    <n v="150"/>
    <n v="118"/>
    <n v="1561"/>
    <n v="143"/>
  </r>
  <r>
    <x v="1"/>
    <x v="0"/>
    <d v="2018-03-21T00:00:00"/>
    <x v="0"/>
    <n v="61"/>
    <n v="125"/>
    <n v="114"/>
    <n v="1562"/>
    <n v="218"/>
  </r>
  <r>
    <x v="1"/>
    <x v="0"/>
    <d v="2018-03-22T00:00:00"/>
    <x v="1"/>
    <n v="49"/>
    <n v="150"/>
    <n v="118"/>
    <n v="1563"/>
    <n v="180"/>
  </r>
  <r>
    <x v="1"/>
    <x v="0"/>
    <d v="2018-03-22T00:00:00"/>
    <x v="1"/>
    <n v="58"/>
    <n v="150"/>
    <n v="118"/>
    <n v="1568"/>
    <n v="206"/>
  </r>
  <r>
    <x v="1"/>
    <x v="0"/>
    <d v="2018-03-22T00:00:00"/>
    <x v="1"/>
    <n v="44"/>
    <n v="150"/>
    <n v="118"/>
    <n v="1567"/>
    <n v="155"/>
  </r>
  <r>
    <x v="1"/>
    <x v="0"/>
    <d v="2018-03-22T00:00:00"/>
    <x v="0"/>
    <n v="42"/>
    <n v="125"/>
    <n v="114"/>
    <n v="1566"/>
    <n v="150"/>
  </r>
  <r>
    <x v="1"/>
    <x v="0"/>
    <d v="2018-03-22T00:00:00"/>
    <x v="0"/>
    <n v="36"/>
    <n v="125"/>
    <n v="114"/>
    <n v="1564"/>
    <n v="125"/>
  </r>
  <r>
    <x v="1"/>
    <x v="0"/>
    <d v="2018-03-22T00:00:00"/>
    <x v="0"/>
    <n v="55"/>
    <n v="125"/>
    <n v="114"/>
    <n v="1565"/>
    <n v="190"/>
  </r>
  <r>
    <x v="1"/>
    <x v="0"/>
    <d v="2018-03-23T00:00:00"/>
    <x v="2"/>
    <n v="45"/>
    <n v="170"/>
    <n v="123"/>
    <n v="1570"/>
    <n v="162"/>
  </r>
  <r>
    <x v="1"/>
    <x v="0"/>
    <d v="2018-03-23T00:00:00"/>
    <x v="2"/>
    <n v="33"/>
    <n v="170"/>
    <n v="123"/>
    <n v="1573"/>
    <n v="122"/>
  </r>
  <r>
    <x v="1"/>
    <x v="0"/>
    <d v="2018-03-23T00:00:00"/>
    <x v="0"/>
    <n v="51"/>
    <n v="125"/>
    <n v="114"/>
    <n v="1574"/>
    <n v="240"/>
  </r>
  <r>
    <x v="1"/>
    <x v="0"/>
    <d v="2018-03-23T00:00:00"/>
    <x v="0"/>
    <n v="40"/>
    <n v="125"/>
    <n v="114"/>
    <n v="1569"/>
    <n v="141"/>
  </r>
  <r>
    <x v="1"/>
    <x v="0"/>
    <d v="2018-03-23T00:00:00"/>
    <x v="0"/>
    <n v="57"/>
    <n v="125"/>
    <n v="114"/>
    <n v="1572"/>
    <n v="198"/>
  </r>
  <r>
    <x v="1"/>
    <x v="0"/>
    <d v="2018-03-23T00:00:00"/>
    <x v="1"/>
    <n v="54"/>
    <n v="150"/>
    <n v="118"/>
    <n v="1571"/>
    <n v="189"/>
  </r>
  <r>
    <x v="1"/>
    <x v="0"/>
    <d v="2018-03-26T00:00:00"/>
    <x v="0"/>
    <n v="37"/>
    <n v="125"/>
    <n v="114"/>
    <n v="1575"/>
    <n v="131"/>
  </r>
  <r>
    <x v="1"/>
    <x v="0"/>
    <d v="2018-03-27T00:00:00"/>
    <x v="2"/>
    <n v="43"/>
    <n v="170"/>
    <n v="123"/>
    <n v="1579"/>
    <n v="158"/>
  </r>
  <r>
    <x v="1"/>
    <x v="0"/>
    <d v="2018-03-27T00:00:00"/>
    <x v="2"/>
    <n v="36"/>
    <n v="170"/>
    <n v="123"/>
    <n v="1583"/>
    <n v="131"/>
  </r>
  <r>
    <x v="1"/>
    <x v="0"/>
    <d v="2018-03-27T00:00:00"/>
    <x v="0"/>
    <n v="50"/>
    <n v="125"/>
    <n v="114"/>
    <n v="1582"/>
    <n v="233"/>
  </r>
  <r>
    <x v="1"/>
    <x v="0"/>
    <d v="2018-03-27T00:00:00"/>
    <x v="2"/>
    <n v="31"/>
    <n v="170"/>
    <n v="123"/>
    <n v="1580"/>
    <n v="108"/>
  </r>
  <r>
    <x v="1"/>
    <x v="0"/>
    <d v="2018-03-27T00:00:00"/>
    <x v="2"/>
    <n v="51"/>
    <n v="170"/>
    <n v="123"/>
    <n v="1578"/>
    <n v="188"/>
  </r>
  <r>
    <x v="1"/>
    <x v="0"/>
    <d v="2018-03-27T00:00:00"/>
    <x v="2"/>
    <n v="38"/>
    <n v="170"/>
    <n v="123"/>
    <n v="1577"/>
    <n v="139"/>
  </r>
  <r>
    <x v="1"/>
    <x v="0"/>
    <d v="2018-03-27T00:00:00"/>
    <x v="2"/>
    <n v="56"/>
    <n v="170"/>
    <n v="123"/>
    <n v="1576"/>
    <n v="203"/>
  </r>
  <r>
    <x v="1"/>
    <x v="0"/>
    <d v="2018-03-27T00:00:00"/>
    <x v="2"/>
    <n v="42"/>
    <n v="170"/>
    <n v="123"/>
    <n v="1581"/>
    <n v="148"/>
  </r>
  <r>
    <x v="1"/>
    <x v="0"/>
    <d v="2018-03-28T00:00:00"/>
    <x v="0"/>
    <n v="35"/>
    <n v="125"/>
    <n v="114"/>
    <n v="1584"/>
    <n v="126"/>
  </r>
  <r>
    <x v="1"/>
    <x v="0"/>
    <d v="2018-03-29T00:00:00"/>
    <x v="2"/>
    <n v="34"/>
    <n v="170"/>
    <n v="123"/>
    <n v="1585"/>
    <n v="125"/>
  </r>
  <r>
    <x v="1"/>
    <x v="0"/>
    <d v="2018-03-29T00:00:00"/>
    <x v="1"/>
    <n v="42"/>
    <n v="150"/>
    <n v="118"/>
    <n v="1586"/>
    <n v="149"/>
  </r>
  <r>
    <x v="1"/>
    <x v="0"/>
    <d v="2018-03-30T00:00:00"/>
    <x v="0"/>
    <n v="47"/>
    <n v="125"/>
    <n v="114"/>
    <n v="1588"/>
    <n v="170"/>
  </r>
  <r>
    <x v="1"/>
    <x v="0"/>
    <d v="2018-03-30T00:00:00"/>
    <x v="1"/>
    <n v="61"/>
    <n v="150"/>
    <n v="118"/>
    <n v="1589"/>
    <n v="216"/>
  </r>
  <r>
    <x v="1"/>
    <x v="0"/>
    <d v="2018-03-30T00:00:00"/>
    <x v="2"/>
    <n v="45"/>
    <n v="170"/>
    <n v="123"/>
    <n v="1587"/>
    <n v="157"/>
  </r>
  <r>
    <x v="1"/>
    <x v="1"/>
    <d v="2018-04-02T00:00:00"/>
    <x v="1"/>
    <n v="38"/>
    <n v="150"/>
    <n v="118"/>
    <n v="1590"/>
    <n v="139"/>
  </r>
  <r>
    <x v="1"/>
    <x v="1"/>
    <d v="2018-04-02T00:00:00"/>
    <x v="2"/>
    <n v="39"/>
    <n v="170"/>
    <n v="123"/>
    <n v="1591"/>
    <n v="134"/>
  </r>
  <r>
    <x v="1"/>
    <x v="1"/>
    <d v="2018-04-03T00:00:00"/>
    <x v="2"/>
    <n v="40"/>
    <n v="170"/>
    <n v="123"/>
    <n v="1597"/>
    <n v="140"/>
  </r>
  <r>
    <x v="1"/>
    <x v="1"/>
    <d v="2018-04-03T00:00:00"/>
    <x v="1"/>
    <n v="55"/>
    <n v="150"/>
    <n v="118"/>
    <n v="1598"/>
    <n v="198"/>
  </r>
  <r>
    <x v="1"/>
    <x v="1"/>
    <d v="2018-04-03T00:00:00"/>
    <x v="0"/>
    <n v="40"/>
    <n v="125"/>
    <n v="114"/>
    <n v="1596"/>
    <n v="145"/>
  </r>
  <r>
    <x v="1"/>
    <x v="1"/>
    <d v="2018-04-03T00:00:00"/>
    <x v="1"/>
    <n v="51"/>
    <n v="150"/>
    <n v="118"/>
    <n v="1595"/>
    <n v="238"/>
  </r>
  <r>
    <x v="1"/>
    <x v="1"/>
    <d v="2018-04-03T00:00:00"/>
    <x v="1"/>
    <n v="53"/>
    <n v="150"/>
    <n v="118"/>
    <n v="1594"/>
    <n v="186"/>
  </r>
  <r>
    <x v="1"/>
    <x v="1"/>
    <d v="2018-04-03T00:00:00"/>
    <x v="1"/>
    <n v="40"/>
    <n v="150"/>
    <n v="118"/>
    <n v="1593"/>
    <n v="140"/>
  </r>
  <r>
    <x v="1"/>
    <x v="1"/>
    <d v="2018-04-03T00:00:00"/>
    <x v="2"/>
    <n v="52"/>
    <n v="170"/>
    <n v="123"/>
    <n v="1592"/>
    <n v="239"/>
  </r>
  <r>
    <x v="1"/>
    <x v="1"/>
    <d v="2018-04-03T00:00:00"/>
    <x v="2"/>
    <n v="54"/>
    <n v="170"/>
    <n v="123"/>
    <n v="1599"/>
    <n v="197"/>
  </r>
  <r>
    <x v="1"/>
    <x v="1"/>
    <d v="2018-04-04T00:00:00"/>
    <x v="0"/>
    <n v="40"/>
    <n v="125"/>
    <n v="114"/>
    <n v="1605"/>
    <n v="145"/>
  </r>
  <r>
    <x v="1"/>
    <x v="1"/>
    <d v="2018-04-04T00:00:00"/>
    <x v="0"/>
    <n v="50"/>
    <n v="125"/>
    <n v="114"/>
    <n v="1600"/>
    <n v="174"/>
  </r>
  <r>
    <x v="1"/>
    <x v="1"/>
    <d v="2018-04-04T00:00:00"/>
    <x v="2"/>
    <n v="28"/>
    <n v="170"/>
    <n v="123"/>
    <n v="1601"/>
    <n v="98"/>
  </r>
  <r>
    <x v="1"/>
    <x v="1"/>
    <d v="2018-04-04T00:00:00"/>
    <x v="0"/>
    <n v="42"/>
    <n v="125"/>
    <n v="114"/>
    <n v="1602"/>
    <n v="144"/>
  </r>
  <r>
    <x v="1"/>
    <x v="1"/>
    <d v="2018-04-04T00:00:00"/>
    <x v="0"/>
    <n v="56"/>
    <n v="125"/>
    <n v="114"/>
    <n v="1603"/>
    <n v="259"/>
  </r>
  <r>
    <x v="1"/>
    <x v="1"/>
    <d v="2018-04-04T00:00:00"/>
    <x v="2"/>
    <n v="36"/>
    <n v="170"/>
    <n v="123"/>
    <n v="1604"/>
    <n v="130"/>
  </r>
  <r>
    <x v="1"/>
    <x v="1"/>
    <d v="2018-04-05T00:00:00"/>
    <x v="1"/>
    <n v="62"/>
    <n v="150"/>
    <n v="118"/>
    <n v="1608"/>
    <n v="285"/>
  </r>
  <r>
    <x v="1"/>
    <x v="1"/>
    <d v="2018-04-05T00:00:00"/>
    <x v="1"/>
    <n v="56"/>
    <n v="150"/>
    <n v="118"/>
    <n v="1607"/>
    <n v="205"/>
  </r>
  <r>
    <x v="1"/>
    <x v="1"/>
    <d v="2018-04-05T00:00:00"/>
    <x v="1"/>
    <n v="61"/>
    <n v="150"/>
    <n v="118"/>
    <n v="1606"/>
    <n v="210"/>
  </r>
  <r>
    <x v="1"/>
    <x v="1"/>
    <d v="2018-04-06T00:00:00"/>
    <x v="0"/>
    <n v="48"/>
    <n v="125"/>
    <n v="114"/>
    <n v="1615"/>
    <n v="225"/>
  </r>
  <r>
    <x v="1"/>
    <x v="1"/>
    <d v="2018-04-06T00:00:00"/>
    <x v="1"/>
    <n v="56"/>
    <n v="150"/>
    <n v="118"/>
    <n v="1616"/>
    <n v="193"/>
  </r>
  <r>
    <x v="1"/>
    <x v="1"/>
    <d v="2018-04-06T00:00:00"/>
    <x v="0"/>
    <n v="34"/>
    <n v="125"/>
    <n v="114"/>
    <n v="1614"/>
    <n v="120"/>
  </r>
  <r>
    <x v="1"/>
    <x v="1"/>
    <d v="2018-04-06T00:00:00"/>
    <x v="2"/>
    <n v="33"/>
    <n v="170"/>
    <n v="123"/>
    <n v="1613"/>
    <n v="117"/>
  </r>
  <r>
    <x v="1"/>
    <x v="1"/>
    <d v="2018-04-06T00:00:00"/>
    <x v="1"/>
    <n v="38"/>
    <n v="150"/>
    <n v="118"/>
    <n v="1612"/>
    <n v="137"/>
  </r>
  <r>
    <x v="1"/>
    <x v="1"/>
    <d v="2018-04-06T00:00:00"/>
    <x v="0"/>
    <n v="51"/>
    <n v="125"/>
    <n v="114"/>
    <n v="1611"/>
    <n v="187"/>
  </r>
  <r>
    <x v="1"/>
    <x v="1"/>
    <d v="2018-04-06T00:00:00"/>
    <x v="1"/>
    <n v="63"/>
    <n v="150"/>
    <n v="118"/>
    <n v="1610"/>
    <n v="220"/>
  </r>
  <r>
    <x v="1"/>
    <x v="1"/>
    <d v="2018-04-06T00:00:00"/>
    <x v="2"/>
    <n v="51"/>
    <n v="170"/>
    <n v="123"/>
    <n v="1609"/>
    <n v="178"/>
  </r>
  <r>
    <x v="1"/>
    <x v="1"/>
    <d v="2018-04-09T00:00:00"/>
    <x v="0"/>
    <n v="49"/>
    <n v="125"/>
    <n v="114"/>
    <n v="1618"/>
    <n v="172"/>
  </r>
  <r>
    <x v="1"/>
    <x v="1"/>
    <d v="2018-04-09T00:00:00"/>
    <x v="2"/>
    <n v="35"/>
    <n v="170"/>
    <n v="123"/>
    <n v="1619"/>
    <n v="162"/>
  </r>
  <r>
    <x v="1"/>
    <x v="1"/>
    <d v="2018-04-09T00:00:00"/>
    <x v="0"/>
    <n v="51"/>
    <n v="125"/>
    <n v="114"/>
    <n v="1620"/>
    <n v="175"/>
  </r>
  <r>
    <x v="1"/>
    <x v="1"/>
    <d v="2018-04-09T00:00:00"/>
    <x v="0"/>
    <n v="54"/>
    <n v="125"/>
    <n v="114"/>
    <n v="1621"/>
    <n v="189"/>
  </r>
  <r>
    <x v="1"/>
    <x v="1"/>
    <d v="2018-04-09T00:00:00"/>
    <x v="1"/>
    <n v="45"/>
    <n v="150"/>
    <n v="118"/>
    <n v="1622"/>
    <n v="166"/>
  </r>
  <r>
    <x v="1"/>
    <x v="1"/>
    <d v="2018-04-09T00:00:00"/>
    <x v="1"/>
    <n v="54"/>
    <n v="150"/>
    <n v="118"/>
    <n v="1617"/>
    <n v="187"/>
  </r>
  <r>
    <x v="1"/>
    <x v="1"/>
    <d v="2018-04-10T00:00:00"/>
    <x v="2"/>
    <n v="45"/>
    <n v="170"/>
    <n v="123"/>
    <n v="1623"/>
    <n v="166"/>
  </r>
  <r>
    <x v="1"/>
    <x v="1"/>
    <d v="2018-04-11T00:00:00"/>
    <x v="1"/>
    <n v="62"/>
    <n v="150"/>
    <n v="118"/>
    <n v="1625"/>
    <n v="223"/>
  </r>
  <r>
    <x v="1"/>
    <x v="1"/>
    <d v="2018-04-11T00:00:00"/>
    <x v="0"/>
    <n v="35"/>
    <n v="125"/>
    <n v="114"/>
    <n v="1626"/>
    <n v="127"/>
  </r>
  <r>
    <x v="1"/>
    <x v="1"/>
    <d v="2018-04-11T00:00:00"/>
    <x v="2"/>
    <n v="53"/>
    <n v="170"/>
    <n v="123"/>
    <n v="1624"/>
    <n v="183"/>
  </r>
  <r>
    <x v="1"/>
    <x v="1"/>
    <d v="2018-04-11T00:00:00"/>
    <x v="1"/>
    <n v="53"/>
    <n v="150"/>
    <n v="118"/>
    <n v="1627"/>
    <n v="189"/>
  </r>
  <r>
    <x v="1"/>
    <x v="1"/>
    <d v="2018-04-12T00:00:00"/>
    <x v="2"/>
    <n v="34"/>
    <n v="170"/>
    <n v="123"/>
    <n v="1628"/>
    <n v="159"/>
  </r>
  <r>
    <x v="1"/>
    <x v="1"/>
    <d v="2018-04-12T00:00:00"/>
    <x v="0"/>
    <n v="44"/>
    <n v="125"/>
    <n v="114"/>
    <n v="1629"/>
    <n v="155"/>
  </r>
  <r>
    <x v="1"/>
    <x v="1"/>
    <d v="2018-04-13T00:00:00"/>
    <x v="2"/>
    <n v="37"/>
    <n v="170"/>
    <n v="123"/>
    <n v="1634"/>
    <n v="128"/>
  </r>
  <r>
    <x v="1"/>
    <x v="1"/>
    <d v="2018-04-13T00:00:00"/>
    <x v="0"/>
    <n v="51"/>
    <n v="125"/>
    <n v="114"/>
    <n v="1635"/>
    <n v="177"/>
  </r>
  <r>
    <x v="1"/>
    <x v="1"/>
    <d v="2018-04-13T00:00:00"/>
    <x v="0"/>
    <n v="46"/>
    <n v="125"/>
    <n v="114"/>
    <n v="1633"/>
    <n v="165"/>
  </r>
  <r>
    <x v="1"/>
    <x v="1"/>
    <d v="2018-04-13T00:00:00"/>
    <x v="2"/>
    <n v="43"/>
    <n v="170"/>
    <n v="123"/>
    <n v="1632"/>
    <n v="149"/>
  </r>
  <r>
    <x v="1"/>
    <x v="1"/>
    <d v="2018-04-13T00:00:00"/>
    <x v="1"/>
    <n v="52"/>
    <n v="150"/>
    <n v="118"/>
    <n v="1631"/>
    <n v="184"/>
  </r>
  <r>
    <x v="1"/>
    <x v="1"/>
    <d v="2018-04-13T00:00:00"/>
    <x v="2"/>
    <n v="31"/>
    <n v="170"/>
    <n v="123"/>
    <n v="1630"/>
    <n v="106"/>
  </r>
  <r>
    <x v="1"/>
    <x v="1"/>
    <d v="2018-04-13T00:00:00"/>
    <x v="0"/>
    <n v="53"/>
    <n v="125"/>
    <n v="114"/>
    <n v="1636"/>
    <n v="193"/>
  </r>
  <r>
    <x v="1"/>
    <x v="1"/>
    <d v="2018-04-16T00:00:00"/>
    <x v="0"/>
    <n v="51"/>
    <n v="125"/>
    <n v="114"/>
    <n v="1641"/>
    <n v="181"/>
  </r>
  <r>
    <x v="1"/>
    <x v="1"/>
    <d v="2018-04-16T00:00:00"/>
    <x v="0"/>
    <n v="48"/>
    <n v="125"/>
    <n v="114"/>
    <n v="1637"/>
    <n v="169"/>
  </r>
  <r>
    <x v="1"/>
    <x v="1"/>
    <d v="2018-04-16T00:00:00"/>
    <x v="0"/>
    <n v="49"/>
    <n v="125"/>
    <n v="114"/>
    <n v="1638"/>
    <n v="178"/>
  </r>
  <r>
    <x v="1"/>
    <x v="1"/>
    <d v="2018-04-16T00:00:00"/>
    <x v="1"/>
    <n v="52"/>
    <n v="150"/>
    <n v="118"/>
    <n v="1639"/>
    <n v="187"/>
  </r>
  <r>
    <x v="1"/>
    <x v="1"/>
    <d v="2018-04-16T00:00:00"/>
    <x v="2"/>
    <n v="54"/>
    <n v="170"/>
    <n v="123"/>
    <n v="1640"/>
    <n v="187"/>
  </r>
  <r>
    <x v="1"/>
    <x v="1"/>
    <d v="2018-04-17T00:00:00"/>
    <x v="0"/>
    <n v="53"/>
    <n v="125"/>
    <n v="114"/>
    <n v="1648"/>
    <n v="184"/>
  </r>
  <r>
    <x v="1"/>
    <x v="1"/>
    <d v="2018-04-17T00:00:00"/>
    <x v="2"/>
    <n v="43"/>
    <n v="170"/>
    <n v="123"/>
    <n v="1647"/>
    <n v="150"/>
  </r>
  <r>
    <x v="1"/>
    <x v="1"/>
    <d v="2018-04-17T00:00:00"/>
    <x v="0"/>
    <n v="35"/>
    <n v="125"/>
    <n v="114"/>
    <n v="1646"/>
    <n v="164"/>
  </r>
  <r>
    <x v="1"/>
    <x v="1"/>
    <d v="2018-04-17T00:00:00"/>
    <x v="2"/>
    <n v="47"/>
    <n v="170"/>
    <n v="123"/>
    <n v="1644"/>
    <n v="164"/>
  </r>
  <r>
    <x v="1"/>
    <x v="1"/>
    <d v="2018-04-17T00:00:00"/>
    <x v="0"/>
    <n v="54"/>
    <n v="125"/>
    <n v="114"/>
    <n v="1642"/>
    <n v="192"/>
  </r>
  <r>
    <x v="1"/>
    <x v="1"/>
    <d v="2018-04-17T00:00:00"/>
    <x v="0"/>
    <n v="35"/>
    <n v="125"/>
    <n v="114"/>
    <n v="1643"/>
    <n v="121"/>
  </r>
  <r>
    <x v="1"/>
    <x v="1"/>
    <d v="2018-04-17T00:00:00"/>
    <x v="1"/>
    <n v="39"/>
    <n v="150"/>
    <n v="118"/>
    <n v="1645"/>
    <n v="137"/>
  </r>
  <r>
    <x v="1"/>
    <x v="1"/>
    <d v="2018-04-18T00:00:00"/>
    <x v="1"/>
    <n v="57"/>
    <n v="150"/>
    <n v="118"/>
    <n v="1652"/>
    <n v="263"/>
  </r>
  <r>
    <x v="1"/>
    <x v="1"/>
    <d v="2018-04-18T00:00:00"/>
    <x v="0"/>
    <n v="43"/>
    <n v="125"/>
    <n v="114"/>
    <n v="1653"/>
    <n v="155"/>
  </r>
  <r>
    <x v="1"/>
    <x v="1"/>
    <d v="2018-04-18T00:00:00"/>
    <x v="2"/>
    <n v="28"/>
    <n v="170"/>
    <n v="123"/>
    <n v="1651"/>
    <n v="101"/>
  </r>
  <r>
    <x v="1"/>
    <x v="1"/>
    <d v="2018-04-18T00:00:00"/>
    <x v="0"/>
    <n v="55"/>
    <n v="125"/>
    <n v="114"/>
    <n v="1650"/>
    <n v="192"/>
  </r>
  <r>
    <x v="1"/>
    <x v="1"/>
    <d v="2018-04-18T00:00:00"/>
    <x v="2"/>
    <n v="46"/>
    <n v="170"/>
    <n v="123"/>
    <n v="1649"/>
    <n v="165"/>
  </r>
  <r>
    <x v="1"/>
    <x v="1"/>
    <d v="2018-04-18T00:00:00"/>
    <x v="1"/>
    <n v="51"/>
    <n v="150"/>
    <n v="118"/>
    <n v="1654"/>
    <n v="177"/>
  </r>
  <r>
    <x v="1"/>
    <x v="1"/>
    <d v="2018-04-19T00:00:00"/>
    <x v="2"/>
    <n v="46"/>
    <n v="170"/>
    <n v="123"/>
    <n v="1655"/>
    <n v="166"/>
  </r>
  <r>
    <x v="1"/>
    <x v="1"/>
    <d v="2018-04-19T00:00:00"/>
    <x v="0"/>
    <n v="57"/>
    <n v="125"/>
    <n v="114"/>
    <n v="1656"/>
    <n v="205"/>
  </r>
  <r>
    <x v="1"/>
    <x v="1"/>
    <d v="2018-04-19T00:00:00"/>
    <x v="0"/>
    <n v="50"/>
    <n v="125"/>
    <n v="114"/>
    <n v="1657"/>
    <n v="183"/>
  </r>
  <r>
    <x v="1"/>
    <x v="1"/>
    <d v="2018-04-20T00:00:00"/>
    <x v="2"/>
    <n v="29"/>
    <n v="170"/>
    <n v="123"/>
    <n v="1660"/>
    <n v="106"/>
  </r>
  <r>
    <x v="1"/>
    <x v="1"/>
    <d v="2018-04-20T00:00:00"/>
    <x v="2"/>
    <n v="49"/>
    <n v="170"/>
    <n v="123"/>
    <n v="1663"/>
    <n v="229"/>
  </r>
  <r>
    <x v="1"/>
    <x v="1"/>
    <d v="2018-04-20T00:00:00"/>
    <x v="0"/>
    <n v="46"/>
    <n v="125"/>
    <n v="114"/>
    <n v="1661"/>
    <n v="161"/>
  </r>
  <r>
    <x v="1"/>
    <x v="1"/>
    <d v="2018-04-20T00:00:00"/>
    <x v="2"/>
    <n v="40"/>
    <n v="170"/>
    <n v="123"/>
    <n v="1658"/>
    <n v="145"/>
  </r>
  <r>
    <x v="1"/>
    <x v="1"/>
    <d v="2018-04-20T00:00:00"/>
    <x v="2"/>
    <n v="52"/>
    <n v="170"/>
    <n v="123"/>
    <n v="1662"/>
    <n v="179"/>
  </r>
  <r>
    <x v="1"/>
    <x v="1"/>
    <d v="2018-04-20T00:00:00"/>
    <x v="1"/>
    <n v="56"/>
    <n v="150"/>
    <n v="118"/>
    <n v="1659"/>
    <n v="197"/>
  </r>
  <r>
    <x v="1"/>
    <x v="1"/>
    <d v="2018-04-23T00:00:00"/>
    <x v="1"/>
    <n v="39"/>
    <n v="150"/>
    <n v="118"/>
    <n v="1668"/>
    <n v="135"/>
  </r>
  <r>
    <x v="1"/>
    <x v="1"/>
    <d v="2018-04-23T00:00:00"/>
    <x v="0"/>
    <n v="42"/>
    <n v="125"/>
    <n v="114"/>
    <n v="1669"/>
    <n v="144"/>
  </r>
  <r>
    <x v="1"/>
    <x v="1"/>
    <d v="2018-04-23T00:00:00"/>
    <x v="2"/>
    <n v="41"/>
    <n v="170"/>
    <n v="123"/>
    <n v="1667"/>
    <n v="146"/>
  </r>
  <r>
    <x v="1"/>
    <x v="1"/>
    <d v="2018-04-23T00:00:00"/>
    <x v="1"/>
    <n v="45"/>
    <n v="150"/>
    <n v="118"/>
    <n v="1666"/>
    <n v="165"/>
  </r>
  <r>
    <x v="1"/>
    <x v="1"/>
    <d v="2018-04-23T00:00:00"/>
    <x v="0"/>
    <n v="39"/>
    <n v="125"/>
    <n v="114"/>
    <n v="1665"/>
    <n v="139"/>
  </r>
  <r>
    <x v="1"/>
    <x v="1"/>
    <d v="2018-04-23T00:00:00"/>
    <x v="1"/>
    <n v="53"/>
    <n v="150"/>
    <n v="118"/>
    <n v="1664"/>
    <n v="190"/>
  </r>
  <r>
    <x v="1"/>
    <x v="1"/>
    <d v="2018-04-24T00:00:00"/>
    <x v="2"/>
    <n v="50"/>
    <n v="170"/>
    <n v="123"/>
    <n v="1671"/>
    <n v="182"/>
  </r>
  <r>
    <x v="1"/>
    <x v="1"/>
    <d v="2018-04-24T00:00:00"/>
    <x v="2"/>
    <n v="46"/>
    <n v="170"/>
    <n v="123"/>
    <n v="1672"/>
    <n v="163"/>
  </r>
  <r>
    <x v="1"/>
    <x v="1"/>
    <d v="2018-04-24T00:00:00"/>
    <x v="1"/>
    <n v="61"/>
    <n v="150"/>
    <n v="118"/>
    <n v="1673"/>
    <n v="219"/>
  </r>
  <r>
    <x v="1"/>
    <x v="1"/>
    <d v="2018-04-24T00:00:00"/>
    <x v="0"/>
    <n v="58"/>
    <n v="125"/>
    <n v="114"/>
    <n v="1670"/>
    <n v="200"/>
  </r>
  <r>
    <x v="1"/>
    <x v="1"/>
    <d v="2018-04-25T00:00:00"/>
    <x v="1"/>
    <n v="49"/>
    <n v="150"/>
    <n v="118"/>
    <n v="1677"/>
    <n v="172"/>
  </r>
  <r>
    <x v="1"/>
    <x v="1"/>
    <d v="2018-04-25T00:00:00"/>
    <x v="1"/>
    <n v="58"/>
    <n v="150"/>
    <n v="118"/>
    <n v="1674"/>
    <n v="209"/>
  </r>
  <r>
    <x v="1"/>
    <x v="1"/>
    <d v="2018-04-25T00:00:00"/>
    <x v="0"/>
    <n v="54"/>
    <n v="125"/>
    <n v="114"/>
    <n v="1675"/>
    <n v="196"/>
  </r>
  <r>
    <x v="1"/>
    <x v="1"/>
    <d v="2018-04-25T00:00:00"/>
    <x v="2"/>
    <n v="43"/>
    <n v="170"/>
    <n v="123"/>
    <n v="1676"/>
    <n v="158"/>
  </r>
  <r>
    <x v="1"/>
    <x v="1"/>
    <d v="2018-04-26T00:00:00"/>
    <x v="1"/>
    <n v="61"/>
    <n v="150"/>
    <n v="118"/>
    <n v="1678"/>
    <n v="211"/>
  </r>
  <r>
    <x v="1"/>
    <x v="1"/>
    <d v="2018-04-27T00:00:00"/>
    <x v="2"/>
    <n v="43"/>
    <n v="170"/>
    <n v="123"/>
    <n v="1679"/>
    <n v="150"/>
  </r>
  <r>
    <x v="1"/>
    <x v="1"/>
    <d v="2018-04-30T00:00:00"/>
    <x v="0"/>
    <n v="55"/>
    <n v="125"/>
    <n v="114"/>
    <n v="1680"/>
    <n v="198"/>
  </r>
  <r>
    <x v="1"/>
    <x v="1"/>
    <d v="2018-05-01T00:00:00"/>
    <x v="0"/>
    <n v="44"/>
    <n v="125"/>
    <n v="114"/>
    <n v="1681"/>
    <n v="154"/>
  </r>
  <r>
    <x v="1"/>
    <x v="1"/>
    <d v="2018-05-01T00:00:00"/>
    <x v="1"/>
    <n v="57"/>
    <n v="150"/>
    <n v="118"/>
    <n v="1682"/>
    <n v="201"/>
  </r>
  <r>
    <x v="1"/>
    <x v="1"/>
    <d v="2018-05-01T00:00:00"/>
    <x v="0"/>
    <n v="39"/>
    <n v="125"/>
    <n v="114"/>
    <n v="1683"/>
    <n v="143"/>
  </r>
  <r>
    <x v="1"/>
    <x v="1"/>
    <d v="2018-05-01T00:00:00"/>
    <x v="2"/>
    <n v="41"/>
    <n v="170"/>
    <n v="123"/>
    <n v="1684"/>
    <n v="142"/>
  </r>
  <r>
    <x v="1"/>
    <x v="1"/>
    <d v="2018-05-01T00:00:00"/>
    <x v="2"/>
    <n v="34"/>
    <n v="170"/>
    <n v="123"/>
    <n v="1685"/>
    <n v="124"/>
  </r>
  <r>
    <x v="1"/>
    <x v="1"/>
    <d v="2018-05-02T00:00:00"/>
    <x v="0"/>
    <n v="44"/>
    <n v="125"/>
    <n v="114"/>
    <n v="1687"/>
    <n v="166"/>
  </r>
  <r>
    <x v="1"/>
    <x v="1"/>
    <d v="2018-05-02T00:00:00"/>
    <x v="2"/>
    <n v="44"/>
    <n v="170"/>
    <n v="123"/>
    <n v="1690"/>
    <n v="161"/>
  </r>
  <r>
    <x v="1"/>
    <x v="1"/>
    <d v="2018-05-02T00:00:00"/>
    <x v="1"/>
    <n v="56"/>
    <n v="150"/>
    <n v="118"/>
    <n v="1688"/>
    <n v="201"/>
  </r>
  <r>
    <x v="1"/>
    <x v="1"/>
    <d v="2018-05-02T00:00:00"/>
    <x v="2"/>
    <n v="49"/>
    <n v="170"/>
    <n v="123"/>
    <n v="1687"/>
    <n v="176"/>
  </r>
  <r>
    <x v="1"/>
    <x v="1"/>
    <d v="2018-05-02T00:00:00"/>
    <x v="2"/>
    <n v="43"/>
    <n v="170"/>
    <n v="123"/>
    <n v="1689"/>
    <n v="154"/>
  </r>
  <r>
    <x v="1"/>
    <x v="1"/>
    <d v="2018-05-03T00:00:00"/>
    <x v="0"/>
    <n v="37"/>
    <n v="125"/>
    <n v="114"/>
    <n v="1691"/>
    <n v="132"/>
  </r>
  <r>
    <x v="1"/>
    <x v="1"/>
    <d v="2018-05-03T00:00:00"/>
    <x v="1"/>
    <n v="51"/>
    <n v="150"/>
    <n v="118"/>
    <n v="1692"/>
    <n v="175"/>
  </r>
  <r>
    <x v="1"/>
    <x v="1"/>
    <d v="2018-05-03T00:00:00"/>
    <x v="0"/>
    <n v="55"/>
    <n v="125"/>
    <n v="114"/>
    <n v="1693"/>
    <n v="195"/>
  </r>
  <r>
    <x v="1"/>
    <x v="1"/>
    <d v="2018-05-03T00:00:00"/>
    <x v="2"/>
    <n v="54"/>
    <n v="170"/>
    <n v="123"/>
    <n v="1694"/>
    <n v="191"/>
  </r>
  <r>
    <x v="1"/>
    <x v="1"/>
    <d v="2018-05-04T00:00:00"/>
    <x v="2"/>
    <n v="54"/>
    <n v="170"/>
    <n v="123"/>
    <n v="1695"/>
    <n v="249"/>
  </r>
  <r>
    <x v="1"/>
    <x v="1"/>
    <d v="2018-05-04T00:00:00"/>
    <x v="0"/>
    <n v="40"/>
    <n v="125"/>
    <n v="114"/>
    <n v="1699"/>
    <n v="140"/>
  </r>
  <r>
    <x v="1"/>
    <x v="1"/>
    <d v="2018-05-04T00:00:00"/>
    <x v="2"/>
    <n v="41"/>
    <n v="170"/>
    <n v="123"/>
    <n v="1698"/>
    <n v="144"/>
  </r>
  <r>
    <x v="1"/>
    <x v="1"/>
    <d v="2018-05-04T00:00:00"/>
    <x v="0"/>
    <n v="48"/>
    <n v="125"/>
    <n v="114"/>
    <n v="1697"/>
    <n v="169"/>
  </r>
  <r>
    <x v="1"/>
    <x v="1"/>
    <d v="2018-05-04T00:00:00"/>
    <x v="0"/>
    <n v="44"/>
    <n v="125"/>
    <n v="114"/>
    <n v="1696"/>
    <n v="153"/>
  </r>
  <r>
    <x v="1"/>
    <x v="1"/>
    <d v="2018-05-07T00:00:00"/>
    <x v="0"/>
    <n v="47"/>
    <n v="125"/>
    <n v="114"/>
    <n v="1700"/>
    <n v="171"/>
  </r>
  <r>
    <x v="1"/>
    <x v="1"/>
    <d v="2018-05-07T00:00:00"/>
    <x v="2"/>
    <n v="53"/>
    <n v="170"/>
    <n v="123"/>
    <n v="1701"/>
    <n v="183"/>
  </r>
  <r>
    <x v="1"/>
    <x v="1"/>
    <d v="2018-05-07T00:00:00"/>
    <x v="2"/>
    <n v="47"/>
    <n v="170"/>
    <n v="123"/>
    <n v="1702"/>
    <n v="175"/>
  </r>
  <r>
    <x v="1"/>
    <x v="1"/>
    <d v="2018-05-08T00:00:00"/>
    <x v="2"/>
    <n v="51"/>
    <n v="170"/>
    <n v="123"/>
    <n v="1705"/>
    <n v="186"/>
  </r>
  <r>
    <x v="1"/>
    <x v="1"/>
    <d v="2018-05-08T00:00:00"/>
    <x v="1"/>
    <n v="45"/>
    <n v="150"/>
    <n v="118"/>
    <n v="1709"/>
    <n v="162"/>
  </r>
  <r>
    <x v="1"/>
    <x v="1"/>
    <d v="2018-05-08T00:00:00"/>
    <x v="1"/>
    <n v="39"/>
    <n v="150"/>
    <n v="118"/>
    <n v="1708"/>
    <n v="142"/>
  </r>
  <r>
    <x v="1"/>
    <x v="1"/>
    <d v="2018-05-08T00:00:00"/>
    <x v="2"/>
    <n v="40"/>
    <n v="170"/>
    <n v="123"/>
    <n v="1706"/>
    <n v="138"/>
  </r>
  <r>
    <x v="1"/>
    <x v="1"/>
    <d v="2018-05-08T00:00:00"/>
    <x v="1"/>
    <n v="56"/>
    <n v="150"/>
    <n v="118"/>
    <n v="1704"/>
    <n v="199"/>
  </r>
  <r>
    <x v="1"/>
    <x v="1"/>
    <d v="2018-05-08T00:00:00"/>
    <x v="1"/>
    <n v="47"/>
    <n v="150"/>
    <n v="118"/>
    <n v="1703"/>
    <n v="173"/>
  </r>
  <r>
    <x v="1"/>
    <x v="1"/>
    <d v="2018-05-08T00:00:00"/>
    <x v="1"/>
    <n v="59"/>
    <n v="150"/>
    <n v="118"/>
    <n v="1707"/>
    <n v="212"/>
  </r>
  <r>
    <x v="1"/>
    <x v="1"/>
    <d v="2018-05-09T00:00:00"/>
    <x v="0"/>
    <n v="38"/>
    <n v="125"/>
    <n v="114"/>
    <n v="1713"/>
    <n v="175"/>
  </r>
  <r>
    <x v="1"/>
    <x v="1"/>
    <d v="2018-05-09T00:00:00"/>
    <x v="1"/>
    <n v="55"/>
    <n v="150"/>
    <n v="118"/>
    <n v="1716"/>
    <n v="193"/>
  </r>
  <r>
    <x v="1"/>
    <x v="1"/>
    <d v="2018-05-09T00:00:00"/>
    <x v="0"/>
    <n v="59"/>
    <n v="125"/>
    <n v="114"/>
    <n v="1717"/>
    <n v="216"/>
  </r>
  <r>
    <x v="1"/>
    <x v="1"/>
    <d v="2018-05-09T00:00:00"/>
    <x v="1"/>
    <n v="63"/>
    <n v="150"/>
    <n v="118"/>
    <n v="1714"/>
    <n v="226"/>
  </r>
  <r>
    <x v="1"/>
    <x v="1"/>
    <d v="2018-05-09T00:00:00"/>
    <x v="2"/>
    <n v="42"/>
    <n v="170"/>
    <n v="123"/>
    <n v="1711"/>
    <n v="193"/>
  </r>
  <r>
    <x v="1"/>
    <x v="1"/>
    <d v="2018-05-09T00:00:00"/>
    <x v="0"/>
    <n v="40"/>
    <n v="125"/>
    <n v="114"/>
    <n v="1710"/>
    <n v="142"/>
  </r>
  <r>
    <x v="1"/>
    <x v="1"/>
    <d v="2018-05-09T00:00:00"/>
    <x v="2"/>
    <n v="45"/>
    <n v="170"/>
    <n v="123"/>
    <n v="1715"/>
    <n v="154"/>
  </r>
  <r>
    <x v="1"/>
    <x v="1"/>
    <d v="2018-05-09T00:00:00"/>
    <x v="2"/>
    <n v="46"/>
    <n v="170"/>
    <n v="123"/>
    <n v="1712"/>
    <n v="166"/>
  </r>
  <r>
    <x v="1"/>
    <x v="1"/>
    <d v="2018-05-10T00:00:00"/>
    <x v="2"/>
    <n v="43"/>
    <n v="170"/>
    <n v="123"/>
    <n v="1718"/>
    <n v="154"/>
  </r>
  <r>
    <x v="1"/>
    <x v="1"/>
    <d v="2018-05-10T00:00:00"/>
    <x v="2"/>
    <n v="39"/>
    <n v="170"/>
    <n v="123"/>
    <n v="1719"/>
    <n v="143"/>
  </r>
  <r>
    <x v="1"/>
    <x v="1"/>
    <d v="2018-05-10T00:00:00"/>
    <x v="1"/>
    <n v="50"/>
    <n v="150"/>
    <n v="118"/>
    <n v="1720"/>
    <n v="176"/>
  </r>
  <r>
    <x v="1"/>
    <x v="1"/>
    <d v="2018-05-10T00:00:00"/>
    <x v="2"/>
    <n v="38"/>
    <n v="170"/>
    <n v="123"/>
    <n v="1721"/>
    <n v="133"/>
  </r>
  <r>
    <x v="1"/>
    <x v="1"/>
    <d v="2018-05-11T00:00:00"/>
    <x v="0"/>
    <n v="46"/>
    <n v="125"/>
    <n v="114"/>
    <n v="1722"/>
    <n v="167"/>
  </r>
  <r>
    <x v="1"/>
    <x v="1"/>
    <d v="2018-05-11T00:00:00"/>
    <x v="1"/>
    <n v="60"/>
    <n v="150"/>
    <n v="118"/>
    <n v="1729"/>
    <n v="280"/>
  </r>
  <r>
    <x v="1"/>
    <x v="1"/>
    <d v="2018-05-11T00:00:00"/>
    <x v="2"/>
    <n v="43"/>
    <n v="170"/>
    <n v="123"/>
    <n v="1728"/>
    <n v="158"/>
  </r>
  <r>
    <x v="1"/>
    <x v="1"/>
    <d v="2018-05-11T00:00:00"/>
    <x v="2"/>
    <n v="34"/>
    <n v="170"/>
    <n v="123"/>
    <n v="1727"/>
    <n v="121"/>
  </r>
  <r>
    <x v="1"/>
    <x v="1"/>
    <d v="2018-05-11T00:00:00"/>
    <x v="1"/>
    <n v="57"/>
    <n v="150"/>
    <n v="118"/>
    <n v="1726"/>
    <n v="202"/>
  </r>
  <r>
    <x v="1"/>
    <x v="1"/>
    <d v="2018-05-11T00:00:00"/>
    <x v="0"/>
    <n v="59"/>
    <n v="125"/>
    <n v="114"/>
    <n v="1725"/>
    <n v="210"/>
  </r>
  <r>
    <x v="1"/>
    <x v="1"/>
    <d v="2018-05-11T00:00:00"/>
    <x v="2"/>
    <n v="54"/>
    <n v="170"/>
    <n v="123"/>
    <n v="1723"/>
    <n v="248"/>
  </r>
  <r>
    <x v="1"/>
    <x v="1"/>
    <d v="2018-05-11T00:00:00"/>
    <x v="0"/>
    <n v="45"/>
    <n v="125"/>
    <n v="114"/>
    <n v="1724"/>
    <n v="162"/>
  </r>
  <r>
    <x v="1"/>
    <x v="1"/>
    <d v="2018-05-14T00:00:00"/>
    <x v="1"/>
    <n v="54"/>
    <n v="150"/>
    <n v="118"/>
    <n v="1731"/>
    <n v="194"/>
  </r>
  <r>
    <x v="1"/>
    <x v="1"/>
    <d v="2018-05-14T00:00:00"/>
    <x v="1"/>
    <n v="46"/>
    <n v="150"/>
    <n v="118"/>
    <n v="1732"/>
    <n v="165"/>
  </r>
  <r>
    <x v="1"/>
    <x v="1"/>
    <d v="2018-05-14T00:00:00"/>
    <x v="2"/>
    <n v="50"/>
    <n v="170"/>
    <n v="123"/>
    <n v="1730"/>
    <n v="184"/>
  </r>
  <r>
    <x v="1"/>
    <x v="1"/>
    <d v="2018-05-14T00:00:00"/>
    <x v="1"/>
    <n v="43"/>
    <n v="150"/>
    <n v="118"/>
    <n v="1733"/>
    <n v="156"/>
  </r>
  <r>
    <x v="1"/>
    <x v="1"/>
    <d v="2018-05-15T00:00:00"/>
    <x v="1"/>
    <n v="51"/>
    <n v="150"/>
    <n v="118"/>
    <n v="1734"/>
    <n v="186"/>
  </r>
  <r>
    <x v="1"/>
    <x v="1"/>
    <d v="2018-05-15T00:00:00"/>
    <x v="1"/>
    <n v="61"/>
    <n v="150"/>
    <n v="118"/>
    <n v="1735"/>
    <n v="210"/>
  </r>
  <r>
    <x v="1"/>
    <x v="1"/>
    <d v="2018-05-15T00:00:00"/>
    <x v="0"/>
    <n v="43"/>
    <n v="125"/>
    <n v="114"/>
    <n v="1736"/>
    <n v="148"/>
  </r>
  <r>
    <x v="1"/>
    <x v="1"/>
    <d v="2018-05-16T00:00:00"/>
    <x v="0"/>
    <n v="53"/>
    <n v="125"/>
    <n v="114"/>
    <n v="1737"/>
    <n v="192"/>
  </r>
  <r>
    <x v="1"/>
    <x v="1"/>
    <d v="2018-05-16T00:00:00"/>
    <x v="1"/>
    <n v="52"/>
    <n v="150"/>
    <n v="118"/>
    <n v="1738"/>
    <n v="183"/>
  </r>
  <r>
    <x v="1"/>
    <x v="1"/>
    <d v="2018-05-17T00:00:00"/>
    <x v="0"/>
    <n v="54"/>
    <n v="125"/>
    <n v="114"/>
    <n v="1740"/>
    <n v="191"/>
  </r>
  <r>
    <x v="1"/>
    <x v="1"/>
    <d v="2018-05-17T00:00:00"/>
    <x v="2"/>
    <n v="44"/>
    <n v="170"/>
    <n v="123"/>
    <n v="1739"/>
    <n v="158"/>
  </r>
  <r>
    <x v="1"/>
    <x v="1"/>
    <d v="2018-05-18T00:00:00"/>
    <x v="1"/>
    <n v="44"/>
    <n v="150"/>
    <n v="118"/>
    <n v="1747"/>
    <n v="153"/>
  </r>
  <r>
    <x v="1"/>
    <x v="1"/>
    <d v="2018-05-18T00:00:00"/>
    <x v="0"/>
    <n v="50"/>
    <n v="125"/>
    <n v="114"/>
    <n v="1746"/>
    <n v="180"/>
  </r>
  <r>
    <x v="1"/>
    <x v="1"/>
    <d v="2018-05-18T00:00:00"/>
    <x v="2"/>
    <n v="50"/>
    <n v="170"/>
    <n v="123"/>
    <n v="1745"/>
    <n v="232"/>
  </r>
  <r>
    <x v="1"/>
    <x v="1"/>
    <d v="2018-05-18T00:00:00"/>
    <x v="1"/>
    <n v="57"/>
    <n v="150"/>
    <n v="118"/>
    <n v="1744"/>
    <n v="202"/>
  </r>
  <r>
    <x v="1"/>
    <x v="1"/>
    <d v="2018-05-18T00:00:00"/>
    <x v="1"/>
    <n v="47"/>
    <n v="150"/>
    <n v="118"/>
    <n v="1743"/>
    <n v="173"/>
  </r>
  <r>
    <x v="1"/>
    <x v="1"/>
    <d v="2018-05-18T00:00:00"/>
    <x v="0"/>
    <n v="41"/>
    <n v="125"/>
    <n v="114"/>
    <n v="1741"/>
    <n v="189"/>
  </r>
  <r>
    <x v="1"/>
    <x v="1"/>
    <d v="2018-05-18T00:00:00"/>
    <x v="0"/>
    <n v="51"/>
    <n v="125"/>
    <n v="114"/>
    <n v="1742"/>
    <n v="178"/>
  </r>
  <r>
    <x v="1"/>
    <x v="1"/>
    <d v="2018-05-21T00:00:00"/>
    <x v="0"/>
    <n v="39"/>
    <n v="125"/>
    <n v="114"/>
    <n v="1750"/>
    <n v="140"/>
  </r>
  <r>
    <x v="1"/>
    <x v="1"/>
    <d v="2018-05-21T00:00:00"/>
    <x v="1"/>
    <n v="51"/>
    <n v="150"/>
    <n v="118"/>
    <n v="1751"/>
    <n v="239"/>
  </r>
  <r>
    <x v="1"/>
    <x v="1"/>
    <d v="2018-05-21T00:00:00"/>
    <x v="2"/>
    <n v="35"/>
    <n v="170"/>
    <n v="123"/>
    <n v="1748"/>
    <n v="164"/>
  </r>
  <r>
    <x v="1"/>
    <x v="1"/>
    <d v="2018-05-21T00:00:00"/>
    <x v="1"/>
    <n v="55"/>
    <n v="150"/>
    <n v="118"/>
    <n v="1749"/>
    <n v="197"/>
  </r>
  <r>
    <x v="1"/>
    <x v="1"/>
    <d v="2018-05-21T00:00:00"/>
    <x v="1"/>
    <n v="64"/>
    <n v="150"/>
    <n v="118"/>
    <n v="1752"/>
    <n v="236"/>
  </r>
  <r>
    <x v="1"/>
    <x v="1"/>
    <d v="2018-05-22T00:00:00"/>
    <x v="1"/>
    <n v="42"/>
    <n v="150"/>
    <n v="118"/>
    <n v="1753"/>
    <n v="195"/>
  </r>
  <r>
    <x v="1"/>
    <x v="1"/>
    <d v="2018-05-22T00:00:00"/>
    <x v="0"/>
    <n v="43"/>
    <n v="125"/>
    <n v="114"/>
    <n v="1754"/>
    <n v="148"/>
  </r>
  <r>
    <x v="1"/>
    <x v="1"/>
    <d v="2018-05-23T00:00:00"/>
    <x v="2"/>
    <n v="35"/>
    <n v="170"/>
    <n v="123"/>
    <n v="1759"/>
    <n v="124"/>
  </r>
  <r>
    <x v="1"/>
    <x v="1"/>
    <d v="2018-05-23T00:00:00"/>
    <x v="0"/>
    <n v="34"/>
    <n v="125"/>
    <n v="114"/>
    <n v="1762"/>
    <n v="120"/>
  </r>
  <r>
    <x v="1"/>
    <x v="1"/>
    <d v="2018-05-23T00:00:00"/>
    <x v="2"/>
    <n v="46"/>
    <n v="170"/>
    <n v="123"/>
    <n v="1760"/>
    <n v="159"/>
  </r>
  <r>
    <x v="1"/>
    <x v="1"/>
    <d v="2018-05-23T00:00:00"/>
    <x v="1"/>
    <n v="42"/>
    <n v="150"/>
    <n v="118"/>
    <n v="1758"/>
    <n v="148"/>
  </r>
  <r>
    <x v="1"/>
    <x v="1"/>
    <d v="2018-05-23T00:00:00"/>
    <x v="2"/>
    <n v="30"/>
    <n v="170"/>
    <n v="123"/>
    <n v="1757"/>
    <n v="108"/>
  </r>
  <r>
    <x v="1"/>
    <x v="1"/>
    <d v="2018-05-23T00:00:00"/>
    <x v="2"/>
    <n v="39"/>
    <n v="170"/>
    <n v="123"/>
    <n v="1756"/>
    <n v="140"/>
  </r>
  <r>
    <x v="1"/>
    <x v="1"/>
    <d v="2018-05-23T00:00:00"/>
    <x v="0"/>
    <n v="35"/>
    <n v="125"/>
    <n v="114"/>
    <n v="1755"/>
    <n v="128"/>
  </r>
  <r>
    <x v="1"/>
    <x v="1"/>
    <d v="2018-05-23T00:00:00"/>
    <x v="1"/>
    <n v="54"/>
    <n v="150"/>
    <n v="118"/>
    <n v="1761"/>
    <n v="196"/>
  </r>
  <r>
    <x v="1"/>
    <x v="1"/>
    <d v="2018-05-24T00:00:00"/>
    <x v="1"/>
    <n v="45"/>
    <n v="150"/>
    <n v="118"/>
    <n v="1763"/>
    <n v="161"/>
  </r>
  <r>
    <x v="1"/>
    <x v="1"/>
    <d v="2018-05-24T00:00:00"/>
    <x v="2"/>
    <n v="45"/>
    <n v="170"/>
    <n v="123"/>
    <n v="1764"/>
    <n v="161"/>
  </r>
  <r>
    <x v="1"/>
    <x v="1"/>
    <d v="2018-05-24T00:00:00"/>
    <x v="2"/>
    <n v="53"/>
    <n v="170"/>
    <n v="123"/>
    <n v="1765"/>
    <n v="187"/>
  </r>
  <r>
    <x v="1"/>
    <x v="1"/>
    <d v="2018-05-25T00:00:00"/>
    <x v="2"/>
    <n v="36"/>
    <n v="170"/>
    <n v="123"/>
    <n v="1767"/>
    <n v="130"/>
  </r>
  <r>
    <x v="1"/>
    <x v="1"/>
    <d v="2018-05-25T00:00:00"/>
    <x v="0"/>
    <n v="45"/>
    <n v="125"/>
    <n v="114"/>
    <n v="1766"/>
    <n v="164"/>
  </r>
  <r>
    <x v="1"/>
    <x v="1"/>
    <d v="2018-05-28T00:00:00"/>
    <x v="1"/>
    <n v="44"/>
    <n v="150"/>
    <n v="118"/>
    <n v="1771"/>
    <n v="167"/>
  </r>
  <r>
    <x v="1"/>
    <x v="1"/>
    <d v="2018-05-28T00:00:00"/>
    <x v="2"/>
    <n v="31"/>
    <n v="170"/>
    <n v="123"/>
    <n v="1773"/>
    <n v="114"/>
  </r>
  <r>
    <x v="1"/>
    <x v="1"/>
    <d v="2018-05-28T00:00:00"/>
    <x v="0"/>
    <n v="52"/>
    <n v="125"/>
    <n v="114"/>
    <n v="1772"/>
    <n v="189"/>
  </r>
  <r>
    <x v="1"/>
    <x v="1"/>
    <d v="2018-05-28T00:00:00"/>
    <x v="0"/>
    <n v="58"/>
    <n v="125"/>
    <n v="114"/>
    <n v="1768"/>
    <n v="203"/>
  </r>
  <r>
    <x v="1"/>
    <x v="1"/>
    <d v="2018-05-28T00:00:00"/>
    <x v="0"/>
    <n v="41"/>
    <n v="125"/>
    <n v="114"/>
    <n v="1769"/>
    <n v="151"/>
  </r>
  <r>
    <x v="1"/>
    <x v="1"/>
    <d v="2018-05-28T00:00:00"/>
    <x v="1"/>
    <n v="38"/>
    <n v="150"/>
    <n v="118"/>
    <n v="1770"/>
    <n v="133"/>
  </r>
  <r>
    <x v="1"/>
    <x v="1"/>
    <d v="2018-05-29T00:00:00"/>
    <x v="0"/>
    <n v="48"/>
    <n v="125"/>
    <n v="114"/>
    <n v="1778"/>
    <n v="175"/>
  </r>
  <r>
    <x v="1"/>
    <x v="1"/>
    <d v="2018-05-29T00:00:00"/>
    <x v="2"/>
    <n v="54"/>
    <n v="170"/>
    <n v="123"/>
    <n v="1781"/>
    <n v="187"/>
  </r>
  <r>
    <x v="1"/>
    <x v="1"/>
    <d v="2018-05-29T00:00:00"/>
    <x v="0"/>
    <n v="59"/>
    <n v="125"/>
    <n v="114"/>
    <n v="1779"/>
    <n v="276"/>
  </r>
  <r>
    <x v="1"/>
    <x v="1"/>
    <d v="2018-05-29T00:00:00"/>
    <x v="2"/>
    <n v="49"/>
    <n v="170"/>
    <n v="123"/>
    <n v="1777"/>
    <n v="181"/>
  </r>
  <r>
    <x v="1"/>
    <x v="1"/>
    <d v="2018-05-29T00:00:00"/>
    <x v="0"/>
    <n v="41"/>
    <n v="125"/>
    <n v="114"/>
    <n v="1776"/>
    <n v="147"/>
  </r>
  <r>
    <x v="1"/>
    <x v="1"/>
    <d v="2018-05-29T00:00:00"/>
    <x v="1"/>
    <n v="63"/>
    <n v="150"/>
    <n v="118"/>
    <n v="1775"/>
    <n v="223"/>
  </r>
  <r>
    <x v="1"/>
    <x v="1"/>
    <d v="2018-05-29T00:00:00"/>
    <x v="1"/>
    <n v="50"/>
    <n v="150"/>
    <n v="118"/>
    <n v="1774"/>
    <n v="172"/>
  </r>
  <r>
    <x v="1"/>
    <x v="1"/>
    <d v="2018-05-29T00:00:00"/>
    <x v="0"/>
    <n v="43"/>
    <n v="125"/>
    <n v="114"/>
    <n v="1780"/>
    <n v="199"/>
  </r>
  <r>
    <x v="1"/>
    <x v="1"/>
    <d v="2018-05-30T00:00:00"/>
    <x v="1"/>
    <n v="49"/>
    <n v="150"/>
    <n v="118"/>
    <n v="1782"/>
    <n v="172"/>
  </r>
  <r>
    <x v="1"/>
    <x v="1"/>
    <d v="2018-05-31T00:00:00"/>
    <x v="2"/>
    <n v="47"/>
    <n v="170"/>
    <n v="123"/>
    <n v="1787"/>
    <n v="171"/>
  </r>
  <r>
    <x v="1"/>
    <x v="1"/>
    <d v="2018-05-31T00:00:00"/>
    <x v="1"/>
    <n v="39"/>
    <n v="150"/>
    <n v="118"/>
    <n v="1790"/>
    <n v="140"/>
  </r>
  <r>
    <x v="1"/>
    <x v="1"/>
    <d v="2018-05-31T00:00:00"/>
    <x v="2"/>
    <n v="48"/>
    <n v="170"/>
    <n v="123"/>
    <n v="1789"/>
    <n v="166"/>
  </r>
  <r>
    <x v="1"/>
    <x v="1"/>
    <d v="2018-05-31T00:00:00"/>
    <x v="2"/>
    <n v="52"/>
    <n v="170"/>
    <n v="123"/>
    <n v="1786"/>
    <n v="179"/>
  </r>
  <r>
    <x v="1"/>
    <x v="1"/>
    <d v="2018-05-31T00:00:00"/>
    <x v="2"/>
    <n v="36"/>
    <n v="170"/>
    <n v="123"/>
    <n v="1785"/>
    <n v="126"/>
  </r>
  <r>
    <x v="1"/>
    <x v="1"/>
    <d v="2018-05-31T00:00:00"/>
    <x v="2"/>
    <n v="44"/>
    <n v="170"/>
    <n v="123"/>
    <n v="1784"/>
    <n v="166"/>
  </r>
  <r>
    <x v="1"/>
    <x v="1"/>
    <d v="2018-05-31T00:00:00"/>
    <x v="1"/>
    <n v="48"/>
    <n v="150"/>
    <n v="118"/>
    <n v="1783"/>
    <n v="173"/>
  </r>
  <r>
    <x v="1"/>
    <x v="1"/>
    <d v="2018-05-31T00:00:00"/>
    <x v="0"/>
    <n v="51"/>
    <n v="125"/>
    <n v="114"/>
    <n v="1788"/>
    <n v="177"/>
  </r>
  <r>
    <x v="1"/>
    <x v="1"/>
    <d v="2018-06-01T00:00:00"/>
    <x v="1"/>
    <n v="42"/>
    <n v="150"/>
    <n v="118"/>
    <n v="1795"/>
    <n v="150"/>
  </r>
  <r>
    <x v="1"/>
    <x v="1"/>
    <d v="2018-06-01T00:00:00"/>
    <x v="2"/>
    <n v="44"/>
    <n v="170"/>
    <n v="123"/>
    <n v="1791"/>
    <n v="161"/>
  </r>
  <r>
    <x v="1"/>
    <x v="1"/>
    <d v="2018-06-01T00:00:00"/>
    <x v="0"/>
    <n v="56"/>
    <n v="125"/>
    <n v="114"/>
    <n v="1792"/>
    <n v="204"/>
  </r>
  <r>
    <x v="1"/>
    <x v="1"/>
    <d v="2018-06-01T00:00:00"/>
    <x v="1"/>
    <n v="39"/>
    <n v="150"/>
    <n v="118"/>
    <n v="1793"/>
    <n v="135"/>
  </r>
  <r>
    <x v="1"/>
    <x v="1"/>
    <d v="2018-06-01T00:00:00"/>
    <x v="1"/>
    <n v="48"/>
    <n v="150"/>
    <n v="118"/>
    <n v="1794"/>
    <n v="173"/>
  </r>
  <r>
    <x v="1"/>
    <x v="1"/>
    <d v="2018-06-04T00:00:00"/>
    <x v="1"/>
    <n v="41"/>
    <n v="150"/>
    <n v="118"/>
    <n v="1799"/>
    <n v="145"/>
  </r>
  <r>
    <x v="1"/>
    <x v="1"/>
    <d v="2018-06-04T00:00:00"/>
    <x v="1"/>
    <n v="40"/>
    <n v="150"/>
    <n v="118"/>
    <n v="1798"/>
    <n v="146"/>
  </r>
  <r>
    <x v="1"/>
    <x v="1"/>
    <d v="2018-06-04T00:00:00"/>
    <x v="0"/>
    <n v="57"/>
    <n v="125"/>
    <n v="114"/>
    <n v="1796"/>
    <n v="204"/>
  </r>
  <r>
    <x v="1"/>
    <x v="1"/>
    <d v="2018-06-04T00:00:00"/>
    <x v="2"/>
    <n v="50"/>
    <n v="170"/>
    <n v="123"/>
    <n v="1797"/>
    <n v="175"/>
  </r>
  <r>
    <x v="1"/>
    <x v="1"/>
    <d v="2018-06-05T00:00:00"/>
    <x v="0"/>
    <n v="35"/>
    <n v="125"/>
    <n v="114"/>
    <n v="1804"/>
    <n v="123"/>
  </r>
  <r>
    <x v="1"/>
    <x v="1"/>
    <d v="2018-06-05T00:00:00"/>
    <x v="2"/>
    <n v="54"/>
    <n v="170"/>
    <n v="123"/>
    <n v="1800"/>
    <n v="194"/>
  </r>
  <r>
    <x v="1"/>
    <x v="1"/>
    <d v="2018-06-05T00:00:00"/>
    <x v="2"/>
    <n v="33"/>
    <n v="170"/>
    <n v="123"/>
    <n v="1801"/>
    <n v="118"/>
  </r>
  <r>
    <x v="1"/>
    <x v="1"/>
    <d v="2018-06-05T00:00:00"/>
    <x v="1"/>
    <n v="52"/>
    <n v="150"/>
    <n v="118"/>
    <n v="1802"/>
    <n v="190"/>
  </r>
  <r>
    <x v="1"/>
    <x v="1"/>
    <d v="2018-06-05T00:00:00"/>
    <x v="0"/>
    <n v="42"/>
    <n v="125"/>
    <n v="114"/>
    <n v="1803"/>
    <n v="151"/>
  </r>
  <r>
    <x v="1"/>
    <x v="1"/>
    <d v="2018-06-06T00:00:00"/>
    <x v="1"/>
    <n v="38"/>
    <n v="150"/>
    <n v="118"/>
    <n v="1806"/>
    <n v="135"/>
  </r>
  <r>
    <x v="1"/>
    <x v="1"/>
    <d v="2018-06-06T00:00:00"/>
    <x v="0"/>
    <n v="49"/>
    <n v="125"/>
    <n v="114"/>
    <n v="1805"/>
    <n v="180"/>
  </r>
  <r>
    <x v="1"/>
    <x v="1"/>
    <d v="2018-06-07T00:00:00"/>
    <x v="0"/>
    <n v="45"/>
    <n v="125"/>
    <n v="114"/>
    <n v="1807"/>
    <n v="158"/>
  </r>
  <r>
    <x v="1"/>
    <x v="1"/>
    <d v="2018-06-07T00:00:00"/>
    <x v="1"/>
    <n v="58"/>
    <n v="150"/>
    <n v="118"/>
    <n v="1808"/>
    <n v="205"/>
  </r>
  <r>
    <x v="1"/>
    <x v="1"/>
    <d v="2018-06-07T00:00:00"/>
    <x v="0"/>
    <n v="38"/>
    <n v="125"/>
    <n v="114"/>
    <n v="1809"/>
    <n v="139"/>
  </r>
  <r>
    <x v="1"/>
    <x v="1"/>
    <d v="2018-06-07T00:00:00"/>
    <x v="2"/>
    <n v="34"/>
    <n v="170"/>
    <n v="123"/>
    <n v="1810"/>
    <n v="117"/>
  </r>
  <r>
    <x v="1"/>
    <x v="1"/>
    <d v="2018-06-07T00:00:00"/>
    <x v="0"/>
    <n v="53"/>
    <n v="125"/>
    <n v="114"/>
    <n v="1811"/>
    <n v="197"/>
  </r>
  <r>
    <x v="1"/>
    <x v="1"/>
    <d v="2018-06-07T00:00:00"/>
    <x v="1"/>
    <n v="40"/>
    <n v="150"/>
    <n v="118"/>
    <n v="1812"/>
    <n v="144"/>
  </r>
  <r>
    <x v="1"/>
    <x v="1"/>
    <d v="2018-06-08T00:00:00"/>
    <x v="0"/>
    <n v="37"/>
    <n v="125"/>
    <n v="114"/>
    <n v="1813"/>
    <n v="130"/>
  </r>
  <r>
    <x v="1"/>
    <x v="1"/>
    <d v="2018-06-08T00:00:00"/>
    <x v="0"/>
    <n v="51"/>
    <n v="125"/>
    <n v="114"/>
    <n v="1814"/>
    <n v="187"/>
  </r>
  <r>
    <x v="1"/>
    <x v="1"/>
    <d v="2018-06-11T00:00:00"/>
    <x v="0"/>
    <n v="53"/>
    <n v="125"/>
    <n v="114"/>
    <n v="1816"/>
    <n v="249"/>
  </r>
  <r>
    <x v="1"/>
    <x v="1"/>
    <d v="2018-06-11T00:00:00"/>
    <x v="2"/>
    <n v="42"/>
    <n v="170"/>
    <n v="123"/>
    <n v="1817"/>
    <n v="147"/>
  </r>
  <r>
    <x v="1"/>
    <x v="1"/>
    <d v="2018-06-11T00:00:00"/>
    <x v="2"/>
    <n v="28"/>
    <n v="170"/>
    <n v="123"/>
    <n v="1818"/>
    <n v="105"/>
  </r>
  <r>
    <x v="1"/>
    <x v="1"/>
    <d v="2018-06-11T00:00:00"/>
    <x v="0"/>
    <n v="47"/>
    <n v="125"/>
    <n v="114"/>
    <n v="1819"/>
    <n v="172"/>
  </r>
  <r>
    <x v="1"/>
    <x v="1"/>
    <d v="2018-06-11T00:00:00"/>
    <x v="1"/>
    <n v="40"/>
    <n v="150"/>
    <n v="118"/>
    <n v="1820"/>
    <n v="140"/>
  </r>
  <r>
    <x v="1"/>
    <x v="1"/>
    <d v="2018-06-11T00:00:00"/>
    <x v="2"/>
    <n v="40"/>
    <n v="170"/>
    <n v="123"/>
    <n v="1815"/>
    <n v="139"/>
  </r>
  <r>
    <x v="1"/>
    <x v="1"/>
    <d v="2018-06-12T00:00:00"/>
    <x v="2"/>
    <n v="44"/>
    <n v="170"/>
    <n v="123"/>
    <n v="1822"/>
    <n v="161"/>
  </r>
  <r>
    <x v="1"/>
    <x v="1"/>
    <d v="2018-06-12T00:00:00"/>
    <x v="2"/>
    <n v="41"/>
    <n v="170"/>
    <n v="123"/>
    <n v="1826"/>
    <n v="143"/>
  </r>
  <r>
    <x v="1"/>
    <x v="1"/>
    <d v="2018-06-12T00:00:00"/>
    <x v="1"/>
    <n v="63"/>
    <n v="150"/>
    <n v="118"/>
    <n v="1825"/>
    <n v="291"/>
  </r>
  <r>
    <x v="1"/>
    <x v="1"/>
    <d v="2018-06-12T00:00:00"/>
    <x v="2"/>
    <n v="46"/>
    <n v="170"/>
    <n v="123"/>
    <n v="1823"/>
    <n v="215"/>
  </r>
  <r>
    <x v="1"/>
    <x v="1"/>
    <d v="2018-06-12T00:00:00"/>
    <x v="0"/>
    <n v="38"/>
    <n v="125"/>
    <n v="114"/>
    <n v="1821"/>
    <n v="141"/>
  </r>
  <r>
    <x v="1"/>
    <x v="1"/>
    <d v="2018-06-12T00:00:00"/>
    <x v="0"/>
    <n v="44"/>
    <n v="125"/>
    <n v="114"/>
    <n v="1824"/>
    <n v="151"/>
  </r>
  <r>
    <x v="1"/>
    <x v="1"/>
    <d v="2018-06-13T00:00:00"/>
    <x v="0"/>
    <n v="40"/>
    <n v="125"/>
    <n v="114"/>
    <n v="1827"/>
    <n v="143"/>
  </r>
  <r>
    <x v="1"/>
    <x v="1"/>
    <d v="2018-06-14T00:00:00"/>
    <x v="2"/>
    <n v="29"/>
    <n v="170"/>
    <n v="123"/>
    <n v="1828"/>
    <n v="100"/>
  </r>
  <r>
    <x v="1"/>
    <x v="1"/>
    <d v="2018-06-14T00:00:00"/>
    <x v="0"/>
    <n v="49"/>
    <n v="125"/>
    <n v="114"/>
    <n v="1829"/>
    <n v="176"/>
  </r>
  <r>
    <x v="1"/>
    <x v="1"/>
    <d v="2018-06-15T00:00:00"/>
    <x v="2"/>
    <n v="38"/>
    <n v="170"/>
    <n v="123"/>
    <n v="1831"/>
    <n v="130"/>
  </r>
  <r>
    <x v="1"/>
    <x v="1"/>
    <d v="2018-06-15T00:00:00"/>
    <x v="1"/>
    <n v="39"/>
    <n v="150"/>
    <n v="118"/>
    <n v="1830"/>
    <n v="144"/>
  </r>
  <r>
    <x v="1"/>
    <x v="1"/>
    <d v="2018-06-18T00:00:00"/>
    <x v="0"/>
    <n v="45"/>
    <n v="125"/>
    <n v="114"/>
    <n v="1836"/>
    <n v="158"/>
  </r>
  <r>
    <x v="1"/>
    <x v="1"/>
    <d v="2018-06-18T00:00:00"/>
    <x v="0"/>
    <n v="49"/>
    <n v="125"/>
    <n v="114"/>
    <n v="1835"/>
    <n v="175"/>
  </r>
  <r>
    <x v="1"/>
    <x v="1"/>
    <d v="2018-06-18T00:00:00"/>
    <x v="2"/>
    <n v="54"/>
    <n v="170"/>
    <n v="123"/>
    <n v="1834"/>
    <n v="202"/>
  </r>
  <r>
    <x v="1"/>
    <x v="1"/>
    <d v="2018-06-18T00:00:00"/>
    <x v="2"/>
    <n v="28"/>
    <n v="170"/>
    <n v="123"/>
    <n v="1832"/>
    <n v="103"/>
  </r>
  <r>
    <x v="1"/>
    <x v="1"/>
    <d v="2018-06-18T00:00:00"/>
    <x v="2"/>
    <n v="37"/>
    <n v="170"/>
    <n v="123"/>
    <n v="1833"/>
    <n v="171"/>
  </r>
  <r>
    <x v="1"/>
    <x v="1"/>
    <d v="2018-06-19T00:00:00"/>
    <x v="2"/>
    <n v="50"/>
    <n v="170"/>
    <n v="123"/>
    <n v="1841"/>
    <n v="184"/>
  </r>
  <r>
    <x v="1"/>
    <x v="1"/>
    <d v="2018-06-19T00:00:00"/>
    <x v="0"/>
    <n v="46"/>
    <n v="125"/>
    <n v="114"/>
    <n v="1842"/>
    <n v="169"/>
  </r>
  <r>
    <x v="1"/>
    <x v="1"/>
    <d v="2018-06-19T00:00:00"/>
    <x v="1"/>
    <n v="44"/>
    <n v="150"/>
    <n v="118"/>
    <n v="1843"/>
    <n v="162"/>
  </r>
  <r>
    <x v="1"/>
    <x v="1"/>
    <d v="2018-06-19T00:00:00"/>
    <x v="0"/>
    <n v="39"/>
    <n v="125"/>
    <n v="114"/>
    <n v="1839"/>
    <n v="138"/>
  </r>
  <r>
    <x v="1"/>
    <x v="1"/>
    <d v="2018-06-19T00:00:00"/>
    <x v="1"/>
    <n v="44"/>
    <n v="150"/>
    <n v="118"/>
    <n v="1838"/>
    <n v="153"/>
  </r>
  <r>
    <x v="1"/>
    <x v="1"/>
    <d v="2018-06-19T00:00:00"/>
    <x v="0"/>
    <n v="42"/>
    <n v="125"/>
    <n v="114"/>
    <n v="1837"/>
    <n v="152"/>
  </r>
  <r>
    <x v="1"/>
    <x v="1"/>
    <d v="2018-06-19T00:00:00"/>
    <x v="1"/>
    <n v="60"/>
    <n v="150"/>
    <n v="118"/>
    <n v="1840"/>
    <n v="219"/>
  </r>
  <r>
    <x v="1"/>
    <x v="1"/>
    <d v="2018-06-19T00:00:00"/>
    <x v="0"/>
    <n v="34"/>
    <n v="125"/>
    <n v="114"/>
    <n v="1844"/>
    <n v="122"/>
  </r>
  <r>
    <x v="1"/>
    <x v="1"/>
    <d v="2018-06-20T00:00:00"/>
    <x v="2"/>
    <n v="54"/>
    <n v="170"/>
    <n v="123"/>
    <n v="1845"/>
    <n v="193"/>
  </r>
  <r>
    <x v="1"/>
    <x v="1"/>
    <d v="2018-06-20T00:00:00"/>
    <x v="2"/>
    <n v="35"/>
    <n v="170"/>
    <n v="123"/>
    <n v="1846"/>
    <n v="122"/>
  </r>
  <r>
    <x v="1"/>
    <x v="1"/>
    <d v="2018-06-20T00:00:00"/>
    <x v="0"/>
    <n v="50"/>
    <n v="125"/>
    <n v="114"/>
    <n v="1847"/>
    <n v="192"/>
  </r>
  <r>
    <x v="1"/>
    <x v="1"/>
    <d v="2018-06-20T00:00:00"/>
    <x v="2"/>
    <n v="41"/>
    <n v="170"/>
    <n v="123"/>
    <n v="1848"/>
    <n v="150"/>
  </r>
  <r>
    <x v="1"/>
    <x v="1"/>
    <d v="2018-06-20T00:00:00"/>
    <x v="0"/>
    <n v="33"/>
    <n v="125"/>
    <n v="114"/>
    <n v="1849"/>
    <n v="120"/>
  </r>
  <r>
    <x v="1"/>
    <x v="1"/>
    <d v="2018-06-21T00:00:00"/>
    <x v="1"/>
    <n v="56"/>
    <n v="150"/>
    <n v="118"/>
    <n v="1850"/>
    <n v="209"/>
  </r>
  <r>
    <x v="1"/>
    <x v="1"/>
    <d v="2018-06-21T00:00:00"/>
    <x v="2"/>
    <n v="52"/>
    <n v="170"/>
    <n v="123"/>
    <n v="1853"/>
    <n v="192"/>
  </r>
  <r>
    <x v="1"/>
    <x v="1"/>
    <d v="2018-06-21T00:00:00"/>
    <x v="0"/>
    <n v="53"/>
    <n v="125"/>
    <n v="114"/>
    <n v="1851"/>
    <n v="192"/>
  </r>
  <r>
    <x v="1"/>
    <x v="1"/>
    <d v="2018-06-21T00:00:00"/>
    <x v="1"/>
    <n v="49"/>
    <n v="150"/>
    <n v="118"/>
    <n v="1852"/>
    <n v="174"/>
  </r>
  <r>
    <x v="1"/>
    <x v="1"/>
    <d v="2018-06-22T00:00:00"/>
    <x v="2"/>
    <n v="51"/>
    <n v="170"/>
    <n v="123"/>
    <n v="1859"/>
    <n v="176"/>
  </r>
  <r>
    <x v="1"/>
    <x v="1"/>
    <d v="2018-06-22T00:00:00"/>
    <x v="2"/>
    <n v="47"/>
    <n v="170"/>
    <n v="123"/>
    <n v="1854"/>
    <n v="168"/>
  </r>
  <r>
    <x v="1"/>
    <x v="1"/>
    <d v="2018-06-22T00:00:00"/>
    <x v="1"/>
    <n v="55"/>
    <n v="150"/>
    <n v="118"/>
    <n v="1855"/>
    <n v="195"/>
  </r>
  <r>
    <x v="1"/>
    <x v="1"/>
    <d v="2018-06-22T00:00:00"/>
    <x v="1"/>
    <n v="60"/>
    <n v="150"/>
    <n v="118"/>
    <n v="1856"/>
    <n v="276"/>
  </r>
  <r>
    <x v="1"/>
    <x v="1"/>
    <d v="2018-06-22T00:00:00"/>
    <x v="2"/>
    <n v="45"/>
    <n v="170"/>
    <n v="123"/>
    <n v="1857"/>
    <n v="166"/>
  </r>
  <r>
    <x v="1"/>
    <x v="1"/>
    <d v="2018-06-22T00:00:00"/>
    <x v="0"/>
    <n v="39"/>
    <n v="125"/>
    <n v="114"/>
    <n v="1858"/>
    <n v="140"/>
  </r>
  <r>
    <x v="1"/>
    <x v="1"/>
    <d v="2018-06-25T00:00:00"/>
    <x v="2"/>
    <n v="28"/>
    <n v="170"/>
    <n v="123"/>
    <n v="1863"/>
    <n v="96"/>
  </r>
  <r>
    <x v="1"/>
    <x v="1"/>
    <d v="2018-06-25T00:00:00"/>
    <x v="1"/>
    <n v="44"/>
    <n v="150"/>
    <n v="118"/>
    <n v="1862"/>
    <n v="155"/>
  </r>
  <r>
    <x v="1"/>
    <x v="1"/>
    <d v="2018-06-25T00:00:00"/>
    <x v="0"/>
    <n v="51"/>
    <n v="125"/>
    <n v="114"/>
    <n v="1861"/>
    <n v="178"/>
  </r>
  <r>
    <x v="1"/>
    <x v="1"/>
    <d v="2018-06-25T00:00:00"/>
    <x v="1"/>
    <n v="38"/>
    <n v="150"/>
    <n v="118"/>
    <n v="1860"/>
    <n v="133"/>
  </r>
  <r>
    <x v="1"/>
    <x v="1"/>
    <d v="2018-06-26T00:00:00"/>
    <x v="0"/>
    <n v="48"/>
    <n v="125"/>
    <n v="114"/>
    <n v="1864"/>
    <n v="167"/>
  </r>
  <r>
    <x v="1"/>
    <x v="1"/>
    <d v="2018-06-26T00:00:00"/>
    <x v="2"/>
    <n v="47"/>
    <n v="170"/>
    <n v="123"/>
    <n v="1865"/>
    <n v="168"/>
  </r>
  <r>
    <x v="1"/>
    <x v="1"/>
    <d v="2018-06-26T00:00:00"/>
    <x v="1"/>
    <n v="47"/>
    <n v="150"/>
    <n v="118"/>
    <n v="1866"/>
    <n v="162"/>
  </r>
  <r>
    <x v="1"/>
    <x v="1"/>
    <d v="2018-06-26T00:00:00"/>
    <x v="0"/>
    <n v="33"/>
    <n v="125"/>
    <n v="114"/>
    <n v="1867"/>
    <n v="152"/>
  </r>
  <r>
    <x v="1"/>
    <x v="1"/>
    <d v="2018-06-26T00:00:00"/>
    <x v="0"/>
    <n v="42"/>
    <n v="125"/>
    <n v="114"/>
    <n v="1868"/>
    <n v="146"/>
  </r>
  <r>
    <x v="1"/>
    <x v="1"/>
    <d v="2018-06-27T00:00:00"/>
    <x v="0"/>
    <n v="55"/>
    <n v="125"/>
    <n v="114"/>
    <n v="1869"/>
    <n v="198"/>
  </r>
  <r>
    <x v="1"/>
    <x v="1"/>
    <d v="2018-06-28T00:00:00"/>
    <x v="2"/>
    <n v="35"/>
    <n v="170"/>
    <n v="123"/>
    <n v="1870"/>
    <n v="162"/>
  </r>
  <r>
    <x v="1"/>
    <x v="1"/>
    <d v="2018-06-28T00:00:00"/>
    <x v="0"/>
    <n v="53"/>
    <n v="125"/>
    <n v="114"/>
    <n v="1871"/>
    <n v="189"/>
  </r>
  <r>
    <x v="1"/>
    <x v="1"/>
    <d v="2018-06-28T00:00:00"/>
    <x v="1"/>
    <n v="61"/>
    <n v="150"/>
    <n v="118"/>
    <n v="1872"/>
    <n v="224"/>
  </r>
  <r>
    <x v="1"/>
    <x v="1"/>
    <d v="2018-06-28T00:00:00"/>
    <x v="1"/>
    <n v="48"/>
    <n v="150"/>
    <n v="118"/>
    <n v="1873"/>
    <n v="225"/>
  </r>
  <r>
    <x v="1"/>
    <x v="1"/>
    <d v="2018-06-29T00:00:00"/>
    <x v="2"/>
    <n v="38"/>
    <n v="170"/>
    <n v="123"/>
    <n v="1878"/>
    <n v="136"/>
  </r>
  <r>
    <x v="1"/>
    <x v="1"/>
    <d v="2018-06-29T00:00:00"/>
    <x v="1"/>
    <n v="40"/>
    <n v="150"/>
    <n v="118"/>
    <n v="1879"/>
    <n v="145"/>
  </r>
  <r>
    <x v="1"/>
    <x v="1"/>
    <d v="2018-06-29T00:00:00"/>
    <x v="2"/>
    <n v="36"/>
    <n v="170"/>
    <n v="123"/>
    <n v="1877"/>
    <n v="124"/>
  </r>
  <r>
    <x v="1"/>
    <x v="1"/>
    <d v="2018-06-29T00:00:00"/>
    <x v="0"/>
    <n v="50"/>
    <n v="125"/>
    <n v="114"/>
    <n v="1875"/>
    <n v="230"/>
  </r>
  <r>
    <x v="1"/>
    <x v="1"/>
    <d v="2018-06-29T00:00:00"/>
    <x v="1"/>
    <n v="52"/>
    <n v="150"/>
    <n v="118"/>
    <n v="1874"/>
    <n v="190"/>
  </r>
  <r>
    <x v="1"/>
    <x v="1"/>
    <d v="2018-06-29T00:00:00"/>
    <x v="0"/>
    <n v="34"/>
    <n v="125"/>
    <n v="114"/>
    <n v="1880"/>
    <n v="117"/>
  </r>
  <r>
    <x v="1"/>
    <x v="1"/>
    <d v="2018-06-29T00:00:00"/>
    <x v="1"/>
    <n v="59"/>
    <n v="150"/>
    <n v="118"/>
    <n v="1876"/>
    <n v="216"/>
  </r>
  <r>
    <x v="1"/>
    <x v="2"/>
    <d v="2018-07-02T00:00:00"/>
    <x v="0"/>
    <n v="36"/>
    <n v="120"/>
    <n v="114"/>
    <n v="1886"/>
    <n v="169"/>
  </r>
  <r>
    <x v="1"/>
    <x v="2"/>
    <d v="2018-07-02T00:00:00"/>
    <x v="0"/>
    <n v="57"/>
    <n v="120"/>
    <n v="114"/>
    <n v="1887"/>
    <n v="209"/>
  </r>
  <r>
    <x v="1"/>
    <x v="2"/>
    <d v="2018-07-02T00:00:00"/>
    <x v="2"/>
    <n v="49"/>
    <n v="155"/>
    <n v="123"/>
    <n v="1885"/>
    <n v="177"/>
  </r>
  <r>
    <x v="1"/>
    <x v="2"/>
    <d v="2018-07-02T00:00:00"/>
    <x v="0"/>
    <n v="54"/>
    <n v="120"/>
    <n v="114"/>
    <n v="1884"/>
    <n v="192"/>
  </r>
  <r>
    <x v="1"/>
    <x v="2"/>
    <d v="2018-07-02T00:00:00"/>
    <x v="2"/>
    <n v="38"/>
    <n v="155"/>
    <n v="123"/>
    <n v="1883"/>
    <n v="175"/>
  </r>
  <r>
    <x v="1"/>
    <x v="2"/>
    <d v="2018-07-02T00:00:00"/>
    <x v="1"/>
    <n v="61"/>
    <n v="145"/>
    <n v="118"/>
    <n v="1882"/>
    <n v="282"/>
  </r>
  <r>
    <x v="1"/>
    <x v="2"/>
    <d v="2018-07-02T00:00:00"/>
    <x v="1"/>
    <n v="36"/>
    <n v="145"/>
    <n v="118"/>
    <n v="1881"/>
    <n v="124"/>
  </r>
  <r>
    <x v="1"/>
    <x v="2"/>
    <d v="2018-07-03T00:00:00"/>
    <x v="2"/>
    <n v="49"/>
    <n v="155"/>
    <n v="123"/>
    <n v="1888"/>
    <n v="178"/>
  </r>
  <r>
    <x v="1"/>
    <x v="2"/>
    <d v="2018-07-04T00:00:00"/>
    <x v="2"/>
    <n v="26"/>
    <n v="155"/>
    <n v="123"/>
    <n v="1895"/>
    <n v="120"/>
  </r>
  <r>
    <x v="1"/>
    <x v="2"/>
    <d v="2018-07-04T00:00:00"/>
    <x v="2"/>
    <n v="35"/>
    <n v="155"/>
    <n v="123"/>
    <n v="1889"/>
    <n v="122"/>
  </r>
  <r>
    <x v="1"/>
    <x v="2"/>
    <d v="2018-07-04T00:00:00"/>
    <x v="1"/>
    <n v="59"/>
    <n v="145"/>
    <n v="118"/>
    <n v="1890"/>
    <n v="206"/>
  </r>
  <r>
    <x v="1"/>
    <x v="2"/>
    <d v="2018-07-04T00:00:00"/>
    <x v="1"/>
    <n v="52"/>
    <n v="145"/>
    <n v="118"/>
    <n v="1891"/>
    <n v="243"/>
  </r>
  <r>
    <x v="1"/>
    <x v="2"/>
    <d v="2018-07-04T00:00:00"/>
    <x v="0"/>
    <n v="44"/>
    <n v="120"/>
    <n v="114"/>
    <n v="1892"/>
    <n v="165"/>
  </r>
  <r>
    <x v="1"/>
    <x v="2"/>
    <d v="2018-07-04T00:00:00"/>
    <x v="0"/>
    <n v="54"/>
    <n v="120"/>
    <n v="114"/>
    <n v="1893"/>
    <n v="249"/>
  </r>
  <r>
    <x v="1"/>
    <x v="2"/>
    <d v="2018-07-04T00:00:00"/>
    <x v="1"/>
    <n v="40"/>
    <n v="145"/>
    <n v="118"/>
    <n v="1894"/>
    <n v="140"/>
  </r>
  <r>
    <x v="1"/>
    <x v="2"/>
    <d v="2018-07-05T00:00:00"/>
    <x v="2"/>
    <n v="42"/>
    <n v="155"/>
    <n v="123"/>
    <n v="1898"/>
    <n v="195"/>
  </r>
  <r>
    <x v="1"/>
    <x v="2"/>
    <d v="2018-07-05T00:00:00"/>
    <x v="1"/>
    <n v="37"/>
    <n v="145"/>
    <n v="118"/>
    <n v="1897"/>
    <n v="128"/>
  </r>
  <r>
    <x v="1"/>
    <x v="2"/>
    <d v="2018-07-05T00:00:00"/>
    <x v="2"/>
    <n v="28"/>
    <n v="155"/>
    <n v="123"/>
    <n v="1896"/>
    <n v="132"/>
  </r>
  <r>
    <x v="1"/>
    <x v="2"/>
    <d v="2018-07-06T00:00:00"/>
    <x v="0"/>
    <n v="33"/>
    <n v="120"/>
    <n v="114"/>
    <n v="1899"/>
    <n v="119"/>
  </r>
  <r>
    <x v="1"/>
    <x v="2"/>
    <d v="2018-07-09T00:00:00"/>
    <x v="2"/>
    <n v="27"/>
    <n v="155"/>
    <n v="123"/>
    <n v="1905"/>
    <n v="99"/>
  </r>
  <r>
    <x v="1"/>
    <x v="2"/>
    <d v="2018-07-09T00:00:00"/>
    <x v="1"/>
    <n v="58"/>
    <n v="145"/>
    <n v="118"/>
    <n v="1900"/>
    <n v="208"/>
  </r>
  <r>
    <x v="1"/>
    <x v="2"/>
    <d v="2018-07-09T00:00:00"/>
    <x v="2"/>
    <n v="48"/>
    <n v="155"/>
    <n v="123"/>
    <n v="1901"/>
    <n v="170"/>
  </r>
  <r>
    <x v="1"/>
    <x v="2"/>
    <d v="2018-07-09T00:00:00"/>
    <x v="1"/>
    <n v="55"/>
    <n v="145"/>
    <n v="118"/>
    <n v="1902"/>
    <n v="257"/>
  </r>
  <r>
    <x v="1"/>
    <x v="2"/>
    <d v="2018-07-09T00:00:00"/>
    <x v="1"/>
    <n v="39"/>
    <n v="145"/>
    <n v="118"/>
    <n v="1903"/>
    <n v="135"/>
  </r>
  <r>
    <x v="1"/>
    <x v="2"/>
    <d v="2018-07-09T00:00:00"/>
    <x v="0"/>
    <n v="44"/>
    <n v="120"/>
    <n v="114"/>
    <n v="1904"/>
    <n v="163"/>
  </r>
  <r>
    <x v="1"/>
    <x v="2"/>
    <d v="2018-07-10T00:00:00"/>
    <x v="0"/>
    <n v="46"/>
    <n v="120"/>
    <n v="114"/>
    <n v="1912"/>
    <n v="175"/>
  </r>
  <r>
    <x v="1"/>
    <x v="2"/>
    <d v="2018-07-10T00:00:00"/>
    <x v="2"/>
    <n v="27"/>
    <n v="155"/>
    <n v="123"/>
    <n v="1911"/>
    <n v="94"/>
  </r>
  <r>
    <x v="1"/>
    <x v="2"/>
    <d v="2018-07-10T00:00:00"/>
    <x v="0"/>
    <n v="31"/>
    <n v="120"/>
    <n v="114"/>
    <n v="1910"/>
    <n v="111"/>
  </r>
  <r>
    <x v="1"/>
    <x v="2"/>
    <d v="2018-07-10T00:00:00"/>
    <x v="0"/>
    <n v="51"/>
    <n v="120"/>
    <n v="114"/>
    <n v="1909"/>
    <n v="190"/>
  </r>
  <r>
    <x v="1"/>
    <x v="2"/>
    <d v="2018-07-10T00:00:00"/>
    <x v="2"/>
    <n v="51"/>
    <n v="155"/>
    <n v="123"/>
    <n v="1908"/>
    <n v="188"/>
  </r>
  <r>
    <x v="1"/>
    <x v="2"/>
    <d v="2018-07-10T00:00:00"/>
    <x v="1"/>
    <n v="50"/>
    <n v="145"/>
    <n v="118"/>
    <n v="1906"/>
    <n v="178"/>
  </r>
  <r>
    <x v="1"/>
    <x v="2"/>
    <d v="2018-07-10T00:00:00"/>
    <x v="2"/>
    <n v="32"/>
    <n v="155"/>
    <n v="123"/>
    <n v="1907"/>
    <n v="116"/>
  </r>
  <r>
    <x v="1"/>
    <x v="2"/>
    <d v="2018-07-11T00:00:00"/>
    <x v="1"/>
    <n v="60"/>
    <n v="145"/>
    <n v="118"/>
    <n v="1914"/>
    <n v="221"/>
  </r>
  <r>
    <x v="1"/>
    <x v="2"/>
    <d v="2018-07-11T00:00:00"/>
    <x v="2"/>
    <n v="30"/>
    <n v="155"/>
    <n v="123"/>
    <n v="1918"/>
    <n v="106"/>
  </r>
  <r>
    <x v="1"/>
    <x v="2"/>
    <d v="2018-07-11T00:00:00"/>
    <x v="1"/>
    <n v="56"/>
    <n v="145"/>
    <n v="118"/>
    <n v="1917"/>
    <n v="195"/>
  </r>
  <r>
    <x v="1"/>
    <x v="2"/>
    <d v="2018-07-11T00:00:00"/>
    <x v="0"/>
    <n v="42"/>
    <n v="120"/>
    <n v="114"/>
    <n v="1916"/>
    <n v="153"/>
  </r>
  <r>
    <x v="1"/>
    <x v="2"/>
    <d v="2018-07-11T00:00:00"/>
    <x v="0"/>
    <n v="48"/>
    <n v="120"/>
    <n v="114"/>
    <n v="1913"/>
    <n v="170"/>
  </r>
  <r>
    <x v="1"/>
    <x v="2"/>
    <d v="2018-07-11T00:00:00"/>
    <x v="2"/>
    <n v="47"/>
    <n v="155"/>
    <n v="123"/>
    <n v="1915"/>
    <n v="178"/>
  </r>
  <r>
    <x v="1"/>
    <x v="2"/>
    <d v="2018-07-12T00:00:00"/>
    <x v="1"/>
    <n v="38"/>
    <n v="145"/>
    <n v="118"/>
    <n v="1924"/>
    <n v="146"/>
  </r>
  <r>
    <x v="1"/>
    <x v="2"/>
    <d v="2018-07-12T00:00:00"/>
    <x v="1"/>
    <n v="48"/>
    <n v="145"/>
    <n v="118"/>
    <n v="1925"/>
    <n v="224"/>
  </r>
  <r>
    <x v="1"/>
    <x v="2"/>
    <d v="2018-07-12T00:00:00"/>
    <x v="1"/>
    <n v="50"/>
    <n v="145"/>
    <n v="118"/>
    <n v="1923"/>
    <n v="182"/>
  </r>
  <r>
    <x v="1"/>
    <x v="2"/>
    <d v="2018-07-12T00:00:00"/>
    <x v="0"/>
    <n v="33"/>
    <n v="120"/>
    <n v="114"/>
    <n v="1922"/>
    <n v="119"/>
  </r>
  <r>
    <x v="1"/>
    <x v="2"/>
    <d v="2018-07-12T00:00:00"/>
    <x v="2"/>
    <n v="45"/>
    <n v="155"/>
    <n v="123"/>
    <n v="1921"/>
    <n v="161"/>
  </r>
  <r>
    <x v="1"/>
    <x v="2"/>
    <d v="2018-07-12T00:00:00"/>
    <x v="1"/>
    <n v="51"/>
    <n v="145"/>
    <n v="118"/>
    <n v="1920"/>
    <n v="187"/>
  </r>
  <r>
    <x v="1"/>
    <x v="2"/>
    <d v="2018-07-12T00:00:00"/>
    <x v="0"/>
    <n v="50"/>
    <n v="120"/>
    <n v="114"/>
    <n v="1919"/>
    <n v="182"/>
  </r>
  <r>
    <x v="1"/>
    <x v="2"/>
    <d v="2018-07-12T00:00:00"/>
    <x v="0"/>
    <n v="46"/>
    <n v="120"/>
    <n v="114"/>
    <n v="1926"/>
    <n v="166"/>
  </r>
  <r>
    <x v="1"/>
    <x v="2"/>
    <d v="2018-07-13T00:00:00"/>
    <x v="2"/>
    <n v="27"/>
    <n v="155"/>
    <n v="123"/>
    <n v="1927"/>
    <n v="93"/>
  </r>
  <r>
    <x v="1"/>
    <x v="2"/>
    <d v="2018-07-13T00:00:00"/>
    <x v="0"/>
    <n v="51"/>
    <n v="120"/>
    <n v="114"/>
    <n v="1928"/>
    <n v="177"/>
  </r>
  <r>
    <x v="1"/>
    <x v="2"/>
    <d v="2018-07-13T00:00:00"/>
    <x v="1"/>
    <n v="39"/>
    <n v="145"/>
    <n v="118"/>
    <n v="1929"/>
    <n v="144"/>
  </r>
  <r>
    <x v="1"/>
    <x v="2"/>
    <d v="2018-07-13T00:00:00"/>
    <x v="1"/>
    <n v="47"/>
    <n v="145"/>
    <n v="118"/>
    <n v="1930"/>
    <n v="171"/>
  </r>
  <r>
    <x v="1"/>
    <x v="2"/>
    <d v="2018-07-16T00:00:00"/>
    <x v="2"/>
    <n v="38"/>
    <n v="155"/>
    <n v="123"/>
    <n v="1932"/>
    <n v="134"/>
  </r>
  <r>
    <x v="1"/>
    <x v="2"/>
    <d v="2018-07-16T00:00:00"/>
    <x v="0"/>
    <n v="33"/>
    <n v="120"/>
    <n v="114"/>
    <n v="1936"/>
    <n v="119"/>
  </r>
  <r>
    <x v="1"/>
    <x v="2"/>
    <d v="2018-07-16T00:00:00"/>
    <x v="2"/>
    <n v="50"/>
    <n v="155"/>
    <n v="123"/>
    <n v="1935"/>
    <n v="172"/>
  </r>
  <r>
    <x v="1"/>
    <x v="2"/>
    <d v="2018-07-16T00:00:00"/>
    <x v="2"/>
    <n v="39"/>
    <n v="155"/>
    <n v="123"/>
    <n v="1934"/>
    <n v="181"/>
  </r>
  <r>
    <x v="1"/>
    <x v="2"/>
    <d v="2018-07-16T00:00:00"/>
    <x v="1"/>
    <n v="50"/>
    <n v="145"/>
    <n v="118"/>
    <n v="1931"/>
    <n v="179"/>
  </r>
  <r>
    <x v="1"/>
    <x v="2"/>
    <d v="2018-07-16T00:00:00"/>
    <x v="1"/>
    <n v="40"/>
    <n v="145"/>
    <n v="118"/>
    <n v="1933"/>
    <n v="142"/>
  </r>
  <r>
    <x v="1"/>
    <x v="2"/>
    <d v="2018-07-17T00:00:00"/>
    <x v="2"/>
    <n v="34"/>
    <n v="155"/>
    <n v="123"/>
    <n v="1937"/>
    <n v="122"/>
  </r>
  <r>
    <x v="1"/>
    <x v="2"/>
    <d v="2018-07-17T00:00:00"/>
    <x v="0"/>
    <n v="33"/>
    <n v="120"/>
    <n v="114"/>
    <n v="1938"/>
    <n v="119"/>
  </r>
  <r>
    <x v="1"/>
    <x v="2"/>
    <d v="2018-07-18T00:00:00"/>
    <x v="2"/>
    <n v="50"/>
    <n v="155"/>
    <n v="123"/>
    <n v="1943"/>
    <n v="182"/>
  </r>
  <r>
    <x v="1"/>
    <x v="2"/>
    <d v="2018-07-18T00:00:00"/>
    <x v="2"/>
    <n v="35"/>
    <n v="155"/>
    <n v="123"/>
    <n v="1944"/>
    <n v="126"/>
  </r>
  <r>
    <x v="1"/>
    <x v="2"/>
    <d v="2018-07-18T00:00:00"/>
    <x v="0"/>
    <n v="34"/>
    <n v="120"/>
    <n v="114"/>
    <n v="1942"/>
    <n v="125"/>
  </r>
  <r>
    <x v="1"/>
    <x v="2"/>
    <d v="2018-07-18T00:00:00"/>
    <x v="0"/>
    <n v="48"/>
    <n v="120"/>
    <n v="114"/>
    <n v="1941"/>
    <n v="174"/>
  </r>
  <r>
    <x v="1"/>
    <x v="2"/>
    <d v="2018-07-18T00:00:00"/>
    <x v="1"/>
    <n v="59"/>
    <n v="145"/>
    <n v="118"/>
    <n v="1940"/>
    <n v="271"/>
  </r>
  <r>
    <x v="1"/>
    <x v="2"/>
    <d v="2018-07-18T00:00:00"/>
    <x v="2"/>
    <n v="48"/>
    <n v="155"/>
    <n v="123"/>
    <n v="1939"/>
    <n v="174"/>
  </r>
  <r>
    <x v="1"/>
    <x v="2"/>
    <d v="2018-07-18T00:00:00"/>
    <x v="2"/>
    <n v="38"/>
    <n v="155"/>
    <n v="123"/>
    <n v="1945"/>
    <n v="137"/>
  </r>
  <r>
    <x v="1"/>
    <x v="2"/>
    <d v="2018-07-19T00:00:00"/>
    <x v="0"/>
    <n v="42"/>
    <n v="120"/>
    <n v="114"/>
    <n v="1946"/>
    <n v="155"/>
  </r>
  <r>
    <x v="1"/>
    <x v="2"/>
    <d v="2018-07-19T00:00:00"/>
    <x v="1"/>
    <n v="44"/>
    <n v="145"/>
    <n v="118"/>
    <n v="1947"/>
    <n v="158"/>
  </r>
  <r>
    <x v="1"/>
    <x v="2"/>
    <d v="2018-07-19T00:00:00"/>
    <x v="1"/>
    <n v="42"/>
    <n v="145"/>
    <n v="118"/>
    <n v="1948"/>
    <n v="153"/>
  </r>
  <r>
    <x v="1"/>
    <x v="2"/>
    <d v="2018-07-19T00:00:00"/>
    <x v="2"/>
    <n v="48"/>
    <n v="155"/>
    <n v="123"/>
    <n v="1949"/>
    <n v="165"/>
  </r>
  <r>
    <x v="1"/>
    <x v="2"/>
    <d v="2018-07-20T00:00:00"/>
    <x v="0"/>
    <n v="41"/>
    <n v="120"/>
    <n v="114"/>
    <n v="1950"/>
    <n v="144"/>
  </r>
  <r>
    <x v="1"/>
    <x v="2"/>
    <d v="2018-07-20T00:00:00"/>
    <x v="2"/>
    <n v="31"/>
    <n v="155"/>
    <n v="123"/>
    <n v="1954"/>
    <n v="111"/>
  </r>
  <r>
    <x v="1"/>
    <x v="2"/>
    <d v="2018-07-20T00:00:00"/>
    <x v="2"/>
    <n v="46"/>
    <n v="155"/>
    <n v="123"/>
    <n v="1955"/>
    <n v="169"/>
  </r>
  <r>
    <x v="1"/>
    <x v="2"/>
    <d v="2018-07-20T00:00:00"/>
    <x v="1"/>
    <n v="59"/>
    <n v="145"/>
    <n v="118"/>
    <n v="1956"/>
    <n v="272"/>
  </r>
  <r>
    <x v="1"/>
    <x v="2"/>
    <d v="2018-07-20T00:00:00"/>
    <x v="0"/>
    <n v="39"/>
    <n v="120"/>
    <n v="114"/>
    <n v="1953"/>
    <n v="135"/>
  </r>
  <r>
    <x v="1"/>
    <x v="2"/>
    <d v="2018-07-20T00:00:00"/>
    <x v="1"/>
    <n v="60"/>
    <n v="145"/>
    <n v="118"/>
    <n v="1951"/>
    <n v="212"/>
  </r>
  <r>
    <x v="1"/>
    <x v="2"/>
    <d v="2018-07-20T00:00:00"/>
    <x v="1"/>
    <n v="48"/>
    <n v="145"/>
    <n v="118"/>
    <n v="1952"/>
    <n v="170"/>
  </r>
  <r>
    <x v="1"/>
    <x v="2"/>
    <d v="2018-07-23T00:00:00"/>
    <x v="0"/>
    <n v="36"/>
    <n v="120"/>
    <n v="114"/>
    <n v="1957"/>
    <n v="129"/>
  </r>
  <r>
    <x v="1"/>
    <x v="2"/>
    <d v="2018-07-24T00:00:00"/>
    <x v="0"/>
    <n v="50"/>
    <n v="120"/>
    <n v="114"/>
    <n v="1958"/>
    <n v="182"/>
  </r>
  <r>
    <x v="1"/>
    <x v="2"/>
    <d v="2018-07-24T00:00:00"/>
    <x v="2"/>
    <n v="34"/>
    <n v="155"/>
    <n v="123"/>
    <n v="1959"/>
    <n v="122"/>
  </r>
  <r>
    <x v="1"/>
    <x v="2"/>
    <d v="2018-07-24T00:00:00"/>
    <x v="2"/>
    <n v="34"/>
    <n v="155"/>
    <n v="123"/>
    <n v="1960"/>
    <n v="119"/>
  </r>
  <r>
    <x v="1"/>
    <x v="2"/>
    <d v="2018-07-24T00:00:00"/>
    <x v="0"/>
    <n v="37"/>
    <n v="120"/>
    <n v="114"/>
    <n v="1961"/>
    <n v="171"/>
  </r>
  <r>
    <x v="1"/>
    <x v="2"/>
    <d v="2018-07-24T00:00:00"/>
    <x v="1"/>
    <n v="51"/>
    <n v="145"/>
    <n v="118"/>
    <n v="1962"/>
    <n v="184"/>
  </r>
  <r>
    <x v="1"/>
    <x v="2"/>
    <d v="2018-07-24T00:00:00"/>
    <x v="0"/>
    <n v="48"/>
    <n v="120"/>
    <n v="114"/>
    <n v="1963"/>
    <n v="181"/>
  </r>
  <r>
    <x v="1"/>
    <x v="2"/>
    <d v="2018-07-24T00:00:00"/>
    <x v="2"/>
    <n v="50"/>
    <n v="155"/>
    <n v="123"/>
    <n v="1964"/>
    <n v="173"/>
  </r>
  <r>
    <x v="1"/>
    <x v="2"/>
    <d v="2018-07-25T00:00:00"/>
    <x v="0"/>
    <n v="55"/>
    <n v="120"/>
    <n v="114"/>
    <n v="1968"/>
    <n v="257"/>
  </r>
  <r>
    <x v="1"/>
    <x v="2"/>
    <d v="2018-07-25T00:00:00"/>
    <x v="1"/>
    <n v="40"/>
    <n v="145"/>
    <n v="118"/>
    <n v="1971"/>
    <n v="185"/>
  </r>
  <r>
    <x v="1"/>
    <x v="2"/>
    <d v="2018-07-25T00:00:00"/>
    <x v="2"/>
    <n v="34"/>
    <n v="155"/>
    <n v="123"/>
    <n v="1972"/>
    <n v="119"/>
  </r>
  <r>
    <x v="1"/>
    <x v="2"/>
    <d v="2018-07-25T00:00:00"/>
    <x v="0"/>
    <n v="45"/>
    <n v="120"/>
    <n v="114"/>
    <n v="1969"/>
    <n v="164"/>
  </r>
  <r>
    <x v="1"/>
    <x v="2"/>
    <d v="2018-07-25T00:00:00"/>
    <x v="1"/>
    <n v="55"/>
    <n v="145"/>
    <n v="118"/>
    <n v="1966"/>
    <n v="187"/>
  </r>
  <r>
    <x v="1"/>
    <x v="2"/>
    <d v="2018-07-25T00:00:00"/>
    <x v="0"/>
    <n v="50"/>
    <n v="120"/>
    <n v="114"/>
    <n v="1965"/>
    <n v="181"/>
  </r>
  <r>
    <x v="1"/>
    <x v="2"/>
    <d v="2018-07-25T00:00:00"/>
    <x v="2"/>
    <n v="43"/>
    <n v="155"/>
    <n v="123"/>
    <n v="1970"/>
    <n v="198"/>
  </r>
  <r>
    <x v="1"/>
    <x v="2"/>
    <d v="2018-07-25T00:00:00"/>
    <x v="2"/>
    <n v="38"/>
    <n v="155"/>
    <n v="123"/>
    <n v="1967"/>
    <n v="175"/>
  </r>
  <r>
    <x v="1"/>
    <x v="2"/>
    <d v="2018-07-26T00:00:00"/>
    <x v="2"/>
    <n v="33"/>
    <n v="155"/>
    <n v="123"/>
    <n v="1973"/>
    <n v="115"/>
  </r>
  <r>
    <x v="1"/>
    <x v="2"/>
    <d v="2018-07-26T00:00:00"/>
    <x v="0"/>
    <n v="31"/>
    <n v="120"/>
    <n v="114"/>
    <n v="1974"/>
    <n v="110"/>
  </r>
  <r>
    <x v="1"/>
    <x v="2"/>
    <d v="2018-07-26T00:00:00"/>
    <x v="0"/>
    <n v="52"/>
    <n v="120"/>
    <n v="114"/>
    <n v="1975"/>
    <n v="180"/>
  </r>
  <r>
    <x v="1"/>
    <x v="2"/>
    <d v="2018-07-26T00:00:00"/>
    <x v="1"/>
    <n v="53"/>
    <n v="145"/>
    <n v="118"/>
    <n v="1976"/>
    <n v="186"/>
  </r>
  <r>
    <x v="1"/>
    <x v="2"/>
    <d v="2018-07-26T00:00:00"/>
    <x v="2"/>
    <n v="47"/>
    <n v="155"/>
    <n v="123"/>
    <n v="1977"/>
    <n v="168"/>
  </r>
  <r>
    <x v="1"/>
    <x v="2"/>
    <d v="2018-07-27T00:00:00"/>
    <x v="0"/>
    <n v="40"/>
    <n v="120"/>
    <n v="114"/>
    <n v="1978"/>
    <n v="143"/>
  </r>
  <r>
    <x v="1"/>
    <x v="2"/>
    <d v="2018-07-27T00:00:00"/>
    <x v="0"/>
    <n v="41"/>
    <n v="120"/>
    <n v="114"/>
    <n v="1979"/>
    <n v="144"/>
  </r>
  <r>
    <x v="1"/>
    <x v="2"/>
    <d v="2018-07-30T00:00:00"/>
    <x v="0"/>
    <n v="49"/>
    <n v="120"/>
    <n v="114"/>
    <n v="1985"/>
    <n v="173"/>
  </r>
  <r>
    <x v="1"/>
    <x v="2"/>
    <d v="2018-07-30T00:00:00"/>
    <x v="1"/>
    <n v="55"/>
    <n v="145"/>
    <n v="118"/>
    <n v="1986"/>
    <n v="190"/>
  </r>
  <r>
    <x v="1"/>
    <x v="2"/>
    <d v="2018-07-30T00:00:00"/>
    <x v="0"/>
    <n v="34"/>
    <n v="120"/>
    <n v="114"/>
    <n v="1984"/>
    <n v="124"/>
  </r>
  <r>
    <x v="1"/>
    <x v="2"/>
    <d v="2018-07-30T00:00:00"/>
    <x v="2"/>
    <n v="33"/>
    <n v="155"/>
    <n v="123"/>
    <n v="1982"/>
    <n v="122"/>
  </r>
  <r>
    <x v="1"/>
    <x v="2"/>
    <d v="2018-07-30T00:00:00"/>
    <x v="2"/>
    <n v="49"/>
    <n v="155"/>
    <n v="123"/>
    <n v="1987"/>
    <n v="177"/>
  </r>
  <r>
    <x v="1"/>
    <x v="2"/>
    <d v="2018-07-30T00:00:00"/>
    <x v="0"/>
    <n v="32"/>
    <n v="120"/>
    <n v="114"/>
    <n v="1981"/>
    <n v="113"/>
  </r>
  <r>
    <x v="1"/>
    <x v="2"/>
    <d v="2018-07-30T00:00:00"/>
    <x v="2"/>
    <n v="32"/>
    <n v="155"/>
    <n v="123"/>
    <n v="1980"/>
    <n v="150"/>
  </r>
  <r>
    <x v="1"/>
    <x v="2"/>
    <d v="2018-07-30T00:00:00"/>
    <x v="2"/>
    <n v="45"/>
    <n v="155"/>
    <n v="123"/>
    <n v="1983"/>
    <n v="160"/>
  </r>
  <r>
    <x v="1"/>
    <x v="2"/>
    <d v="2018-07-31T00:00:00"/>
    <x v="1"/>
    <n v="58"/>
    <n v="145"/>
    <n v="118"/>
    <n v="1992"/>
    <n v="207"/>
  </r>
  <r>
    <x v="1"/>
    <x v="2"/>
    <d v="2018-07-31T00:00:00"/>
    <x v="2"/>
    <n v="39"/>
    <n v="155"/>
    <n v="123"/>
    <n v="1993"/>
    <n v="147"/>
  </r>
  <r>
    <x v="1"/>
    <x v="2"/>
    <d v="2018-07-31T00:00:00"/>
    <x v="0"/>
    <n v="55"/>
    <n v="120"/>
    <n v="114"/>
    <n v="1991"/>
    <n v="200"/>
  </r>
  <r>
    <x v="1"/>
    <x v="2"/>
    <d v="2018-07-31T00:00:00"/>
    <x v="1"/>
    <n v="38"/>
    <n v="145"/>
    <n v="118"/>
    <n v="1990"/>
    <n v="135"/>
  </r>
  <r>
    <x v="1"/>
    <x v="2"/>
    <d v="2018-07-31T00:00:00"/>
    <x v="0"/>
    <n v="51"/>
    <n v="120"/>
    <n v="114"/>
    <n v="1989"/>
    <n v="184"/>
  </r>
  <r>
    <x v="1"/>
    <x v="2"/>
    <d v="2018-07-31T00:00:00"/>
    <x v="0"/>
    <n v="37"/>
    <n v="120"/>
    <n v="114"/>
    <n v="1988"/>
    <n v="128"/>
  </r>
  <r>
    <x v="1"/>
    <x v="2"/>
    <d v="2018-07-31T00:00:00"/>
    <x v="0"/>
    <n v="55"/>
    <n v="120"/>
    <n v="114"/>
    <n v="1994"/>
    <n v="195"/>
  </r>
  <r>
    <x v="1"/>
    <x v="2"/>
    <d v="2018-08-01T00:00:00"/>
    <x v="1"/>
    <n v="57"/>
    <n v="145"/>
    <n v="118"/>
    <n v="1995"/>
    <n v="208"/>
  </r>
  <r>
    <x v="1"/>
    <x v="2"/>
    <d v="2018-08-01T00:00:00"/>
    <x v="1"/>
    <n v="62"/>
    <n v="145"/>
    <n v="118"/>
    <n v="1996"/>
    <n v="213"/>
  </r>
  <r>
    <x v="1"/>
    <x v="2"/>
    <d v="2018-08-01T00:00:00"/>
    <x v="1"/>
    <n v="42"/>
    <n v="145"/>
    <n v="118"/>
    <n v="1997"/>
    <n v="153"/>
  </r>
  <r>
    <x v="1"/>
    <x v="2"/>
    <d v="2018-08-02T00:00:00"/>
    <x v="2"/>
    <n v="48"/>
    <n v="155"/>
    <n v="123"/>
    <n v="1998"/>
    <n v="167"/>
  </r>
  <r>
    <x v="1"/>
    <x v="2"/>
    <d v="2018-08-02T00:00:00"/>
    <x v="0"/>
    <n v="34"/>
    <n v="120"/>
    <n v="114"/>
    <n v="1999"/>
    <n v="121"/>
  </r>
  <r>
    <x v="1"/>
    <x v="2"/>
    <d v="2018-08-02T00:00:00"/>
    <x v="0"/>
    <n v="46"/>
    <n v="120"/>
    <n v="114"/>
    <n v="2000"/>
    <n v="164"/>
  </r>
  <r>
    <x v="1"/>
    <x v="2"/>
    <d v="2018-08-03T00:00:00"/>
    <x v="2"/>
    <n v="51"/>
    <n v="155"/>
    <n v="123"/>
    <n v="2004"/>
    <n v="184"/>
  </r>
  <r>
    <x v="1"/>
    <x v="2"/>
    <d v="2018-08-03T00:00:00"/>
    <x v="0"/>
    <n v="45"/>
    <n v="120"/>
    <n v="114"/>
    <n v="2005"/>
    <n v="158"/>
  </r>
  <r>
    <x v="1"/>
    <x v="2"/>
    <d v="2018-08-03T00:00:00"/>
    <x v="0"/>
    <n v="42"/>
    <n v="120"/>
    <n v="114"/>
    <n v="2002"/>
    <n v="149"/>
  </r>
  <r>
    <x v="1"/>
    <x v="2"/>
    <d v="2018-08-03T00:00:00"/>
    <x v="1"/>
    <n v="38"/>
    <n v="145"/>
    <n v="118"/>
    <n v="2001"/>
    <n v="139"/>
  </r>
  <r>
    <x v="1"/>
    <x v="2"/>
    <d v="2018-08-03T00:00:00"/>
    <x v="0"/>
    <n v="32"/>
    <n v="120"/>
    <n v="114"/>
    <n v="2006"/>
    <n v="114"/>
  </r>
  <r>
    <x v="1"/>
    <x v="2"/>
    <d v="2018-08-03T00:00:00"/>
    <x v="0"/>
    <n v="36"/>
    <n v="120"/>
    <n v="114"/>
    <n v="2003"/>
    <n v="166"/>
  </r>
  <r>
    <x v="1"/>
    <x v="2"/>
    <d v="2018-08-06T00:00:00"/>
    <x v="0"/>
    <n v="52"/>
    <n v="120"/>
    <n v="114"/>
    <n v="2010"/>
    <n v="191"/>
  </r>
  <r>
    <x v="1"/>
    <x v="2"/>
    <d v="2018-08-06T00:00:00"/>
    <x v="1"/>
    <n v="46"/>
    <n v="145"/>
    <n v="118"/>
    <n v="2011"/>
    <n v="162"/>
  </r>
  <r>
    <x v="1"/>
    <x v="2"/>
    <d v="2018-08-06T00:00:00"/>
    <x v="2"/>
    <n v="46"/>
    <n v="155"/>
    <n v="123"/>
    <n v="2009"/>
    <n v="160"/>
  </r>
  <r>
    <x v="1"/>
    <x v="2"/>
    <d v="2018-08-06T00:00:00"/>
    <x v="1"/>
    <n v="61"/>
    <n v="145"/>
    <n v="118"/>
    <n v="2008"/>
    <n v="286"/>
  </r>
  <r>
    <x v="1"/>
    <x v="2"/>
    <d v="2018-08-06T00:00:00"/>
    <x v="2"/>
    <n v="27"/>
    <n v="155"/>
    <n v="123"/>
    <n v="2007"/>
    <n v="99"/>
  </r>
  <r>
    <x v="1"/>
    <x v="2"/>
    <d v="2018-08-07T00:00:00"/>
    <x v="1"/>
    <n v="44"/>
    <n v="145"/>
    <n v="118"/>
    <n v="2013"/>
    <n v="153"/>
  </r>
  <r>
    <x v="1"/>
    <x v="2"/>
    <d v="2018-08-07T00:00:00"/>
    <x v="2"/>
    <n v="30"/>
    <n v="155"/>
    <n v="123"/>
    <n v="2014"/>
    <n v="110"/>
  </r>
  <r>
    <x v="1"/>
    <x v="2"/>
    <d v="2018-08-07T00:00:00"/>
    <x v="2"/>
    <n v="29"/>
    <n v="155"/>
    <n v="123"/>
    <n v="2015"/>
    <n v="105"/>
  </r>
  <r>
    <x v="1"/>
    <x v="2"/>
    <d v="2018-08-07T00:00:00"/>
    <x v="1"/>
    <n v="58"/>
    <n v="145"/>
    <n v="118"/>
    <n v="2016"/>
    <n v="200"/>
  </r>
  <r>
    <x v="1"/>
    <x v="2"/>
    <d v="2018-08-07T00:00:00"/>
    <x v="1"/>
    <n v="61"/>
    <n v="145"/>
    <n v="118"/>
    <n v="2012"/>
    <n v="222"/>
  </r>
  <r>
    <x v="1"/>
    <x v="2"/>
    <d v="2018-08-08T00:00:00"/>
    <x v="2"/>
    <n v="49"/>
    <n v="155"/>
    <n v="123"/>
    <n v="2021"/>
    <n v="171"/>
  </r>
  <r>
    <x v="1"/>
    <x v="2"/>
    <d v="2018-08-08T00:00:00"/>
    <x v="1"/>
    <n v="46"/>
    <n v="145"/>
    <n v="118"/>
    <n v="2020"/>
    <n v="163"/>
  </r>
  <r>
    <x v="1"/>
    <x v="2"/>
    <d v="2018-08-08T00:00:00"/>
    <x v="2"/>
    <n v="51"/>
    <n v="155"/>
    <n v="123"/>
    <n v="2022"/>
    <n v="184"/>
  </r>
  <r>
    <x v="1"/>
    <x v="2"/>
    <d v="2018-08-08T00:00:00"/>
    <x v="2"/>
    <n v="28"/>
    <n v="155"/>
    <n v="123"/>
    <n v="2018"/>
    <n v="132"/>
  </r>
  <r>
    <x v="1"/>
    <x v="2"/>
    <d v="2018-08-08T00:00:00"/>
    <x v="2"/>
    <n v="39"/>
    <n v="155"/>
    <n v="123"/>
    <n v="2017"/>
    <n v="139"/>
  </r>
  <r>
    <x v="1"/>
    <x v="2"/>
    <d v="2018-08-08T00:00:00"/>
    <x v="1"/>
    <n v="45"/>
    <n v="145"/>
    <n v="118"/>
    <n v="2019"/>
    <n v="164"/>
  </r>
  <r>
    <x v="1"/>
    <x v="2"/>
    <d v="2018-08-09T00:00:00"/>
    <x v="2"/>
    <n v="37"/>
    <n v="155"/>
    <n v="123"/>
    <n v="2024"/>
    <n v="171"/>
  </r>
  <r>
    <x v="1"/>
    <x v="2"/>
    <d v="2018-08-09T00:00:00"/>
    <x v="2"/>
    <n v="33"/>
    <n v="155"/>
    <n v="123"/>
    <n v="2025"/>
    <n v="119"/>
  </r>
  <r>
    <x v="1"/>
    <x v="2"/>
    <d v="2018-08-09T00:00:00"/>
    <x v="2"/>
    <n v="31"/>
    <n v="155"/>
    <n v="123"/>
    <n v="2026"/>
    <n v="113"/>
  </r>
  <r>
    <x v="1"/>
    <x v="2"/>
    <d v="2018-08-09T00:00:00"/>
    <x v="0"/>
    <n v="44"/>
    <n v="120"/>
    <n v="114"/>
    <n v="2027"/>
    <n v="151"/>
  </r>
  <r>
    <x v="1"/>
    <x v="2"/>
    <d v="2018-08-09T00:00:00"/>
    <x v="0"/>
    <n v="45"/>
    <n v="120"/>
    <n v="114"/>
    <n v="2028"/>
    <n v="160"/>
  </r>
  <r>
    <x v="1"/>
    <x v="2"/>
    <d v="2018-08-09T00:00:00"/>
    <x v="2"/>
    <n v="51"/>
    <n v="155"/>
    <n v="123"/>
    <n v="2029"/>
    <n v="184"/>
  </r>
  <r>
    <x v="1"/>
    <x v="2"/>
    <d v="2018-08-09T00:00:00"/>
    <x v="0"/>
    <n v="36"/>
    <n v="120"/>
    <n v="114"/>
    <n v="2023"/>
    <n v="166"/>
  </r>
  <r>
    <x v="1"/>
    <x v="2"/>
    <d v="2018-08-10T00:00:00"/>
    <x v="2"/>
    <n v="32"/>
    <n v="155"/>
    <n v="123"/>
    <n v="2030"/>
    <n v="116"/>
  </r>
  <r>
    <x v="1"/>
    <x v="2"/>
    <d v="2018-08-10T00:00:00"/>
    <x v="1"/>
    <n v="47"/>
    <n v="145"/>
    <n v="118"/>
    <n v="2037"/>
    <n v="163"/>
  </r>
  <r>
    <x v="1"/>
    <x v="2"/>
    <d v="2018-08-10T00:00:00"/>
    <x v="2"/>
    <n v="26"/>
    <n v="155"/>
    <n v="123"/>
    <n v="2036"/>
    <n v="91"/>
  </r>
  <r>
    <x v="1"/>
    <x v="2"/>
    <d v="2018-08-10T00:00:00"/>
    <x v="1"/>
    <n v="48"/>
    <n v="145"/>
    <n v="118"/>
    <n v="2035"/>
    <n v="166"/>
  </r>
  <r>
    <x v="1"/>
    <x v="2"/>
    <d v="2018-08-10T00:00:00"/>
    <x v="2"/>
    <n v="45"/>
    <n v="155"/>
    <n v="123"/>
    <n v="2034"/>
    <n v="163"/>
  </r>
  <r>
    <x v="1"/>
    <x v="2"/>
    <d v="2018-08-10T00:00:00"/>
    <x v="0"/>
    <n v="31"/>
    <n v="120"/>
    <n v="114"/>
    <n v="2033"/>
    <n v="113"/>
  </r>
  <r>
    <x v="1"/>
    <x v="2"/>
    <d v="2018-08-10T00:00:00"/>
    <x v="1"/>
    <n v="45"/>
    <n v="145"/>
    <n v="118"/>
    <n v="2031"/>
    <n v="166"/>
  </r>
  <r>
    <x v="1"/>
    <x v="2"/>
    <d v="2018-08-10T00:00:00"/>
    <x v="0"/>
    <n v="41"/>
    <n v="120"/>
    <n v="114"/>
    <n v="2032"/>
    <n v="142"/>
  </r>
  <r>
    <x v="1"/>
    <x v="2"/>
    <d v="2018-08-13T00:00:00"/>
    <x v="2"/>
    <n v="37"/>
    <n v="155"/>
    <n v="123"/>
    <n v="2040"/>
    <n v="128"/>
  </r>
  <r>
    <x v="1"/>
    <x v="2"/>
    <d v="2018-08-13T00:00:00"/>
    <x v="0"/>
    <n v="34"/>
    <n v="120"/>
    <n v="114"/>
    <n v="2044"/>
    <n v="121"/>
  </r>
  <r>
    <x v="1"/>
    <x v="2"/>
    <d v="2018-08-13T00:00:00"/>
    <x v="1"/>
    <n v="42"/>
    <n v="145"/>
    <n v="118"/>
    <n v="2043"/>
    <n v="158"/>
  </r>
  <r>
    <x v="1"/>
    <x v="2"/>
    <d v="2018-08-13T00:00:00"/>
    <x v="0"/>
    <n v="55"/>
    <n v="120"/>
    <n v="114"/>
    <n v="2045"/>
    <n v="192"/>
  </r>
  <r>
    <x v="1"/>
    <x v="2"/>
    <d v="2018-08-13T00:00:00"/>
    <x v="1"/>
    <n v="55"/>
    <n v="145"/>
    <n v="118"/>
    <n v="2039"/>
    <n v="202"/>
  </r>
  <r>
    <x v="1"/>
    <x v="2"/>
    <d v="2018-08-13T00:00:00"/>
    <x v="1"/>
    <n v="49"/>
    <n v="145"/>
    <n v="118"/>
    <n v="2038"/>
    <n v="174"/>
  </r>
  <r>
    <x v="1"/>
    <x v="2"/>
    <d v="2018-08-13T00:00:00"/>
    <x v="1"/>
    <n v="47"/>
    <n v="145"/>
    <n v="118"/>
    <n v="2042"/>
    <n v="173"/>
  </r>
  <r>
    <x v="1"/>
    <x v="2"/>
    <d v="2018-08-13T00:00:00"/>
    <x v="2"/>
    <n v="52"/>
    <n v="155"/>
    <n v="123"/>
    <n v="2041"/>
    <n v="191"/>
  </r>
  <r>
    <x v="1"/>
    <x v="2"/>
    <d v="2018-08-14T00:00:00"/>
    <x v="2"/>
    <n v="36"/>
    <n v="155"/>
    <n v="123"/>
    <n v="2049"/>
    <n v="129"/>
  </r>
  <r>
    <x v="1"/>
    <x v="2"/>
    <d v="2018-08-14T00:00:00"/>
    <x v="1"/>
    <n v="43"/>
    <n v="145"/>
    <n v="118"/>
    <n v="2050"/>
    <n v="201"/>
  </r>
  <r>
    <x v="1"/>
    <x v="2"/>
    <d v="2018-08-14T00:00:00"/>
    <x v="2"/>
    <n v="33"/>
    <n v="155"/>
    <n v="123"/>
    <n v="2048"/>
    <n v="115"/>
  </r>
  <r>
    <x v="1"/>
    <x v="2"/>
    <d v="2018-08-14T00:00:00"/>
    <x v="0"/>
    <n v="38"/>
    <n v="120"/>
    <n v="114"/>
    <n v="2047"/>
    <n v="138"/>
  </r>
  <r>
    <x v="1"/>
    <x v="2"/>
    <d v="2018-08-14T00:00:00"/>
    <x v="2"/>
    <n v="49"/>
    <n v="155"/>
    <n v="123"/>
    <n v="2046"/>
    <n v="170"/>
  </r>
  <r>
    <x v="1"/>
    <x v="2"/>
    <d v="2018-08-14T00:00:00"/>
    <x v="1"/>
    <n v="56"/>
    <n v="145"/>
    <n v="118"/>
    <n v="2051"/>
    <n v="197"/>
  </r>
  <r>
    <x v="1"/>
    <x v="2"/>
    <d v="2018-08-15T00:00:00"/>
    <x v="2"/>
    <n v="27"/>
    <n v="155"/>
    <n v="123"/>
    <n v="2052"/>
    <n v="95"/>
  </r>
  <r>
    <x v="1"/>
    <x v="2"/>
    <d v="2018-08-15T00:00:00"/>
    <x v="2"/>
    <n v="48"/>
    <n v="155"/>
    <n v="123"/>
    <n v="2053"/>
    <n v="166"/>
  </r>
  <r>
    <x v="1"/>
    <x v="2"/>
    <d v="2018-08-16T00:00:00"/>
    <x v="1"/>
    <n v="45"/>
    <n v="145"/>
    <n v="118"/>
    <n v="2054"/>
    <n v="165"/>
  </r>
  <r>
    <x v="1"/>
    <x v="2"/>
    <d v="2018-08-16T00:00:00"/>
    <x v="2"/>
    <n v="34"/>
    <n v="155"/>
    <n v="123"/>
    <n v="2055"/>
    <n v="159"/>
  </r>
  <r>
    <x v="1"/>
    <x v="2"/>
    <d v="2018-08-17T00:00:00"/>
    <x v="1"/>
    <n v="57"/>
    <n v="145"/>
    <n v="118"/>
    <n v="2059"/>
    <n v="198"/>
  </r>
  <r>
    <x v="1"/>
    <x v="2"/>
    <d v="2018-08-17T00:00:00"/>
    <x v="1"/>
    <n v="38"/>
    <n v="145"/>
    <n v="118"/>
    <n v="2060"/>
    <n v="132"/>
  </r>
  <r>
    <x v="1"/>
    <x v="2"/>
    <d v="2018-08-17T00:00:00"/>
    <x v="0"/>
    <n v="54"/>
    <n v="120"/>
    <n v="114"/>
    <n v="2057"/>
    <n v="194"/>
  </r>
  <r>
    <x v="1"/>
    <x v="2"/>
    <d v="2018-08-17T00:00:00"/>
    <x v="1"/>
    <n v="61"/>
    <n v="145"/>
    <n v="118"/>
    <n v="2056"/>
    <n v="215"/>
  </r>
  <r>
    <x v="1"/>
    <x v="2"/>
    <d v="2018-08-17T00:00:00"/>
    <x v="1"/>
    <n v="48"/>
    <n v="145"/>
    <n v="118"/>
    <n v="2058"/>
    <n v="173"/>
  </r>
  <r>
    <x v="1"/>
    <x v="2"/>
    <d v="2018-08-20T00:00:00"/>
    <x v="1"/>
    <n v="56"/>
    <n v="145"/>
    <n v="118"/>
    <n v="2067"/>
    <n v="204"/>
  </r>
  <r>
    <x v="1"/>
    <x v="2"/>
    <d v="2018-08-20T00:00:00"/>
    <x v="2"/>
    <n v="40"/>
    <n v="155"/>
    <n v="123"/>
    <n v="2061"/>
    <n v="147"/>
  </r>
  <r>
    <x v="1"/>
    <x v="2"/>
    <d v="2018-08-20T00:00:00"/>
    <x v="0"/>
    <n v="36"/>
    <n v="120"/>
    <n v="114"/>
    <n v="2068"/>
    <n v="169"/>
  </r>
  <r>
    <x v="1"/>
    <x v="2"/>
    <d v="2018-08-20T00:00:00"/>
    <x v="0"/>
    <n v="41"/>
    <n v="120"/>
    <n v="114"/>
    <n v="2066"/>
    <n v="148"/>
  </r>
  <r>
    <x v="1"/>
    <x v="2"/>
    <d v="2018-08-20T00:00:00"/>
    <x v="1"/>
    <n v="49"/>
    <n v="145"/>
    <n v="118"/>
    <n v="2065"/>
    <n v="168"/>
  </r>
  <r>
    <x v="1"/>
    <x v="2"/>
    <d v="2018-08-20T00:00:00"/>
    <x v="1"/>
    <n v="62"/>
    <n v="145"/>
    <n v="118"/>
    <n v="2064"/>
    <n v="214"/>
  </r>
  <r>
    <x v="1"/>
    <x v="2"/>
    <d v="2018-08-20T00:00:00"/>
    <x v="1"/>
    <n v="44"/>
    <n v="145"/>
    <n v="118"/>
    <n v="2063"/>
    <n v="162"/>
  </r>
  <r>
    <x v="1"/>
    <x v="2"/>
    <d v="2018-08-20T00:00:00"/>
    <x v="2"/>
    <n v="33"/>
    <n v="155"/>
    <n v="123"/>
    <n v="2062"/>
    <n v="122"/>
  </r>
  <r>
    <x v="1"/>
    <x v="2"/>
    <d v="2018-08-21T00:00:00"/>
    <x v="1"/>
    <n v="59"/>
    <n v="145"/>
    <n v="118"/>
    <n v="2069"/>
    <n v="209"/>
  </r>
  <r>
    <x v="1"/>
    <x v="2"/>
    <d v="2018-08-22T00:00:00"/>
    <x v="0"/>
    <n v="56"/>
    <n v="120"/>
    <n v="114"/>
    <n v="2070"/>
    <n v="206"/>
  </r>
  <r>
    <x v="1"/>
    <x v="2"/>
    <d v="2018-08-22T00:00:00"/>
    <x v="1"/>
    <n v="51"/>
    <n v="145"/>
    <n v="118"/>
    <n v="2071"/>
    <n v="186"/>
  </r>
  <r>
    <x v="1"/>
    <x v="2"/>
    <d v="2018-08-23T00:00:00"/>
    <x v="0"/>
    <n v="50"/>
    <n v="120"/>
    <n v="114"/>
    <n v="2072"/>
    <n v="182"/>
  </r>
  <r>
    <x v="1"/>
    <x v="2"/>
    <d v="2018-08-23T00:00:00"/>
    <x v="1"/>
    <n v="42"/>
    <n v="145"/>
    <n v="118"/>
    <n v="2073"/>
    <n v="146"/>
  </r>
  <r>
    <x v="1"/>
    <x v="2"/>
    <d v="2018-08-24T00:00:00"/>
    <x v="2"/>
    <n v="52"/>
    <n v="155"/>
    <n v="123"/>
    <n v="2074"/>
    <n v="189"/>
  </r>
  <r>
    <x v="1"/>
    <x v="2"/>
    <d v="2018-08-24T00:00:00"/>
    <x v="1"/>
    <n v="39"/>
    <n v="145"/>
    <n v="118"/>
    <n v="2075"/>
    <n v="140"/>
  </r>
  <r>
    <x v="1"/>
    <x v="2"/>
    <d v="2018-08-27T00:00:00"/>
    <x v="0"/>
    <n v="49"/>
    <n v="120"/>
    <n v="114"/>
    <n v="2076"/>
    <n v="168"/>
  </r>
  <r>
    <x v="1"/>
    <x v="2"/>
    <d v="2018-08-28T00:00:00"/>
    <x v="0"/>
    <n v="47"/>
    <n v="120"/>
    <n v="114"/>
    <n v="2077"/>
    <n v="167"/>
  </r>
  <r>
    <x v="1"/>
    <x v="2"/>
    <d v="2018-08-28T00:00:00"/>
    <x v="0"/>
    <n v="56"/>
    <n v="120"/>
    <n v="114"/>
    <n v="2078"/>
    <n v="193"/>
  </r>
  <r>
    <x v="1"/>
    <x v="2"/>
    <d v="2018-08-29T00:00:00"/>
    <x v="1"/>
    <n v="52"/>
    <n v="145"/>
    <n v="118"/>
    <n v="2079"/>
    <n v="179"/>
  </r>
  <r>
    <x v="1"/>
    <x v="2"/>
    <d v="2018-08-29T00:00:00"/>
    <x v="1"/>
    <n v="60"/>
    <n v="145"/>
    <n v="118"/>
    <n v="2080"/>
    <n v="212"/>
  </r>
  <r>
    <x v="1"/>
    <x v="2"/>
    <d v="2018-08-30T00:00:00"/>
    <x v="2"/>
    <n v="44"/>
    <n v="155"/>
    <n v="123"/>
    <n v="2081"/>
    <n v="153"/>
  </r>
  <r>
    <x v="1"/>
    <x v="2"/>
    <d v="2018-08-30T00:00:00"/>
    <x v="1"/>
    <n v="42"/>
    <n v="145"/>
    <n v="118"/>
    <n v="2082"/>
    <n v="154"/>
  </r>
  <r>
    <x v="1"/>
    <x v="2"/>
    <d v="2018-08-30T00:00:00"/>
    <x v="1"/>
    <n v="38"/>
    <n v="145"/>
    <n v="118"/>
    <n v="2083"/>
    <n v="137"/>
  </r>
  <r>
    <x v="1"/>
    <x v="2"/>
    <d v="2018-08-30T00:00:00"/>
    <x v="0"/>
    <n v="55"/>
    <n v="120"/>
    <n v="114"/>
    <n v="2084"/>
    <n v="192"/>
  </r>
  <r>
    <x v="1"/>
    <x v="2"/>
    <d v="2018-08-30T00:00:00"/>
    <x v="0"/>
    <n v="52"/>
    <n v="120"/>
    <n v="114"/>
    <n v="2085"/>
    <n v="183"/>
  </r>
  <r>
    <x v="1"/>
    <x v="2"/>
    <d v="2018-08-30T00:00:00"/>
    <x v="2"/>
    <n v="32"/>
    <n v="155"/>
    <n v="123"/>
    <n v="2086"/>
    <n v="118"/>
  </r>
  <r>
    <x v="1"/>
    <x v="2"/>
    <d v="2018-08-31T00:00:00"/>
    <x v="0"/>
    <n v="43"/>
    <n v="120"/>
    <n v="114"/>
    <n v="2087"/>
    <n v="152"/>
  </r>
  <r>
    <x v="1"/>
    <x v="2"/>
    <d v="2018-08-31T00:00:00"/>
    <x v="2"/>
    <n v="39"/>
    <n v="155"/>
    <n v="123"/>
    <n v="2088"/>
    <n v="143"/>
  </r>
  <r>
    <x v="1"/>
    <x v="2"/>
    <d v="2018-08-31T00:00:00"/>
    <x v="2"/>
    <n v="28"/>
    <n v="155"/>
    <n v="123"/>
    <n v="2089"/>
    <n v="99"/>
  </r>
  <r>
    <x v="1"/>
    <x v="2"/>
    <d v="2018-09-03T00:00:00"/>
    <x v="1"/>
    <n v="51"/>
    <n v="145"/>
    <n v="118"/>
    <n v="2095"/>
    <n v="187"/>
  </r>
  <r>
    <x v="1"/>
    <x v="2"/>
    <d v="2018-09-03T00:00:00"/>
    <x v="2"/>
    <n v="29"/>
    <n v="155"/>
    <n v="123"/>
    <n v="2096"/>
    <n v="102"/>
  </r>
  <r>
    <x v="1"/>
    <x v="2"/>
    <d v="2018-09-03T00:00:00"/>
    <x v="0"/>
    <n v="44"/>
    <n v="120"/>
    <n v="114"/>
    <n v="2094"/>
    <n v="205"/>
  </r>
  <r>
    <x v="1"/>
    <x v="2"/>
    <d v="2018-09-03T00:00:00"/>
    <x v="1"/>
    <n v="54"/>
    <n v="145"/>
    <n v="118"/>
    <n v="2092"/>
    <n v="193"/>
  </r>
  <r>
    <x v="1"/>
    <x v="2"/>
    <d v="2018-09-03T00:00:00"/>
    <x v="2"/>
    <n v="47"/>
    <n v="155"/>
    <n v="123"/>
    <n v="2091"/>
    <n v="172"/>
  </r>
  <r>
    <x v="1"/>
    <x v="2"/>
    <d v="2018-09-03T00:00:00"/>
    <x v="1"/>
    <n v="39"/>
    <n v="145"/>
    <n v="118"/>
    <n v="2090"/>
    <n v="135"/>
  </r>
  <r>
    <x v="1"/>
    <x v="2"/>
    <d v="2018-09-03T00:00:00"/>
    <x v="2"/>
    <n v="35"/>
    <n v="155"/>
    <n v="123"/>
    <n v="2097"/>
    <n v="123"/>
  </r>
  <r>
    <x v="1"/>
    <x v="2"/>
    <d v="2018-09-03T00:00:00"/>
    <x v="0"/>
    <n v="54"/>
    <n v="120"/>
    <n v="114"/>
    <n v="2093"/>
    <n v="197"/>
  </r>
  <r>
    <x v="1"/>
    <x v="2"/>
    <d v="2018-09-04T00:00:00"/>
    <x v="2"/>
    <n v="48"/>
    <n v="155"/>
    <n v="123"/>
    <n v="2098"/>
    <n v="170"/>
  </r>
  <r>
    <x v="1"/>
    <x v="2"/>
    <d v="2018-09-04T00:00:00"/>
    <x v="2"/>
    <n v="35"/>
    <n v="155"/>
    <n v="123"/>
    <n v="2099"/>
    <n v="128"/>
  </r>
  <r>
    <x v="1"/>
    <x v="2"/>
    <d v="2018-09-04T00:00:00"/>
    <x v="1"/>
    <n v="60"/>
    <n v="145"/>
    <n v="118"/>
    <n v="2100"/>
    <n v="207"/>
  </r>
  <r>
    <x v="1"/>
    <x v="2"/>
    <d v="2018-09-05T00:00:00"/>
    <x v="1"/>
    <n v="54"/>
    <n v="145"/>
    <n v="118"/>
    <n v="2103"/>
    <n v="199"/>
  </r>
  <r>
    <x v="1"/>
    <x v="2"/>
    <d v="2018-09-05T00:00:00"/>
    <x v="0"/>
    <n v="52"/>
    <n v="120"/>
    <n v="114"/>
    <n v="2104"/>
    <n v="182"/>
  </r>
  <r>
    <x v="1"/>
    <x v="2"/>
    <d v="2018-09-05T00:00:00"/>
    <x v="1"/>
    <n v="45"/>
    <n v="145"/>
    <n v="118"/>
    <n v="2102"/>
    <n v="159"/>
  </r>
  <r>
    <x v="1"/>
    <x v="2"/>
    <d v="2018-09-05T00:00:00"/>
    <x v="2"/>
    <n v="37"/>
    <n v="155"/>
    <n v="123"/>
    <n v="2101"/>
    <n v="141"/>
  </r>
  <r>
    <x v="1"/>
    <x v="2"/>
    <d v="2018-09-06T00:00:00"/>
    <x v="1"/>
    <n v="51"/>
    <n v="145"/>
    <n v="118"/>
    <n v="2105"/>
    <n v="178"/>
  </r>
  <r>
    <x v="1"/>
    <x v="2"/>
    <d v="2018-09-07T00:00:00"/>
    <x v="2"/>
    <n v="50"/>
    <n v="155"/>
    <n v="123"/>
    <n v="2106"/>
    <n v="175"/>
  </r>
  <r>
    <x v="1"/>
    <x v="2"/>
    <d v="2018-09-10T00:00:00"/>
    <x v="2"/>
    <n v="42"/>
    <n v="155"/>
    <n v="123"/>
    <n v="2107"/>
    <n v="150"/>
  </r>
  <r>
    <x v="1"/>
    <x v="2"/>
    <d v="2018-09-10T00:00:00"/>
    <x v="0"/>
    <n v="54"/>
    <n v="120"/>
    <n v="114"/>
    <n v="2108"/>
    <n v="190"/>
  </r>
  <r>
    <x v="1"/>
    <x v="2"/>
    <d v="2018-09-10T00:00:00"/>
    <x v="2"/>
    <n v="27"/>
    <n v="155"/>
    <n v="123"/>
    <n v="2109"/>
    <n v="99"/>
  </r>
  <r>
    <x v="1"/>
    <x v="2"/>
    <d v="2018-09-10T00:00:00"/>
    <x v="0"/>
    <n v="55"/>
    <n v="120"/>
    <n v="114"/>
    <n v="2110"/>
    <n v="193"/>
  </r>
  <r>
    <x v="1"/>
    <x v="2"/>
    <d v="2018-09-10T00:00:00"/>
    <x v="2"/>
    <n v="41"/>
    <n v="155"/>
    <n v="123"/>
    <n v="2111"/>
    <n v="146"/>
  </r>
  <r>
    <x v="1"/>
    <x v="2"/>
    <d v="2018-09-10T00:00:00"/>
    <x v="0"/>
    <n v="34"/>
    <n v="120"/>
    <n v="114"/>
    <n v="2112"/>
    <n v="124"/>
  </r>
  <r>
    <x v="1"/>
    <x v="2"/>
    <d v="2018-09-11T00:00:00"/>
    <x v="0"/>
    <n v="54"/>
    <n v="120"/>
    <n v="114"/>
    <n v="2115"/>
    <n v="206"/>
  </r>
  <r>
    <x v="1"/>
    <x v="2"/>
    <d v="2018-09-11T00:00:00"/>
    <x v="1"/>
    <n v="53"/>
    <n v="145"/>
    <n v="118"/>
    <n v="2116"/>
    <n v="188"/>
  </r>
  <r>
    <x v="1"/>
    <x v="2"/>
    <d v="2018-09-11T00:00:00"/>
    <x v="0"/>
    <n v="43"/>
    <n v="120"/>
    <n v="114"/>
    <n v="2113"/>
    <n v="158"/>
  </r>
  <r>
    <x v="1"/>
    <x v="2"/>
    <d v="2018-09-11T00:00:00"/>
    <x v="1"/>
    <n v="45"/>
    <n v="145"/>
    <n v="118"/>
    <n v="2114"/>
    <n v="164"/>
  </r>
  <r>
    <x v="1"/>
    <x v="2"/>
    <d v="2018-09-12T00:00:00"/>
    <x v="1"/>
    <n v="38"/>
    <n v="145"/>
    <n v="118"/>
    <n v="2117"/>
    <n v="140"/>
  </r>
  <r>
    <x v="1"/>
    <x v="2"/>
    <d v="2018-09-12T00:00:00"/>
    <x v="0"/>
    <n v="53"/>
    <n v="120"/>
    <n v="114"/>
    <n v="2118"/>
    <n v="187"/>
  </r>
  <r>
    <x v="1"/>
    <x v="2"/>
    <d v="2018-09-12T00:00:00"/>
    <x v="1"/>
    <n v="49"/>
    <n v="145"/>
    <n v="118"/>
    <n v="2119"/>
    <n v="176"/>
  </r>
  <r>
    <x v="1"/>
    <x v="2"/>
    <d v="2018-09-12T00:00:00"/>
    <x v="0"/>
    <n v="53"/>
    <n v="120"/>
    <n v="114"/>
    <n v="2120"/>
    <n v="191"/>
  </r>
  <r>
    <x v="1"/>
    <x v="2"/>
    <d v="2018-09-12T00:00:00"/>
    <x v="2"/>
    <n v="52"/>
    <n v="155"/>
    <n v="123"/>
    <n v="2121"/>
    <n v="182"/>
  </r>
  <r>
    <x v="1"/>
    <x v="2"/>
    <d v="2018-09-12T00:00:00"/>
    <x v="0"/>
    <n v="37"/>
    <n v="120"/>
    <n v="114"/>
    <n v="2122"/>
    <n v="127"/>
  </r>
  <r>
    <x v="1"/>
    <x v="2"/>
    <d v="2018-09-12T00:00:00"/>
    <x v="1"/>
    <n v="37"/>
    <n v="145"/>
    <n v="118"/>
    <n v="2123"/>
    <n v="127"/>
  </r>
  <r>
    <x v="1"/>
    <x v="2"/>
    <d v="2018-09-12T00:00:00"/>
    <x v="1"/>
    <n v="37"/>
    <n v="145"/>
    <n v="118"/>
    <n v="2124"/>
    <n v="132"/>
  </r>
  <r>
    <x v="1"/>
    <x v="2"/>
    <d v="2018-09-13T00:00:00"/>
    <x v="2"/>
    <n v="40"/>
    <n v="155"/>
    <n v="123"/>
    <n v="2125"/>
    <n v="137"/>
  </r>
  <r>
    <x v="1"/>
    <x v="2"/>
    <d v="2018-09-14T00:00:00"/>
    <x v="0"/>
    <n v="38"/>
    <n v="120"/>
    <n v="114"/>
    <n v="2131"/>
    <n v="144"/>
  </r>
  <r>
    <x v="1"/>
    <x v="2"/>
    <d v="2018-09-14T00:00:00"/>
    <x v="2"/>
    <n v="38"/>
    <n v="155"/>
    <n v="123"/>
    <n v="2132"/>
    <n v="137"/>
  </r>
  <r>
    <x v="1"/>
    <x v="2"/>
    <d v="2018-09-14T00:00:00"/>
    <x v="2"/>
    <n v="44"/>
    <n v="155"/>
    <n v="123"/>
    <n v="2130"/>
    <n v="161"/>
  </r>
  <r>
    <x v="1"/>
    <x v="2"/>
    <d v="2018-09-14T00:00:00"/>
    <x v="0"/>
    <n v="39"/>
    <n v="120"/>
    <n v="114"/>
    <n v="2128"/>
    <n v="139"/>
  </r>
  <r>
    <x v="1"/>
    <x v="2"/>
    <d v="2018-09-14T00:00:00"/>
    <x v="1"/>
    <n v="37"/>
    <n v="145"/>
    <n v="118"/>
    <n v="2133"/>
    <n v="128"/>
  </r>
  <r>
    <x v="1"/>
    <x v="2"/>
    <d v="2018-09-14T00:00:00"/>
    <x v="2"/>
    <n v="44"/>
    <n v="155"/>
    <n v="123"/>
    <n v="2127"/>
    <n v="161"/>
  </r>
  <r>
    <x v="1"/>
    <x v="2"/>
    <d v="2018-09-14T00:00:00"/>
    <x v="2"/>
    <n v="26"/>
    <n v="155"/>
    <n v="123"/>
    <n v="2126"/>
    <n v="94"/>
  </r>
  <r>
    <x v="1"/>
    <x v="2"/>
    <d v="2018-09-14T00:00:00"/>
    <x v="1"/>
    <n v="44"/>
    <n v="145"/>
    <n v="118"/>
    <n v="2129"/>
    <n v="206"/>
  </r>
  <r>
    <x v="1"/>
    <x v="2"/>
    <d v="2018-09-17T00:00:00"/>
    <x v="2"/>
    <n v="47"/>
    <n v="155"/>
    <n v="123"/>
    <n v="2134"/>
    <n v="173"/>
  </r>
  <r>
    <x v="1"/>
    <x v="2"/>
    <d v="2018-09-18T00:00:00"/>
    <x v="1"/>
    <n v="56"/>
    <n v="145"/>
    <n v="118"/>
    <n v="2138"/>
    <n v="204"/>
  </r>
  <r>
    <x v="1"/>
    <x v="2"/>
    <d v="2018-09-18T00:00:00"/>
    <x v="2"/>
    <n v="38"/>
    <n v="155"/>
    <n v="123"/>
    <n v="2139"/>
    <n v="130"/>
  </r>
  <r>
    <x v="1"/>
    <x v="2"/>
    <d v="2018-09-18T00:00:00"/>
    <x v="1"/>
    <n v="52"/>
    <n v="145"/>
    <n v="118"/>
    <n v="2137"/>
    <n v="186"/>
  </r>
  <r>
    <x v="1"/>
    <x v="2"/>
    <d v="2018-09-18T00:00:00"/>
    <x v="0"/>
    <n v="39"/>
    <n v="120"/>
    <n v="114"/>
    <n v="2136"/>
    <n v="140"/>
  </r>
  <r>
    <x v="1"/>
    <x v="2"/>
    <d v="2018-09-18T00:00:00"/>
    <x v="2"/>
    <n v="26"/>
    <n v="155"/>
    <n v="123"/>
    <n v="2135"/>
    <n v="91"/>
  </r>
  <r>
    <x v="1"/>
    <x v="2"/>
    <d v="2018-09-19T00:00:00"/>
    <x v="0"/>
    <n v="52"/>
    <n v="120"/>
    <n v="114"/>
    <n v="2141"/>
    <n v="244"/>
  </r>
  <r>
    <x v="1"/>
    <x v="2"/>
    <d v="2018-09-19T00:00:00"/>
    <x v="2"/>
    <n v="47"/>
    <n v="155"/>
    <n v="123"/>
    <n v="2142"/>
    <n v="165"/>
  </r>
  <r>
    <x v="1"/>
    <x v="2"/>
    <d v="2018-09-19T00:00:00"/>
    <x v="1"/>
    <n v="56"/>
    <n v="145"/>
    <n v="118"/>
    <n v="2143"/>
    <n v="193"/>
  </r>
  <r>
    <x v="1"/>
    <x v="2"/>
    <d v="2018-09-19T00:00:00"/>
    <x v="1"/>
    <n v="36"/>
    <n v="145"/>
    <n v="118"/>
    <n v="2144"/>
    <n v="124"/>
  </r>
  <r>
    <x v="1"/>
    <x v="2"/>
    <d v="2018-09-19T00:00:00"/>
    <x v="1"/>
    <n v="36"/>
    <n v="145"/>
    <n v="118"/>
    <n v="2145"/>
    <n v="123"/>
  </r>
  <r>
    <x v="1"/>
    <x v="2"/>
    <d v="2018-09-19T00:00:00"/>
    <x v="2"/>
    <n v="48"/>
    <n v="155"/>
    <n v="123"/>
    <n v="2146"/>
    <n v="166"/>
  </r>
  <r>
    <x v="1"/>
    <x v="2"/>
    <d v="2018-09-19T00:00:00"/>
    <x v="2"/>
    <n v="27"/>
    <n v="155"/>
    <n v="123"/>
    <n v="2147"/>
    <n v="98"/>
  </r>
  <r>
    <x v="1"/>
    <x v="2"/>
    <d v="2018-09-19T00:00:00"/>
    <x v="1"/>
    <n v="43"/>
    <n v="145"/>
    <n v="118"/>
    <n v="2140"/>
    <n v="158"/>
  </r>
  <r>
    <x v="1"/>
    <x v="2"/>
    <d v="2018-09-20T00:00:00"/>
    <x v="1"/>
    <n v="42"/>
    <n v="145"/>
    <n v="118"/>
    <n v="2148"/>
    <n v="144"/>
  </r>
  <r>
    <x v="1"/>
    <x v="2"/>
    <d v="2018-09-20T00:00:00"/>
    <x v="0"/>
    <n v="36"/>
    <n v="120"/>
    <n v="114"/>
    <n v="2149"/>
    <n v="124"/>
  </r>
  <r>
    <x v="1"/>
    <x v="2"/>
    <d v="2018-09-21T00:00:00"/>
    <x v="1"/>
    <n v="59"/>
    <n v="145"/>
    <n v="118"/>
    <n v="2150"/>
    <n v="208"/>
  </r>
  <r>
    <x v="1"/>
    <x v="2"/>
    <d v="2018-09-21T00:00:00"/>
    <x v="1"/>
    <n v="48"/>
    <n v="145"/>
    <n v="118"/>
    <n v="2151"/>
    <n v="169"/>
  </r>
  <r>
    <x v="1"/>
    <x v="2"/>
    <d v="2018-09-21T00:00:00"/>
    <x v="0"/>
    <n v="57"/>
    <n v="120"/>
    <n v="114"/>
    <n v="2152"/>
    <n v="196"/>
  </r>
  <r>
    <x v="1"/>
    <x v="2"/>
    <d v="2018-09-24T00:00:00"/>
    <x v="2"/>
    <n v="51"/>
    <n v="155"/>
    <n v="123"/>
    <n v="2153"/>
    <n v="177"/>
  </r>
  <r>
    <x v="1"/>
    <x v="2"/>
    <d v="2018-09-24T00:00:00"/>
    <x v="1"/>
    <n v="50"/>
    <n v="145"/>
    <n v="118"/>
    <n v="2154"/>
    <n v="175"/>
  </r>
  <r>
    <x v="1"/>
    <x v="2"/>
    <d v="2018-09-24T00:00:00"/>
    <x v="0"/>
    <n v="47"/>
    <n v="120"/>
    <n v="114"/>
    <n v="2155"/>
    <n v="170"/>
  </r>
  <r>
    <x v="1"/>
    <x v="2"/>
    <d v="2018-09-24T00:00:00"/>
    <x v="2"/>
    <n v="31"/>
    <n v="155"/>
    <n v="123"/>
    <n v="2156"/>
    <n v="111"/>
  </r>
  <r>
    <x v="1"/>
    <x v="2"/>
    <d v="2018-09-24T00:00:00"/>
    <x v="1"/>
    <n v="41"/>
    <n v="145"/>
    <n v="118"/>
    <n v="2157"/>
    <n v="193"/>
  </r>
  <r>
    <x v="1"/>
    <x v="2"/>
    <d v="2018-09-24T00:00:00"/>
    <x v="0"/>
    <n v="34"/>
    <n v="120"/>
    <n v="114"/>
    <n v="2158"/>
    <n v="124"/>
  </r>
  <r>
    <x v="1"/>
    <x v="2"/>
    <d v="2018-09-24T00:00:00"/>
    <x v="0"/>
    <n v="37"/>
    <n v="120"/>
    <n v="114"/>
    <n v="2159"/>
    <n v="174"/>
  </r>
  <r>
    <x v="1"/>
    <x v="2"/>
    <d v="2018-09-25T00:00:00"/>
    <x v="1"/>
    <n v="39"/>
    <n v="145"/>
    <n v="118"/>
    <n v="2165"/>
    <n v="135"/>
  </r>
  <r>
    <x v="1"/>
    <x v="2"/>
    <d v="2018-09-25T00:00:00"/>
    <x v="2"/>
    <n v="28"/>
    <n v="155"/>
    <n v="123"/>
    <n v="2166"/>
    <n v="99"/>
  </r>
  <r>
    <x v="1"/>
    <x v="2"/>
    <d v="2018-09-25T00:00:00"/>
    <x v="2"/>
    <n v="52"/>
    <n v="155"/>
    <n v="123"/>
    <n v="2164"/>
    <n v="188"/>
  </r>
  <r>
    <x v="1"/>
    <x v="2"/>
    <d v="2018-09-25T00:00:00"/>
    <x v="0"/>
    <n v="35"/>
    <n v="120"/>
    <n v="114"/>
    <n v="2162"/>
    <n v="127"/>
  </r>
  <r>
    <x v="1"/>
    <x v="2"/>
    <d v="2018-09-25T00:00:00"/>
    <x v="0"/>
    <n v="32"/>
    <n v="120"/>
    <n v="114"/>
    <n v="2161"/>
    <n v="147"/>
  </r>
  <r>
    <x v="1"/>
    <x v="2"/>
    <d v="2018-09-25T00:00:00"/>
    <x v="0"/>
    <n v="45"/>
    <n v="120"/>
    <n v="114"/>
    <n v="2160"/>
    <n v="158"/>
  </r>
  <r>
    <x v="1"/>
    <x v="2"/>
    <d v="2018-09-25T00:00:00"/>
    <x v="2"/>
    <n v="35"/>
    <n v="155"/>
    <n v="123"/>
    <n v="2167"/>
    <n v="128"/>
  </r>
  <r>
    <x v="1"/>
    <x v="2"/>
    <d v="2018-09-25T00:00:00"/>
    <x v="2"/>
    <n v="49"/>
    <n v="155"/>
    <n v="123"/>
    <n v="2163"/>
    <n v="175"/>
  </r>
  <r>
    <x v="1"/>
    <x v="2"/>
    <d v="2018-09-26T00:00:00"/>
    <x v="1"/>
    <n v="39"/>
    <n v="145"/>
    <n v="118"/>
    <n v="2172"/>
    <n v="136"/>
  </r>
  <r>
    <x v="1"/>
    <x v="2"/>
    <d v="2018-09-26T00:00:00"/>
    <x v="0"/>
    <n v="47"/>
    <n v="120"/>
    <n v="114"/>
    <n v="2173"/>
    <n v="172"/>
  </r>
  <r>
    <x v="1"/>
    <x v="2"/>
    <d v="2018-09-26T00:00:00"/>
    <x v="2"/>
    <n v="35"/>
    <n v="155"/>
    <n v="123"/>
    <n v="2171"/>
    <n v="121"/>
  </r>
  <r>
    <x v="1"/>
    <x v="2"/>
    <d v="2018-09-26T00:00:00"/>
    <x v="0"/>
    <n v="50"/>
    <n v="120"/>
    <n v="114"/>
    <n v="2170"/>
    <n v="176"/>
  </r>
  <r>
    <x v="1"/>
    <x v="2"/>
    <d v="2018-09-26T00:00:00"/>
    <x v="2"/>
    <n v="49"/>
    <n v="155"/>
    <n v="123"/>
    <n v="2169"/>
    <n v="176"/>
  </r>
  <r>
    <x v="1"/>
    <x v="2"/>
    <d v="2018-09-26T00:00:00"/>
    <x v="1"/>
    <n v="43"/>
    <n v="145"/>
    <n v="118"/>
    <n v="2168"/>
    <n v="199"/>
  </r>
  <r>
    <x v="1"/>
    <x v="2"/>
    <d v="2018-09-27T00:00:00"/>
    <x v="2"/>
    <n v="41"/>
    <n v="155"/>
    <n v="123"/>
    <n v="2175"/>
    <n v="148"/>
  </r>
  <r>
    <x v="1"/>
    <x v="2"/>
    <d v="2018-09-27T00:00:00"/>
    <x v="0"/>
    <n v="57"/>
    <n v="120"/>
    <n v="114"/>
    <n v="2176"/>
    <n v="200"/>
  </r>
  <r>
    <x v="1"/>
    <x v="2"/>
    <d v="2018-09-27T00:00:00"/>
    <x v="2"/>
    <n v="52"/>
    <n v="155"/>
    <n v="123"/>
    <n v="2174"/>
    <n v="239"/>
  </r>
  <r>
    <x v="1"/>
    <x v="2"/>
    <d v="2018-09-28T00:00:00"/>
    <x v="1"/>
    <n v="60"/>
    <n v="145"/>
    <n v="118"/>
    <n v="2177"/>
    <n v="220"/>
  </r>
  <r>
    <x v="1"/>
    <x v="2"/>
    <d v="2018-09-28T00:00:00"/>
    <x v="0"/>
    <n v="45"/>
    <n v="120"/>
    <n v="114"/>
    <n v="2178"/>
    <n v="157"/>
  </r>
  <r>
    <x v="1"/>
    <x v="2"/>
    <d v="2018-09-28T00:00:00"/>
    <x v="2"/>
    <n v="39"/>
    <n v="155"/>
    <n v="123"/>
    <n v="2179"/>
    <n v="142"/>
  </r>
  <r>
    <x v="1"/>
    <x v="3"/>
    <d v="2018-10-01T00:00:00"/>
    <x v="2"/>
    <n v="27"/>
    <n v="155"/>
    <n v="123"/>
    <n v="2184"/>
    <n v="99"/>
  </r>
  <r>
    <x v="1"/>
    <x v="3"/>
    <d v="2018-10-01T00:00:00"/>
    <x v="1"/>
    <n v="35"/>
    <n v="145"/>
    <n v="118"/>
    <n v="2187"/>
    <n v="122"/>
  </r>
  <r>
    <x v="1"/>
    <x v="3"/>
    <d v="2018-10-01T00:00:00"/>
    <x v="1"/>
    <n v="60"/>
    <n v="145"/>
    <n v="118"/>
    <n v="2186"/>
    <n v="206"/>
  </r>
  <r>
    <x v="1"/>
    <x v="3"/>
    <d v="2018-10-01T00:00:00"/>
    <x v="1"/>
    <n v="55"/>
    <n v="145"/>
    <n v="118"/>
    <n v="2185"/>
    <n v="192"/>
  </r>
  <r>
    <x v="1"/>
    <x v="3"/>
    <d v="2018-10-01T00:00:00"/>
    <x v="1"/>
    <n v="49"/>
    <n v="145"/>
    <n v="118"/>
    <n v="2182"/>
    <n v="173"/>
  </r>
  <r>
    <x v="1"/>
    <x v="3"/>
    <d v="2018-10-01T00:00:00"/>
    <x v="2"/>
    <n v="26"/>
    <n v="155"/>
    <n v="123"/>
    <n v="2181"/>
    <n v="93"/>
  </r>
  <r>
    <x v="1"/>
    <x v="3"/>
    <d v="2018-10-01T00:00:00"/>
    <x v="2"/>
    <n v="28"/>
    <n v="155"/>
    <n v="123"/>
    <n v="2180"/>
    <n v="131"/>
  </r>
  <r>
    <x v="1"/>
    <x v="3"/>
    <d v="2018-10-01T00:00:00"/>
    <x v="1"/>
    <n v="48"/>
    <n v="145"/>
    <n v="118"/>
    <n v="2183"/>
    <n v="168"/>
  </r>
  <r>
    <x v="1"/>
    <x v="3"/>
    <d v="2018-10-02T00:00:00"/>
    <x v="1"/>
    <n v="52"/>
    <n v="145"/>
    <n v="118"/>
    <n v="2194"/>
    <n v="185"/>
  </r>
  <r>
    <x v="1"/>
    <x v="3"/>
    <d v="2018-10-02T00:00:00"/>
    <x v="2"/>
    <n v="32"/>
    <n v="155"/>
    <n v="123"/>
    <n v="2188"/>
    <n v="115"/>
  </r>
  <r>
    <x v="1"/>
    <x v="3"/>
    <d v="2018-10-02T00:00:00"/>
    <x v="0"/>
    <n v="39"/>
    <n v="120"/>
    <n v="114"/>
    <n v="2189"/>
    <n v="136"/>
  </r>
  <r>
    <x v="1"/>
    <x v="3"/>
    <d v="2018-10-02T00:00:00"/>
    <x v="2"/>
    <n v="32"/>
    <n v="155"/>
    <n v="123"/>
    <n v="2190"/>
    <n v="117"/>
  </r>
  <r>
    <x v="1"/>
    <x v="3"/>
    <d v="2018-10-02T00:00:00"/>
    <x v="2"/>
    <n v="39"/>
    <n v="155"/>
    <n v="123"/>
    <n v="2191"/>
    <n v="141"/>
  </r>
  <r>
    <x v="1"/>
    <x v="3"/>
    <d v="2018-10-02T00:00:00"/>
    <x v="2"/>
    <n v="28"/>
    <n v="155"/>
    <n v="123"/>
    <n v="2192"/>
    <n v="97"/>
  </r>
  <r>
    <x v="1"/>
    <x v="3"/>
    <d v="2018-10-02T00:00:00"/>
    <x v="2"/>
    <n v="34"/>
    <n v="155"/>
    <n v="123"/>
    <n v="2193"/>
    <n v="125"/>
  </r>
  <r>
    <x v="1"/>
    <x v="3"/>
    <d v="2018-10-03T00:00:00"/>
    <x v="0"/>
    <n v="37"/>
    <n v="120"/>
    <n v="114"/>
    <n v="2195"/>
    <n v="131"/>
  </r>
  <r>
    <x v="1"/>
    <x v="3"/>
    <d v="2018-10-04T00:00:00"/>
    <x v="0"/>
    <n v="35"/>
    <n v="120"/>
    <n v="114"/>
    <n v="2197"/>
    <n v="127"/>
  </r>
  <r>
    <x v="1"/>
    <x v="3"/>
    <d v="2018-10-04T00:00:00"/>
    <x v="0"/>
    <n v="50"/>
    <n v="120"/>
    <n v="114"/>
    <n v="2198"/>
    <n v="178"/>
  </r>
  <r>
    <x v="1"/>
    <x v="3"/>
    <d v="2018-10-04T00:00:00"/>
    <x v="1"/>
    <n v="58"/>
    <n v="145"/>
    <n v="118"/>
    <n v="2199"/>
    <n v="202"/>
  </r>
  <r>
    <x v="1"/>
    <x v="3"/>
    <d v="2018-10-04T00:00:00"/>
    <x v="2"/>
    <n v="40"/>
    <n v="155"/>
    <n v="123"/>
    <n v="2200"/>
    <n v="140"/>
  </r>
  <r>
    <x v="1"/>
    <x v="3"/>
    <d v="2018-10-04T00:00:00"/>
    <x v="2"/>
    <n v="50"/>
    <n v="155"/>
    <n v="123"/>
    <n v="2201"/>
    <n v="179"/>
  </r>
  <r>
    <x v="1"/>
    <x v="3"/>
    <d v="2018-10-04T00:00:00"/>
    <x v="2"/>
    <n v="30"/>
    <n v="155"/>
    <n v="123"/>
    <n v="2196"/>
    <n v="109"/>
  </r>
  <r>
    <x v="1"/>
    <x v="3"/>
    <d v="2018-10-05T00:00:00"/>
    <x v="0"/>
    <n v="50"/>
    <n v="120"/>
    <n v="114"/>
    <n v="2207"/>
    <n v="173"/>
  </r>
  <r>
    <x v="1"/>
    <x v="3"/>
    <d v="2018-10-05T00:00:00"/>
    <x v="2"/>
    <n v="45"/>
    <n v="155"/>
    <n v="123"/>
    <n v="2203"/>
    <n v="166"/>
  </r>
  <r>
    <x v="1"/>
    <x v="3"/>
    <d v="2018-10-05T00:00:00"/>
    <x v="1"/>
    <n v="43"/>
    <n v="145"/>
    <n v="118"/>
    <n v="2209"/>
    <n v="154"/>
  </r>
  <r>
    <x v="1"/>
    <x v="3"/>
    <d v="2018-10-05T00:00:00"/>
    <x v="1"/>
    <n v="41"/>
    <n v="145"/>
    <n v="118"/>
    <n v="2208"/>
    <n v="150"/>
  </r>
  <r>
    <x v="1"/>
    <x v="3"/>
    <d v="2018-10-05T00:00:00"/>
    <x v="0"/>
    <n v="38"/>
    <n v="120"/>
    <n v="114"/>
    <n v="2202"/>
    <n v="139"/>
  </r>
  <r>
    <x v="1"/>
    <x v="3"/>
    <d v="2018-10-05T00:00:00"/>
    <x v="0"/>
    <n v="34"/>
    <n v="120"/>
    <n v="114"/>
    <n v="2204"/>
    <n v="160"/>
  </r>
  <r>
    <x v="1"/>
    <x v="3"/>
    <d v="2018-10-05T00:00:00"/>
    <x v="1"/>
    <n v="57"/>
    <n v="145"/>
    <n v="118"/>
    <n v="2206"/>
    <n v="215"/>
  </r>
  <r>
    <x v="1"/>
    <x v="3"/>
    <d v="2018-10-05T00:00:00"/>
    <x v="1"/>
    <n v="36"/>
    <n v="145"/>
    <n v="118"/>
    <n v="2205"/>
    <n v="127"/>
  </r>
  <r>
    <x v="1"/>
    <x v="3"/>
    <d v="2018-10-08T00:00:00"/>
    <x v="1"/>
    <n v="56"/>
    <n v="145"/>
    <n v="118"/>
    <n v="2210"/>
    <n v="203"/>
  </r>
  <r>
    <x v="1"/>
    <x v="3"/>
    <d v="2018-10-08T00:00:00"/>
    <x v="1"/>
    <n v="55"/>
    <n v="145"/>
    <n v="118"/>
    <n v="2211"/>
    <n v="203"/>
  </r>
  <r>
    <x v="1"/>
    <x v="3"/>
    <d v="2018-10-08T00:00:00"/>
    <x v="2"/>
    <n v="38"/>
    <n v="155"/>
    <n v="123"/>
    <n v="2212"/>
    <n v="136"/>
  </r>
  <r>
    <x v="1"/>
    <x v="3"/>
    <d v="2018-10-09T00:00:00"/>
    <x v="0"/>
    <n v="29"/>
    <n v="120"/>
    <n v="114"/>
    <n v="2214"/>
    <n v="102"/>
  </r>
  <r>
    <x v="1"/>
    <x v="3"/>
    <d v="2018-10-09T00:00:00"/>
    <x v="0"/>
    <n v="51"/>
    <n v="120"/>
    <n v="114"/>
    <n v="2219"/>
    <n v="187"/>
  </r>
  <r>
    <x v="1"/>
    <x v="3"/>
    <d v="2018-10-09T00:00:00"/>
    <x v="0"/>
    <n v="30"/>
    <n v="120"/>
    <n v="114"/>
    <n v="2218"/>
    <n v="110"/>
  </r>
  <r>
    <x v="1"/>
    <x v="3"/>
    <d v="2018-10-09T00:00:00"/>
    <x v="1"/>
    <n v="39"/>
    <n v="145"/>
    <n v="118"/>
    <n v="2217"/>
    <n v="136"/>
  </r>
  <r>
    <x v="1"/>
    <x v="3"/>
    <d v="2018-10-09T00:00:00"/>
    <x v="2"/>
    <n v="33"/>
    <n v="155"/>
    <n v="123"/>
    <n v="2215"/>
    <n v="119"/>
  </r>
  <r>
    <x v="1"/>
    <x v="3"/>
    <d v="2018-10-09T00:00:00"/>
    <x v="1"/>
    <n v="60"/>
    <n v="145"/>
    <n v="118"/>
    <n v="2213"/>
    <n v="209"/>
  </r>
  <r>
    <x v="1"/>
    <x v="3"/>
    <d v="2018-10-09T00:00:00"/>
    <x v="1"/>
    <n v="60"/>
    <n v="145"/>
    <n v="118"/>
    <n v="2216"/>
    <n v="209"/>
  </r>
  <r>
    <x v="1"/>
    <x v="3"/>
    <d v="2018-10-10T00:00:00"/>
    <x v="0"/>
    <n v="50"/>
    <n v="120"/>
    <n v="114"/>
    <n v="2222"/>
    <n v="178"/>
  </r>
  <r>
    <x v="1"/>
    <x v="3"/>
    <d v="2018-10-10T00:00:00"/>
    <x v="2"/>
    <n v="37"/>
    <n v="155"/>
    <n v="123"/>
    <n v="2225"/>
    <n v="128"/>
  </r>
  <r>
    <x v="1"/>
    <x v="3"/>
    <d v="2018-10-10T00:00:00"/>
    <x v="0"/>
    <n v="49"/>
    <n v="120"/>
    <n v="114"/>
    <n v="2227"/>
    <n v="172"/>
  </r>
  <r>
    <x v="1"/>
    <x v="3"/>
    <d v="2018-10-10T00:00:00"/>
    <x v="1"/>
    <n v="36"/>
    <n v="145"/>
    <n v="118"/>
    <n v="2226"/>
    <n v="131"/>
  </r>
  <r>
    <x v="1"/>
    <x v="3"/>
    <d v="2018-10-10T00:00:00"/>
    <x v="0"/>
    <n v="40"/>
    <n v="120"/>
    <n v="114"/>
    <n v="2223"/>
    <n v="141"/>
  </r>
  <r>
    <x v="1"/>
    <x v="3"/>
    <d v="2018-10-10T00:00:00"/>
    <x v="1"/>
    <n v="47"/>
    <n v="145"/>
    <n v="118"/>
    <n v="2220"/>
    <n v="165"/>
  </r>
  <r>
    <x v="1"/>
    <x v="3"/>
    <d v="2018-10-10T00:00:00"/>
    <x v="2"/>
    <n v="45"/>
    <n v="155"/>
    <n v="123"/>
    <n v="2221"/>
    <n v="154"/>
  </r>
  <r>
    <x v="1"/>
    <x v="3"/>
    <d v="2018-10-10T00:00:00"/>
    <x v="0"/>
    <n v="35"/>
    <n v="120"/>
    <n v="114"/>
    <n v="2224"/>
    <n v="125"/>
  </r>
  <r>
    <x v="1"/>
    <x v="3"/>
    <d v="2018-10-11T00:00:00"/>
    <x v="1"/>
    <n v="37"/>
    <n v="145"/>
    <n v="118"/>
    <n v="2228"/>
    <n v="133"/>
  </r>
  <r>
    <x v="1"/>
    <x v="3"/>
    <d v="2018-10-11T00:00:00"/>
    <x v="0"/>
    <n v="40"/>
    <n v="120"/>
    <n v="114"/>
    <n v="2229"/>
    <n v="137"/>
  </r>
  <r>
    <x v="1"/>
    <x v="3"/>
    <d v="2018-10-11T00:00:00"/>
    <x v="0"/>
    <n v="39"/>
    <n v="120"/>
    <n v="114"/>
    <n v="2230"/>
    <n v="140"/>
  </r>
  <r>
    <x v="1"/>
    <x v="3"/>
    <d v="2018-10-11T00:00:00"/>
    <x v="0"/>
    <n v="52"/>
    <n v="120"/>
    <n v="114"/>
    <n v="2231"/>
    <n v="180"/>
  </r>
  <r>
    <x v="1"/>
    <x v="3"/>
    <d v="2018-10-12T00:00:00"/>
    <x v="2"/>
    <n v="45"/>
    <n v="155"/>
    <n v="123"/>
    <n v="2233"/>
    <n v="157"/>
  </r>
  <r>
    <x v="1"/>
    <x v="3"/>
    <d v="2018-10-12T00:00:00"/>
    <x v="0"/>
    <n v="49"/>
    <n v="120"/>
    <n v="114"/>
    <n v="2236"/>
    <n v="176"/>
  </r>
  <r>
    <x v="1"/>
    <x v="3"/>
    <d v="2018-10-12T00:00:00"/>
    <x v="1"/>
    <n v="36"/>
    <n v="145"/>
    <n v="118"/>
    <n v="2234"/>
    <n v="129"/>
  </r>
  <r>
    <x v="1"/>
    <x v="3"/>
    <d v="2018-10-12T00:00:00"/>
    <x v="0"/>
    <n v="29"/>
    <n v="120"/>
    <n v="114"/>
    <n v="2232"/>
    <n v="106"/>
  </r>
  <r>
    <x v="1"/>
    <x v="3"/>
    <d v="2018-10-12T00:00:00"/>
    <x v="1"/>
    <n v="52"/>
    <n v="145"/>
    <n v="118"/>
    <n v="2235"/>
    <n v="186"/>
  </r>
  <r>
    <x v="1"/>
    <x v="3"/>
    <d v="2018-10-15T00:00:00"/>
    <x v="2"/>
    <n v="41"/>
    <n v="155"/>
    <n v="123"/>
    <n v="2237"/>
    <n v="189"/>
  </r>
  <r>
    <x v="1"/>
    <x v="3"/>
    <d v="2018-10-16T00:00:00"/>
    <x v="2"/>
    <n v="41"/>
    <n v="155"/>
    <n v="123"/>
    <n v="2238"/>
    <n v="143"/>
  </r>
  <r>
    <x v="1"/>
    <x v="3"/>
    <d v="2018-10-16T00:00:00"/>
    <x v="2"/>
    <n v="34"/>
    <n v="155"/>
    <n v="123"/>
    <n v="2239"/>
    <n v="120"/>
  </r>
  <r>
    <x v="1"/>
    <x v="3"/>
    <d v="2018-10-16T00:00:00"/>
    <x v="0"/>
    <n v="48"/>
    <n v="120"/>
    <n v="114"/>
    <n v="2240"/>
    <n v="171"/>
  </r>
  <r>
    <x v="1"/>
    <x v="3"/>
    <d v="2018-10-16T00:00:00"/>
    <x v="0"/>
    <n v="53"/>
    <n v="120"/>
    <n v="114"/>
    <n v="2241"/>
    <n v="188"/>
  </r>
  <r>
    <x v="1"/>
    <x v="3"/>
    <d v="2018-10-17T00:00:00"/>
    <x v="0"/>
    <n v="55"/>
    <n v="120"/>
    <n v="114"/>
    <n v="2242"/>
    <n v="255"/>
  </r>
  <r>
    <x v="1"/>
    <x v="3"/>
    <d v="2018-10-17T00:00:00"/>
    <x v="2"/>
    <n v="48"/>
    <n v="155"/>
    <n v="123"/>
    <n v="2245"/>
    <n v="165"/>
  </r>
  <r>
    <x v="1"/>
    <x v="3"/>
    <d v="2018-10-17T00:00:00"/>
    <x v="0"/>
    <n v="34"/>
    <n v="120"/>
    <n v="114"/>
    <n v="2243"/>
    <n v="120"/>
  </r>
  <r>
    <x v="1"/>
    <x v="3"/>
    <d v="2018-10-17T00:00:00"/>
    <x v="1"/>
    <n v="46"/>
    <n v="145"/>
    <n v="118"/>
    <n v="2244"/>
    <n v="169"/>
  </r>
  <r>
    <x v="1"/>
    <x v="3"/>
    <d v="2018-10-18T00:00:00"/>
    <x v="2"/>
    <n v="26"/>
    <n v="155"/>
    <n v="123"/>
    <n v="2246"/>
    <n v="89"/>
  </r>
  <r>
    <x v="1"/>
    <x v="3"/>
    <d v="2018-10-19T00:00:00"/>
    <x v="0"/>
    <n v="38"/>
    <n v="120"/>
    <n v="114"/>
    <n v="2247"/>
    <n v="134"/>
  </r>
  <r>
    <x v="1"/>
    <x v="3"/>
    <d v="2018-10-19T00:00:00"/>
    <x v="0"/>
    <n v="31"/>
    <n v="120"/>
    <n v="114"/>
    <n v="2248"/>
    <n v="107"/>
  </r>
  <r>
    <x v="1"/>
    <x v="3"/>
    <d v="2018-10-19T00:00:00"/>
    <x v="1"/>
    <n v="40"/>
    <n v="145"/>
    <n v="118"/>
    <n v="2249"/>
    <n v="139"/>
  </r>
  <r>
    <x v="1"/>
    <x v="3"/>
    <d v="2018-10-22T00:00:00"/>
    <x v="1"/>
    <n v="57"/>
    <n v="145"/>
    <n v="118"/>
    <n v="2250"/>
    <n v="197"/>
  </r>
  <r>
    <x v="1"/>
    <x v="3"/>
    <d v="2018-10-22T00:00:00"/>
    <x v="1"/>
    <n v="53"/>
    <n v="145"/>
    <n v="118"/>
    <n v="2251"/>
    <n v="193"/>
  </r>
  <r>
    <x v="1"/>
    <x v="3"/>
    <d v="2018-10-23T00:00:00"/>
    <x v="0"/>
    <n v="38"/>
    <n v="120"/>
    <n v="114"/>
    <n v="2252"/>
    <n v="176"/>
  </r>
  <r>
    <x v="1"/>
    <x v="3"/>
    <d v="2018-10-23T00:00:00"/>
    <x v="0"/>
    <n v="49"/>
    <n v="120"/>
    <n v="114"/>
    <n v="2257"/>
    <n v="177"/>
  </r>
  <r>
    <x v="1"/>
    <x v="3"/>
    <d v="2018-10-23T00:00:00"/>
    <x v="1"/>
    <n v="36"/>
    <n v="145"/>
    <n v="118"/>
    <n v="2256"/>
    <n v="125"/>
  </r>
  <r>
    <x v="1"/>
    <x v="3"/>
    <d v="2018-10-23T00:00:00"/>
    <x v="2"/>
    <n v="41"/>
    <n v="155"/>
    <n v="123"/>
    <n v="2255"/>
    <n v="146"/>
  </r>
  <r>
    <x v="1"/>
    <x v="3"/>
    <d v="2018-10-23T00:00:00"/>
    <x v="2"/>
    <n v="39"/>
    <n v="155"/>
    <n v="123"/>
    <n v="2253"/>
    <n v="137"/>
  </r>
  <r>
    <x v="1"/>
    <x v="3"/>
    <d v="2018-10-23T00:00:00"/>
    <x v="2"/>
    <n v="36"/>
    <n v="155"/>
    <n v="123"/>
    <n v="2254"/>
    <n v="126"/>
  </r>
  <r>
    <x v="1"/>
    <x v="3"/>
    <d v="2018-10-24T00:00:00"/>
    <x v="2"/>
    <n v="32"/>
    <n v="155"/>
    <n v="123"/>
    <n v="2262"/>
    <n v="116"/>
  </r>
  <r>
    <x v="1"/>
    <x v="3"/>
    <d v="2018-10-24T00:00:00"/>
    <x v="0"/>
    <n v="54"/>
    <n v="120"/>
    <n v="114"/>
    <n v="2264"/>
    <n v="189"/>
  </r>
  <r>
    <x v="1"/>
    <x v="3"/>
    <d v="2018-10-24T00:00:00"/>
    <x v="1"/>
    <n v="48"/>
    <n v="145"/>
    <n v="118"/>
    <n v="2265"/>
    <n v="166"/>
  </r>
  <r>
    <x v="1"/>
    <x v="3"/>
    <d v="2018-10-24T00:00:00"/>
    <x v="0"/>
    <n v="54"/>
    <n v="120"/>
    <n v="114"/>
    <n v="2263"/>
    <n v="194"/>
  </r>
  <r>
    <x v="1"/>
    <x v="3"/>
    <d v="2018-10-24T00:00:00"/>
    <x v="0"/>
    <n v="48"/>
    <n v="120"/>
    <n v="114"/>
    <n v="2260"/>
    <n v="170"/>
  </r>
  <r>
    <x v="1"/>
    <x v="3"/>
    <d v="2018-10-24T00:00:00"/>
    <x v="0"/>
    <n v="33"/>
    <n v="120"/>
    <n v="114"/>
    <n v="2258"/>
    <n v="153"/>
  </r>
  <r>
    <x v="1"/>
    <x v="3"/>
    <d v="2018-10-24T00:00:00"/>
    <x v="1"/>
    <n v="48"/>
    <n v="145"/>
    <n v="118"/>
    <n v="2259"/>
    <n v="222"/>
  </r>
  <r>
    <x v="1"/>
    <x v="3"/>
    <d v="2018-10-24T00:00:00"/>
    <x v="1"/>
    <n v="57"/>
    <n v="145"/>
    <n v="118"/>
    <n v="2261"/>
    <n v="263"/>
  </r>
  <r>
    <x v="1"/>
    <x v="3"/>
    <d v="2018-10-25T00:00:00"/>
    <x v="1"/>
    <n v="54"/>
    <n v="145"/>
    <n v="118"/>
    <n v="2266"/>
    <n v="249"/>
  </r>
  <r>
    <x v="1"/>
    <x v="3"/>
    <d v="2018-10-25T00:00:00"/>
    <x v="1"/>
    <n v="60"/>
    <n v="145"/>
    <n v="118"/>
    <n v="2267"/>
    <n v="214"/>
  </r>
  <r>
    <x v="1"/>
    <x v="3"/>
    <d v="2018-10-25T00:00:00"/>
    <x v="1"/>
    <n v="41"/>
    <n v="145"/>
    <n v="118"/>
    <n v="2268"/>
    <n v="144"/>
  </r>
  <r>
    <x v="1"/>
    <x v="3"/>
    <d v="2018-10-25T00:00:00"/>
    <x v="1"/>
    <n v="40"/>
    <n v="145"/>
    <n v="118"/>
    <n v="2269"/>
    <n v="141"/>
  </r>
  <r>
    <x v="1"/>
    <x v="3"/>
    <d v="2018-10-25T00:00:00"/>
    <x v="2"/>
    <n v="46"/>
    <n v="155"/>
    <n v="123"/>
    <n v="2270"/>
    <n v="163"/>
  </r>
  <r>
    <x v="1"/>
    <x v="3"/>
    <d v="2018-10-25T00:00:00"/>
    <x v="2"/>
    <n v="39"/>
    <n v="155"/>
    <n v="123"/>
    <n v="2271"/>
    <n v="135"/>
  </r>
  <r>
    <x v="1"/>
    <x v="3"/>
    <d v="2018-10-25T00:00:00"/>
    <x v="2"/>
    <n v="46"/>
    <n v="155"/>
    <n v="123"/>
    <n v="2272"/>
    <n v="163"/>
  </r>
  <r>
    <x v="1"/>
    <x v="3"/>
    <d v="2018-10-26T00:00:00"/>
    <x v="2"/>
    <n v="34"/>
    <n v="155"/>
    <n v="123"/>
    <n v="2277"/>
    <n v="118"/>
  </r>
  <r>
    <x v="1"/>
    <x v="3"/>
    <d v="2018-10-26T00:00:00"/>
    <x v="2"/>
    <n v="44"/>
    <n v="155"/>
    <n v="123"/>
    <n v="2278"/>
    <n v="160"/>
  </r>
  <r>
    <x v="1"/>
    <x v="3"/>
    <d v="2018-10-26T00:00:00"/>
    <x v="1"/>
    <n v="34"/>
    <n v="145"/>
    <n v="118"/>
    <n v="2276"/>
    <n v="121"/>
  </r>
  <r>
    <x v="1"/>
    <x v="3"/>
    <d v="2018-10-26T00:00:00"/>
    <x v="1"/>
    <n v="49"/>
    <n v="145"/>
    <n v="118"/>
    <n v="2273"/>
    <n v="170"/>
  </r>
  <r>
    <x v="1"/>
    <x v="3"/>
    <d v="2018-10-26T00:00:00"/>
    <x v="2"/>
    <n v="35"/>
    <n v="155"/>
    <n v="123"/>
    <n v="2274"/>
    <n v="125"/>
  </r>
  <r>
    <x v="1"/>
    <x v="3"/>
    <d v="2018-10-26T00:00:00"/>
    <x v="2"/>
    <n v="42"/>
    <n v="155"/>
    <n v="123"/>
    <n v="2275"/>
    <n v="153"/>
  </r>
  <r>
    <x v="1"/>
    <x v="3"/>
    <d v="2018-10-29T00:00:00"/>
    <x v="2"/>
    <n v="45"/>
    <n v="155"/>
    <n v="123"/>
    <n v="2280"/>
    <n v="164"/>
  </r>
  <r>
    <x v="1"/>
    <x v="3"/>
    <d v="2018-10-29T00:00:00"/>
    <x v="0"/>
    <n v="42"/>
    <n v="120"/>
    <n v="114"/>
    <n v="2281"/>
    <n v="152"/>
  </r>
  <r>
    <x v="1"/>
    <x v="3"/>
    <d v="2018-10-29T00:00:00"/>
    <x v="2"/>
    <n v="44"/>
    <n v="155"/>
    <n v="123"/>
    <n v="2279"/>
    <n v="153"/>
  </r>
  <r>
    <x v="1"/>
    <x v="3"/>
    <d v="2018-10-30T00:00:00"/>
    <x v="2"/>
    <n v="27"/>
    <n v="155"/>
    <n v="123"/>
    <n v="2284"/>
    <n v="125"/>
  </r>
  <r>
    <x v="1"/>
    <x v="3"/>
    <d v="2018-10-30T00:00:00"/>
    <x v="1"/>
    <n v="54"/>
    <n v="145"/>
    <n v="118"/>
    <n v="2282"/>
    <n v="194"/>
  </r>
  <r>
    <x v="1"/>
    <x v="3"/>
    <d v="2018-10-30T00:00:00"/>
    <x v="0"/>
    <n v="52"/>
    <n v="120"/>
    <n v="114"/>
    <n v="2283"/>
    <n v="244"/>
  </r>
  <r>
    <x v="1"/>
    <x v="3"/>
    <d v="2018-10-31T00:00:00"/>
    <x v="2"/>
    <n v="27"/>
    <n v="155"/>
    <n v="123"/>
    <n v="2289"/>
    <n v="99"/>
  </r>
  <r>
    <x v="1"/>
    <x v="3"/>
    <d v="2018-10-31T00:00:00"/>
    <x v="2"/>
    <n v="32"/>
    <n v="155"/>
    <n v="123"/>
    <n v="2288"/>
    <n v="110"/>
  </r>
  <r>
    <x v="1"/>
    <x v="3"/>
    <d v="2018-10-31T00:00:00"/>
    <x v="0"/>
    <n v="54"/>
    <n v="120"/>
    <n v="114"/>
    <n v="2287"/>
    <n v="198"/>
  </r>
  <r>
    <x v="1"/>
    <x v="3"/>
    <d v="2018-10-31T00:00:00"/>
    <x v="1"/>
    <n v="46"/>
    <n v="145"/>
    <n v="118"/>
    <n v="2285"/>
    <n v="212"/>
  </r>
  <r>
    <x v="1"/>
    <x v="3"/>
    <d v="2018-10-31T00:00:00"/>
    <x v="0"/>
    <n v="35"/>
    <n v="120"/>
    <n v="114"/>
    <n v="2286"/>
    <n v="125"/>
  </r>
  <r>
    <x v="1"/>
    <x v="3"/>
    <d v="2018-11-01T00:00:00"/>
    <x v="2"/>
    <n v="47"/>
    <n v="155"/>
    <n v="123"/>
    <n v="2294"/>
    <n v="162"/>
  </r>
  <r>
    <x v="1"/>
    <x v="3"/>
    <d v="2018-11-01T00:00:00"/>
    <x v="0"/>
    <n v="42"/>
    <n v="120"/>
    <n v="114"/>
    <n v="2297"/>
    <n v="148"/>
  </r>
  <r>
    <x v="1"/>
    <x v="3"/>
    <d v="2018-11-01T00:00:00"/>
    <x v="0"/>
    <n v="32"/>
    <n v="120"/>
    <n v="114"/>
    <n v="2296"/>
    <n v="110"/>
  </r>
  <r>
    <x v="1"/>
    <x v="3"/>
    <d v="2018-11-01T00:00:00"/>
    <x v="0"/>
    <n v="33"/>
    <n v="120"/>
    <n v="114"/>
    <n v="2295"/>
    <n v="152"/>
  </r>
  <r>
    <x v="1"/>
    <x v="3"/>
    <d v="2018-11-01T00:00:00"/>
    <x v="2"/>
    <n v="42"/>
    <n v="155"/>
    <n v="123"/>
    <n v="2292"/>
    <n v="144"/>
  </r>
  <r>
    <x v="1"/>
    <x v="3"/>
    <d v="2018-11-01T00:00:00"/>
    <x v="0"/>
    <n v="51"/>
    <n v="120"/>
    <n v="114"/>
    <n v="2291"/>
    <n v="180"/>
  </r>
  <r>
    <x v="1"/>
    <x v="3"/>
    <d v="2018-11-01T00:00:00"/>
    <x v="0"/>
    <n v="31"/>
    <n v="120"/>
    <n v="114"/>
    <n v="2290"/>
    <n v="113"/>
  </r>
  <r>
    <x v="1"/>
    <x v="3"/>
    <d v="2018-11-01T00:00:00"/>
    <x v="2"/>
    <n v="36"/>
    <n v="155"/>
    <n v="123"/>
    <n v="2293"/>
    <n v="132"/>
  </r>
  <r>
    <x v="1"/>
    <x v="3"/>
    <d v="2018-11-02T00:00:00"/>
    <x v="2"/>
    <n v="48"/>
    <n v="155"/>
    <n v="123"/>
    <n v="2298"/>
    <n v="222"/>
  </r>
  <r>
    <x v="1"/>
    <x v="3"/>
    <d v="2018-11-05T00:00:00"/>
    <x v="2"/>
    <n v="41"/>
    <n v="155"/>
    <n v="123"/>
    <n v="2299"/>
    <n v="139"/>
  </r>
  <r>
    <x v="1"/>
    <x v="3"/>
    <d v="2018-11-06T00:00:00"/>
    <x v="0"/>
    <n v="41"/>
    <n v="120"/>
    <n v="114"/>
    <n v="2300"/>
    <n v="148"/>
  </r>
  <r>
    <x v="1"/>
    <x v="3"/>
    <d v="2018-11-07T00:00:00"/>
    <x v="2"/>
    <n v="48"/>
    <n v="155"/>
    <n v="123"/>
    <n v="2303"/>
    <n v="170"/>
  </r>
  <r>
    <x v="1"/>
    <x v="3"/>
    <d v="2018-11-07T00:00:00"/>
    <x v="1"/>
    <n v="37"/>
    <n v="145"/>
    <n v="118"/>
    <n v="2306"/>
    <n v="128"/>
  </r>
  <r>
    <x v="1"/>
    <x v="3"/>
    <d v="2018-11-07T00:00:00"/>
    <x v="0"/>
    <n v="33"/>
    <n v="120"/>
    <n v="114"/>
    <n v="2304"/>
    <n v="114"/>
  </r>
  <r>
    <x v="1"/>
    <x v="3"/>
    <d v="2018-11-07T00:00:00"/>
    <x v="1"/>
    <n v="50"/>
    <n v="145"/>
    <n v="118"/>
    <n v="2302"/>
    <n v="174"/>
  </r>
  <r>
    <x v="1"/>
    <x v="3"/>
    <d v="2018-11-07T00:00:00"/>
    <x v="2"/>
    <n v="35"/>
    <n v="155"/>
    <n v="123"/>
    <n v="2301"/>
    <n v="127"/>
  </r>
  <r>
    <x v="1"/>
    <x v="3"/>
    <d v="2018-11-07T00:00:00"/>
    <x v="1"/>
    <n v="47"/>
    <n v="145"/>
    <n v="118"/>
    <n v="2305"/>
    <n v="170"/>
  </r>
  <r>
    <x v="1"/>
    <x v="3"/>
    <d v="2018-11-08T00:00:00"/>
    <x v="1"/>
    <n v="40"/>
    <n v="145"/>
    <n v="118"/>
    <n v="2307"/>
    <n v="145"/>
  </r>
  <r>
    <x v="1"/>
    <x v="3"/>
    <d v="2018-11-08T00:00:00"/>
    <x v="0"/>
    <n v="39"/>
    <n v="120"/>
    <n v="114"/>
    <n v="2308"/>
    <n v="142"/>
  </r>
  <r>
    <x v="1"/>
    <x v="3"/>
    <d v="2018-11-08T00:00:00"/>
    <x v="2"/>
    <n v="38"/>
    <n v="155"/>
    <n v="123"/>
    <n v="2309"/>
    <n v="130"/>
  </r>
  <r>
    <x v="1"/>
    <x v="3"/>
    <d v="2018-11-08T00:00:00"/>
    <x v="1"/>
    <n v="54"/>
    <n v="145"/>
    <n v="118"/>
    <n v="2310"/>
    <n v="196"/>
  </r>
  <r>
    <x v="1"/>
    <x v="3"/>
    <d v="2018-11-09T00:00:00"/>
    <x v="0"/>
    <n v="38"/>
    <n v="120"/>
    <n v="114"/>
    <n v="2312"/>
    <n v="134"/>
  </r>
  <r>
    <x v="1"/>
    <x v="3"/>
    <d v="2018-11-09T00:00:00"/>
    <x v="2"/>
    <n v="50"/>
    <n v="155"/>
    <n v="123"/>
    <n v="2317"/>
    <n v="175"/>
  </r>
  <r>
    <x v="1"/>
    <x v="3"/>
    <d v="2018-11-09T00:00:00"/>
    <x v="0"/>
    <n v="44"/>
    <n v="120"/>
    <n v="114"/>
    <n v="2318"/>
    <n v="161"/>
  </r>
  <r>
    <x v="1"/>
    <x v="3"/>
    <d v="2018-11-09T00:00:00"/>
    <x v="1"/>
    <n v="37"/>
    <n v="145"/>
    <n v="118"/>
    <n v="2316"/>
    <n v="136"/>
  </r>
  <r>
    <x v="1"/>
    <x v="3"/>
    <d v="2018-11-09T00:00:00"/>
    <x v="1"/>
    <n v="51"/>
    <n v="145"/>
    <n v="118"/>
    <n v="2313"/>
    <n v="186"/>
  </r>
  <r>
    <x v="1"/>
    <x v="3"/>
    <d v="2018-11-09T00:00:00"/>
    <x v="1"/>
    <n v="58"/>
    <n v="145"/>
    <n v="118"/>
    <n v="2311"/>
    <n v="200"/>
  </r>
  <r>
    <x v="1"/>
    <x v="3"/>
    <d v="2018-11-09T00:00:00"/>
    <x v="2"/>
    <n v="33"/>
    <n v="155"/>
    <n v="123"/>
    <n v="2314"/>
    <n v="117"/>
  </r>
  <r>
    <x v="1"/>
    <x v="3"/>
    <d v="2018-11-09T00:00:00"/>
    <x v="1"/>
    <n v="35"/>
    <n v="145"/>
    <n v="118"/>
    <n v="2315"/>
    <n v="124"/>
  </r>
  <r>
    <x v="1"/>
    <x v="3"/>
    <d v="2018-11-12T00:00:00"/>
    <x v="0"/>
    <n v="33"/>
    <n v="120"/>
    <n v="114"/>
    <n v="2319"/>
    <n v="118"/>
  </r>
  <r>
    <x v="1"/>
    <x v="3"/>
    <d v="2018-11-13T00:00:00"/>
    <x v="1"/>
    <n v="48"/>
    <n v="145"/>
    <n v="118"/>
    <n v="2320"/>
    <n v="174"/>
  </r>
  <r>
    <x v="1"/>
    <x v="3"/>
    <d v="2018-11-14T00:00:00"/>
    <x v="1"/>
    <n v="36"/>
    <n v="145"/>
    <n v="118"/>
    <n v="2323"/>
    <n v="132"/>
  </r>
  <r>
    <x v="1"/>
    <x v="3"/>
    <d v="2018-11-14T00:00:00"/>
    <x v="1"/>
    <n v="49"/>
    <n v="145"/>
    <n v="118"/>
    <n v="2324"/>
    <n v="173"/>
  </r>
  <r>
    <x v="1"/>
    <x v="3"/>
    <d v="2018-11-14T00:00:00"/>
    <x v="0"/>
    <n v="41"/>
    <n v="120"/>
    <n v="114"/>
    <n v="2322"/>
    <n v="141"/>
  </r>
  <r>
    <x v="1"/>
    <x v="3"/>
    <d v="2018-11-14T00:00:00"/>
    <x v="2"/>
    <n v="40"/>
    <n v="155"/>
    <n v="123"/>
    <n v="2321"/>
    <n v="137"/>
  </r>
  <r>
    <x v="1"/>
    <x v="3"/>
    <d v="2018-11-14T00:00:00"/>
    <x v="1"/>
    <n v="58"/>
    <n v="145"/>
    <n v="118"/>
    <n v="2325"/>
    <n v="207"/>
  </r>
  <r>
    <x v="1"/>
    <x v="3"/>
    <d v="2018-11-15T00:00:00"/>
    <x v="2"/>
    <n v="50"/>
    <n v="155"/>
    <n v="123"/>
    <n v="2326"/>
    <n v="176"/>
  </r>
  <r>
    <x v="1"/>
    <x v="3"/>
    <d v="2018-11-15T00:00:00"/>
    <x v="0"/>
    <n v="46"/>
    <n v="120"/>
    <n v="114"/>
    <n v="2327"/>
    <n v="163"/>
  </r>
  <r>
    <x v="1"/>
    <x v="3"/>
    <d v="2018-11-15T00:00:00"/>
    <x v="2"/>
    <n v="34"/>
    <n v="155"/>
    <n v="123"/>
    <n v="2328"/>
    <n v="121"/>
  </r>
  <r>
    <x v="1"/>
    <x v="3"/>
    <d v="2018-11-16T00:00:00"/>
    <x v="1"/>
    <n v="38"/>
    <n v="145"/>
    <n v="118"/>
    <n v="2334"/>
    <n v="136"/>
  </r>
  <r>
    <x v="1"/>
    <x v="3"/>
    <d v="2018-11-16T00:00:00"/>
    <x v="0"/>
    <n v="44"/>
    <n v="120"/>
    <n v="114"/>
    <n v="2329"/>
    <n v="154"/>
  </r>
  <r>
    <x v="1"/>
    <x v="3"/>
    <d v="2018-11-16T00:00:00"/>
    <x v="0"/>
    <n v="50"/>
    <n v="120"/>
    <n v="114"/>
    <n v="2330"/>
    <n v="188"/>
  </r>
  <r>
    <x v="1"/>
    <x v="3"/>
    <d v="2018-11-16T00:00:00"/>
    <x v="2"/>
    <n v="45"/>
    <n v="155"/>
    <n v="123"/>
    <n v="2331"/>
    <n v="210"/>
  </r>
  <r>
    <x v="1"/>
    <x v="3"/>
    <d v="2018-11-16T00:00:00"/>
    <x v="2"/>
    <n v="28"/>
    <n v="155"/>
    <n v="123"/>
    <n v="2332"/>
    <n v="98"/>
  </r>
  <r>
    <x v="1"/>
    <x v="3"/>
    <d v="2018-11-16T00:00:00"/>
    <x v="2"/>
    <n v="25"/>
    <n v="155"/>
    <n v="123"/>
    <n v="2333"/>
    <n v="117"/>
  </r>
  <r>
    <x v="1"/>
    <x v="3"/>
    <d v="2018-11-19T00:00:00"/>
    <x v="1"/>
    <n v="49"/>
    <n v="145"/>
    <n v="118"/>
    <n v="2335"/>
    <n v="168"/>
  </r>
  <r>
    <x v="1"/>
    <x v="3"/>
    <d v="2018-11-19T00:00:00"/>
    <x v="0"/>
    <n v="49"/>
    <n v="120"/>
    <n v="114"/>
    <n v="2336"/>
    <n v="180"/>
  </r>
  <r>
    <x v="1"/>
    <x v="3"/>
    <d v="2018-11-19T00:00:00"/>
    <x v="2"/>
    <n v="28"/>
    <n v="155"/>
    <n v="123"/>
    <n v="2337"/>
    <n v="103"/>
  </r>
  <r>
    <x v="1"/>
    <x v="3"/>
    <d v="2018-11-20T00:00:00"/>
    <x v="2"/>
    <n v="40"/>
    <n v="155"/>
    <n v="123"/>
    <n v="2338"/>
    <n v="139"/>
  </r>
  <r>
    <x v="1"/>
    <x v="3"/>
    <d v="2018-11-20T00:00:00"/>
    <x v="2"/>
    <n v="33"/>
    <n v="155"/>
    <n v="123"/>
    <n v="2339"/>
    <n v="116"/>
  </r>
  <r>
    <x v="1"/>
    <x v="3"/>
    <d v="2018-11-20T00:00:00"/>
    <x v="1"/>
    <n v="57"/>
    <n v="145"/>
    <n v="118"/>
    <n v="2340"/>
    <n v="205"/>
  </r>
  <r>
    <x v="1"/>
    <x v="3"/>
    <d v="2018-11-20T00:00:00"/>
    <x v="2"/>
    <n v="34"/>
    <n v="155"/>
    <n v="123"/>
    <n v="2341"/>
    <n v="122"/>
  </r>
  <r>
    <x v="1"/>
    <x v="3"/>
    <d v="2018-11-21T00:00:00"/>
    <x v="0"/>
    <n v="48"/>
    <n v="120"/>
    <n v="114"/>
    <n v="2342"/>
    <n v="172"/>
  </r>
  <r>
    <x v="1"/>
    <x v="3"/>
    <d v="2018-11-21T00:00:00"/>
    <x v="1"/>
    <n v="48"/>
    <n v="145"/>
    <n v="118"/>
    <n v="2343"/>
    <n v="172"/>
  </r>
  <r>
    <x v="1"/>
    <x v="3"/>
    <d v="2018-11-22T00:00:00"/>
    <x v="1"/>
    <n v="50"/>
    <n v="145"/>
    <n v="118"/>
    <n v="2345"/>
    <n v="175"/>
  </r>
  <r>
    <x v="1"/>
    <x v="3"/>
    <d v="2018-11-22T00:00:00"/>
    <x v="2"/>
    <n v="46"/>
    <n v="155"/>
    <n v="123"/>
    <n v="2346"/>
    <n v="161"/>
  </r>
  <r>
    <x v="1"/>
    <x v="3"/>
    <d v="2018-11-22T00:00:00"/>
    <x v="2"/>
    <n v="41"/>
    <n v="155"/>
    <n v="123"/>
    <n v="2344"/>
    <n v="146"/>
  </r>
  <r>
    <x v="1"/>
    <x v="3"/>
    <d v="2018-11-23T00:00:00"/>
    <x v="1"/>
    <n v="34"/>
    <n v="145"/>
    <n v="118"/>
    <n v="2351"/>
    <n v="122"/>
  </r>
  <r>
    <x v="1"/>
    <x v="3"/>
    <d v="2018-11-23T00:00:00"/>
    <x v="0"/>
    <n v="47"/>
    <n v="120"/>
    <n v="114"/>
    <n v="2347"/>
    <n v="166"/>
  </r>
  <r>
    <x v="1"/>
    <x v="3"/>
    <d v="2018-11-23T00:00:00"/>
    <x v="1"/>
    <n v="51"/>
    <n v="145"/>
    <n v="118"/>
    <n v="2348"/>
    <n v="238"/>
  </r>
  <r>
    <x v="1"/>
    <x v="3"/>
    <d v="2018-11-23T00:00:00"/>
    <x v="0"/>
    <n v="30"/>
    <n v="120"/>
    <n v="114"/>
    <n v="2349"/>
    <n v="112"/>
  </r>
  <r>
    <x v="1"/>
    <x v="3"/>
    <d v="2018-11-23T00:00:00"/>
    <x v="1"/>
    <n v="42"/>
    <n v="145"/>
    <n v="118"/>
    <n v="2350"/>
    <n v="147"/>
  </r>
  <r>
    <x v="1"/>
    <x v="3"/>
    <d v="2018-11-26T00:00:00"/>
    <x v="0"/>
    <n v="53"/>
    <n v="120"/>
    <n v="114"/>
    <n v="2354"/>
    <n v="188"/>
  </r>
  <r>
    <x v="1"/>
    <x v="3"/>
    <d v="2018-11-26T00:00:00"/>
    <x v="1"/>
    <n v="47"/>
    <n v="145"/>
    <n v="118"/>
    <n v="2353"/>
    <n v="217"/>
  </r>
  <r>
    <x v="1"/>
    <x v="3"/>
    <d v="2018-11-26T00:00:00"/>
    <x v="1"/>
    <n v="38"/>
    <n v="145"/>
    <n v="118"/>
    <n v="2352"/>
    <n v="136"/>
  </r>
  <r>
    <x v="1"/>
    <x v="3"/>
    <d v="2018-11-27T00:00:00"/>
    <x v="1"/>
    <n v="35"/>
    <n v="145"/>
    <n v="118"/>
    <n v="2355"/>
    <n v="125"/>
  </r>
  <r>
    <x v="1"/>
    <x v="3"/>
    <d v="2018-11-28T00:00:00"/>
    <x v="2"/>
    <n v="39"/>
    <n v="155"/>
    <n v="123"/>
    <n v="2356"/>
    <n v="150"/>
  </r>
  <r>
    <x v="1"/>
    <x v="3"/>
    <d v="2018-11-28T00:00:00"/>
    <x v="0"/>
    <n v="36"/>
    <n v="120"/>
    <n v="114"/>
    <n v="2357"/>
    <n v="133"/>
  </r>
  <r>
    <x v="1"/>
    <x v="3"/>
    <d v="2018-11-29T00:00:00"/>
    <x v="2"/>
    <n v="43"/>
    <n v="155"/>
    <n v="123"/>
    <n v="2361"/>
    <n v="201"/>
  </r>
  <r>
    <x v="1"/>
    <x v="3"/>
    <d v="2018-11-29T00:00:00"/>
    <x v="1"/>
    <n v="52"/>
    <n v="145"/>
    <n v="118"/>
    <n v="2364"/>
    <n v="190"/>
  </r>
  <r>
    <x v="1"/>
    <x v="3"/>
    <d v="2018-11-29T00:00:00"/>
    <x v="2"/>
    <n v="35"/>
    <n v="155"/>
    <n v="123"/>
    <n v="2362"/>
    <n v="125"/>
  </r>
  <r>
    <x v="1"/>
    <x v="3"/>
    <d v="2018-11-29T00:00:00"/>
    <x v="0"/>
    <n v="36"/>
    <n v="120"/>
    <n v="114"/>
    <n v="2360"/>
    <n v="127"/>
  </r>
  <r>
    <x v="1"/>
    <x v="3"/>
    <d v="2018-11-29T00:00:00"/>
    <x v="1"/>
    <n v="45"/>
    <n v="145"/>
    <n v="118"/>
    <n v="2359"/>
    <n v="156"/>
  </r>
  <r>
    <x v="1"/>
    <x v="3"/>
    <d v="2018-11-29T00:00:00"/>
    <x v="0"/>
    <n v="52"/>
    <n v="120"/>
    <n v="114"/>
    <n v="2358"/>
    <n v="192"/>
  </r>
  <r>
    <x v="1"/>
    <x v="3"/>
    <d v="2018-11-29T00:00:00"/>
    <x v="1"/>
    <n v="41"/>
    <n v="145"/>
    <n v="118"/>
    <n v="2363"/>
    <n v="150"/>
  </r>
  <r>
    <x v="1"/>
    <x v="3"/>
    <d v="2018-11-30T00:00:00"/>
    <x v="1"/>
    <n v="37"/>
    <n v="145"/>
    <n v="118"/>
    <n v="2365"/>
    <n v="173"/>
  </r>
  <r>
    <x v="1"/>
    <x v="3"/>
    <d v="2018-11-30T00:00:00"/>
    <x v="1"/>
    <n v="51"/>
    <n v="145"/>
    <n v="118"/>
    <n v="2366"/>
    <n v="184"/>
  </r>
  <r>
    <x v="1"/>
    <x v="3"/>
    <d v="2018-11-30T00:00:00"/>
    <x v="0"/>
    <n v="38"/>
    <n v="120"/>
    <n v="114"/>
    <n v="2367"/>
    <n v="139"/>
  </r>
  <r>
    <x v="1"/>
    <x v="3"/>
    <d v="2018-11-30T00:00:00"/>
    <x v="0"/>
    <n v="45"/>
    <n v="120"/>
    <n v="114"/>
    <n v="2368"/>
    <n v="166"/>
  </r>
  <r>
    <x v="1"/>
    <x v="3"/>
    <d v="2018-12-03T00:00:00"/>
    <x v="1"/>
    <n v="42"/>
    <n v="145"/>
    <n v="118"/>
    <n v="2369"/>
    <n v="154"/>
  </r>
  <r>
    <x v="1"/>
    <x v="3"/>
    <d v="2018-12-03T00:00:00"/>
    <x v="0"/>
    <n v="52"/>
    <n v="120"/>
    <n v="114"/>
    <n v="2374"/>
    <n v="181"/>
  </r>
  <r>
    <x v="1"/>
    <x v="3"/>
    <d v="2018-12-03T00:00:00"/>
    <x v="2"/>
    <n v="42"/>
    <n v="155"/>
    <n v="123"/>
    <n v="2373"/>
    <n v="146"/>
  </r>
  <r>
    <x v="1"/>
    <x v="3"/>
    <d v="2018-12-03T00:00:00"/>
    <x v="1"/>
    <n v="45"/>
    <n v="145"/>
    <n v="118"/>
    <n v="2370"/>
    <n v="165"/>
  </r>
  <r>
    <x v="1"/>
    <x v="3"/>
    <d v="2018-12-03T00:00:00"/>
    <x v="1"/>
    <n v="37"/>
    <n v="145"/>
    <n v="118"/>
    <n v="2371"/>
    <n v="133"/>
  </r>
  <r>
    <x v="1"/>
    <x v="3"/>
    <d v="2018-12-03T00:00:00"/>
    <x v="0"/>
    <n v="31"/>
    <n v="120"/>
    <n v="114"/>
    <n v="2372"/>
    <n v="110"/>
  </r>
  <r>
    <x v="1"/>
    <x v="3"/>
    <d v="2018-12-04T00:00:00"/>
    <x v="0"/>
    <n v="50"/>
    <n v="120"/>
    <n v="114"/>
    <n v="2375"/>
    <n v="178"/>
  </r>
  <r>
    <x v="1"/>
    <x v="3"/>
    <d v="2018-12-04T00:00:00"/>
    <x v="1"/>
    <n v="38"/>
    <n v="145"/>
    <n v="118"/>
    <n v="2376"/>
    <n v="178"/>
  </r>
  <r>
    <x v="1"/>
    <x v="3"/>
    <d v="2018-12-05T00:00:00"/>
    <x v="0"/>
    <n v="41"/>
    <n v="120"/>
    <n v="114"/>
    <n v="2381"/>
    <n v="146"/>
  </r>
  <r>
    <x v="1"/>
    <x v="3"/>
    <d v="2018-12-05T00:00:00"/>
    <x v="0"/>
    <n v="50"/>
    <n v="120"/>
    <n v="114"/>
    <n v="2382"/>
    <n v="174"/>
  </r>
  <r>
    <x v="1"/>
    <x v="3"/>
    <d v="2018-12-05T00:00:00"/>
    <x v="1"/>
    <n v="40"/>
    <n v="145"/>
    <n v="118"/>
    <n v="2380"/>
    <n v="139"/>
  </r>
  <r>
    <x v="1"/>
    <x v="3"/>
    <d v="2018-12-05T00:00:00"/>
    <x v="2"/>
    <n v="34"/>
    <n v="155"/>
    <n v="123"/>
    <n v="2379"/>
    <n v="117"/>
  </r>
  <r>
    <x v="1"/>
    <x v="3"/>
    <d v="2018-12-05T00:00:00"/>
    <x v="0"/>
    <n v="29"/>
    <n v="120"/>
    <n v="114"/>
    <n v="2378"/>
    <n v="101"/>
  </r>
  <r>
    <x v="1"/>
    <x v="3"/>
    <d v="2018-12-05T00:00:00"/>
    <x v="0"/>
    <n v="46"/>
    <n v="120"/>
    <n v="114"/>
    <n v="2377"/>
    <n v="169"/>
  </r>
  <r>
    <x v="1"/>
    <x v="3"/>
    <d v="2018-12-05T00:00:00"/>
    <x v="1"/>
    <n v="47"/>
    <n v="145"/>
    <n v="118"/>
    <n v="2383"/>
    <n v="221"/>
  </r>
  <r>
    <x v="1"/>
    <x v="3"/>
    <d v="2018-12-06T00:00:00"/>
    <x v="1"/>
    <n v="58"/>
    <n v="145"/>
    <n v="118"/>
    <n v="2384"/>
    <n v="200"/>
  </r>
  <r>
    <x v="1"/>
    <x v="3"/>
    <d v="2018-12-07T00:00:00"/>
    <x v="1"/>
    <n v="46"/>
    <n v="145"/>
    <n v="118"/>
    <n v="2385"/>
    <n v="163"/>
  </r>
  <r>
    <x v="1"/>
    <x v="3"/>
    <d v="2018-12-10T00:00:00"/>
    <x v="0"/>
    <n v="49"/>
    <n v="120"/>
    <n v="114"/>
    <n v="2386"/>
    <n v="174"/>
  </r>
  <r>
    <x v="1"/>
    <x v="3"/>
    <d v="2018-12-11T00:00:00"/>
    <x v="2"/>
    <n v="26"/>
    <n v="155"/>
    <n v="123"/>
    <n v="2388"/>
    <n v="94"/>
  </r>
  <r>
    <x v="1"/>
    <x v="3"/>
    <d v="2018-12-11T00:00:00"/>
    <x v="1"/>
    <n v="38"/>
    <n v="145"/>
    <n v="118"/>
    <n v="2387"/>
    <n v="135"/>
  </r>
  <r>
    <x v="1"/>
    <x v="3"/>
    <d v="2018-12-12T00:00:00"/>
    <x v="0"/>
    <n v="48"/>
    <n v="120"/>
    <n v="114"/>
    <n v="2393"/>
    <n v="222"/>
  </r>
  <r>
    <x v="1"/>
    <x v="3"/>
    <d v="2018-12-12T00:00:00"/>
    <x v="1"/>
    <n v="57"/>
    <n v="145"/>
    <n v="118"/>
    <n v="2395"/>
    <n v="202"/>
  </r>
  <r>
    <x v="1"/>
    <x v="3"/>
    <d v="2018-12-12T00:00:00"/>
    <x v="2"/>
    <n v="38"/>
    <n v="155"/>
    <n v="123"/>
    <n v="2396"/>
    <n v="133"/>
  </r>
  <r>
    <x v="1"/>
    <x v="3"/>
    <d v="2018-12-12T00:00:00"/>
    <x v="1"/>
    <n v="38"/>
    <n v="145"/>
    <n v="118"/>
    <n v="2394"/>
    <n v="132"/>
  </r>
  <r>
    <x v="1"/>
    <x v="3"/>
    <d v="2018-12-12T00:00:00"/>
    <x v="1"/>
    <n v="45"/>
    <n v="145"/>
    <n v="118"/>
    <n v="2392"/>
    <n v="166"/>
  </r>
  <r>
    <x v="1"/>
    <x v="3"/>
    <d v="2018-12-12T00:00:00"/>
    <x v="0"/>
    <n v="49"/>
    <n v="120"/>
    <n v="114"/>
    <n v="2391"/>
    <n v="168"/>
  </r>
  <r>
    <x v="1"/>
    <x v="3"/>
    <d v="2018-12-12T00:00:00"/>
    <x v="2"/>
    <n v="33"/>
    <n v="155"/>
    <n v="123"/>
    <n v="2389"/>
    <n v="118"/>
  </r>
  <r>
    <x v="1"/>
    <x v="3"/>
    <d v="2018-12-12T00:00:00"/>
    <x v="1"/>
    <n v="42"/>
    <n v="145"/>
    <n v="118"/>
    <n v="2390"/>
    <n v="153"/>
  </r>
  <r>
    <x v="1"/>
    <x v="3"/>
    <d v="2018-12-13T00:00:00"/>
    <x v="2"/>
    <n v="49"/>
    <n v="155"/>
    <n v="123"/>
    <n v="2397"/>
    <n v="179"/>
  </r>
  <r>
    <x v="1"/>
    <x v="3"/>
    <d v="2018-12-13T00:00:00"/>
    <x v="0"/>
    <n v="47"/>
    <n v="120"/>
    <n v="114"/>
    <n v="2398"/>
    <n v="172"/>
  </r>
  <r>
    <x v="1"/>
    <x v="3"/>
    <d v="2018-12-13T00:00:00"/>
    <x v="1"/>
    <n v="43"/>
    <n v="145"/>
    <n v="118"/>
    <n v="2399"/>
    <n v="151"/>
  </r>
  <r>
    <x v="1"/>
    <x v="3"/>
    <d v="2018-12-13T00:00:00"/>
    <x v="0"/>
    <n v="35"/>
    <n v="120"/>
    <n v="114"/>
    <n v="2400"/>
    <n v="121"/>
  </r>
  <r>
    <x v="1"/>
    <x v="3"/>
    <d v="2018-12-13T00:00:00"/>
    <x v="0"/>
    <n v="46"/>
    <n v="120"/>
    <n v="114"/>
    <n v="2401"/>
    <n v="165"/>
  </r>
  <r>
    <x v="1"/>
    <x v="3"/>
    <d v="2018-12-13T00:00:00"/>
    <x v="2"/>
    <n v="48"/>
    <n v="155"/>
    <n v="123"/>
    <n v="2402"/>
    <n v="176"/>
  </r>
  <r>
    <x v="1"/>
    <x v="3"/>
    <d v="2018-12-13T00:00:00"/>
    <x v="2"/>
    <n v="27"/>
    <n v="155"/>
    <n v="123"/>
    <n v="2403"/>
    <n v="126"/>
  </r>
  <r>
    <x v="1"/>
    <x v="3"/>
    <d v="2018-12-14T00:00:00"/>
    <x v="0"/>
    <n v="41"/>
    <n v="120"/>
    <n v="114"/>
    <n v="2404"/>
    <n v="150"/>
  </r>
  <r>
    <x v="1"/>
    <x v="3"/>
    <d v="2018-12-17T00:00:00"/>
    <x v="1"/>
    <n v="46"/>
    <n v="145"/>
    <n v="118"/>
    <n v="2406"/>
    <n v="212"/>
  </r>
  <r>
    <x v="1"/>
    <x v="3"/>
    <d v="2018-12-17T00:00:00"/>
    <x v="2"/>
    <n v="34"/>
    <n v="155"/>
    <n v="123"/>
    <n v="2405"/>
    <n v="117"/>
  </r>
  <r>
    <x v="1"/>
    <x v="3"/>
    <d v="2018-12-18T00:00:00"/>
    <x v="2"/>
    <n v="42"/>
    <n v="155"/>
    <n v="123"/>
    <n v="2408"/>
    <n v="150"/>
  </r>
  <r>
    <x v="1"/>
    <x v="3"/>
    <d v="2018-12-18T00:00:00"/>
    <x v="0"/>
    <n v="50"/>
    <n v="120"/>
    <n v="114"/>
    <n v="2407"/>
    <n v="181"/>
  </r>
  <r>
    <x v="1"/>
    <x v="3"/>
    <d v="2018-12-19T00:00:00"/>
    <x v="0"/>
    <n v="46"/>
    <n v="120"/>
    <n v="114"/>
    <n v="2409"/>
    <n v="162"/>
  </r>
  <r>
    <x v="1"/>
    <x v="3"/>
    <d v="2018-12-19T00:00:00"/>
    <x v="1"/>
    <n v="36"/>
    <n v="145"/>
    <n v="118"/>
    <n v="2410"/>
    <n v="169"/>
  </r>
  <r>
    <x v="1"/>
    <x v="3"/>
    <d v="2018-12-19T00:00:00"/>
    <x v="0"/>
    <n v="33"/>
    <n v="120"/>
    <n v="114"/>
    <n v="2411"/>
    <n v="116"/>
  </r>
  <r>
    <x v="1"/>
    <x v="3"/>
    <d v="2018-12-19T00:00:00"/>
    <x v="0"/>
    <n v="34"/>
    <n v="120"/>
    <n v="114"/>
    <n v="2412"/>
    <n v="124"/>
  </r>
  <r>
    <x v="1"/>
    <x v="3"/>
    <d v="2018-12-19T00:00:00"/>
    <x v="1"/>
    <n v="54"/>
    <n v="145"/>
    <n v="118"/>
    <n v="2413"/>
    <n v="198"/>
  </r>
  <r>
    <x v="1"/>
    <x v="3"/>
    <d v="2018-12-19T00:00:00"/>
    <x v="1"/>
    <n v="56"/>
    <n v="145"/>
    <n v="118"/>
    <n v="2414"/>
    <n v="258"/>
  </r>
  <r>
    <x v="1"/>
    <x v="3"/>
    <d v="2018-12-20T00:00:00"/>
    <x v="0"/>
    <n v="40"/>
    <n v="120"/>
    <n v="114"/>
    <n v="2415"/>
    <n v="141"/>
  </r>
  <r>
    <x v="1"/>
    <x v="3"/>
    <d v="2018-12-20T00:00:00"/>
    <x v="0"/>
    <n v="48"/>
    <n v="120"/>
    <n v="114"/>
    <n v="2416"/>
    <n v="166"/>
  </r>
  <r>
    <x v="1"/>
    <x v="3"/>
    <d v="2018-12-20T00:00:00"/>
    <x v="0"/>
    <n v="52"/>
    <n v="120"/>
    <n v="114"/>
    <n v="2417"/>
    <n v="183"/>
  </r>
  <r>
    <x v="1"/>
    <x v="3"/>
    <d v="2018-12-20T00:00:00"/>
    <x v="0"/>
    <n v="30"/>
    <n v="120"/>
    <n v="114"/>
    <n v="2418"/>
    <n v="110"/>
  </r>
  <r>
    <x v="1"/>
    <x v="3"/>
    <d v="2018-12-21T00:00:00"/>
    <x v="2"/>
    <n v="50"/>
    <n v="155"/>
    <n v="123"/>
    <n v="2419"/>
    <n v="175"/>
  </r>
  <r>
    <x v="1"/>
    <x v="3"/>
    <d v="2018-12-24T00:00:00"/>
    <x v="1"/>
    <n v="53"/>
    <n v="145"/>
    <n v="118"/>
    <n v="2423"/>
    <n v="191"/>
  </r>
  <r>
    <x v="1"/>
    <x v="3"/>
    <d v="2018-12-24T00:00:00"/>
    <x v="0"/>
    <n v="51"/>
    <n v="120"/>
    <n v="114"/>
    <n v="2424"/>
    <n v="178"/>
  </r>
  <r>
    <x v="1"/>
    <x v="3"/>
    <d v="2018-12-24T00:00:00"/>
    <x v="1"/>
    <n v="42"/>
    <n v="145"/>
    <n v="118"/>
    <n v="2420"/>
    <n v="152"/>
  </r>
  <r>
    <x v="1"/>
    <x v="3"/>
    <d v="2018-12-24T00:00:00"/>
    <x v="2"/>
    <n v="39"/>
    <n v="155"/>
    <n v="123"/>
    <n v="2421"/>
    <n v="142"/>
  </r>
  <r>
    <x v="1"/>
    <x v="3"/>
    <d v="2018-12-24T00:00:00"/>
    <x v="2"/>
    <n v="35"/>
    <n v="155"/>
    <n v="123"/>
    <n v="2422"/>
    <n v="164"/>
  </r>
  <r>
    <x v="1"/>
    <x v="3"/>
    <d v="2018-12-24T00:00:00"/>
    <x v="0"/>
    <n v="52"/>
    <n v="120"/>
    <n v="114"/>
    <n v="2425"/>
    <n v="187"/>
  </r>
  <r>
    <x v="1"/>
    <x v="3"/>
    <d v="2018-12-25T00:00:00"/>
    <x v="2"/>
    <n v="49"/>
    <n v="155"/>
    <n v="123"/>
    <n v="2430"/>
    <n v="176"/>
  </r>
  <r>
    <x v="1"/>
    <x v="3"/>
    <d v="2018-12-25T00:00:00"/>
    <x v="1"/>
    <n v="56"/>
    <n v="145"/>
    <n v="118"/>
    <n v="2426"/>
    <n v="199"/>
  </r>
  <r>
    <x v="1"/>
    <x v="3"/>
    <d v="2018-12-25T00:00:00"/>
    <x v="1"/>
    <n v="47"/>
    <n v="145"/>
    <n v="118"/>
    <n v="2427"/>
    <n v="162"/>
  </r>
  <r>
    <x v="1"/>
    <x v="3"/>
    <d v="2018-12-25T00:00:00"/>
    <x v="0"/>
    <n v="49"/>
    <n v="120"/>
    <n v="114"/>
    <n v="2428"/>
    <n v="171"/>
  </r>
  <r>
    <x v="1"/>
    <x v="3"/>
    <d v="2018-12-25T00:00:00"/>
    <x v="1"/>
    <n v="38"/>
    <n v="145"/>
    <n v="118"/>
    <n v="2429"/>
    <n v="133"/>
  </r>
  <r>
    <x v="1"/>
    <x v="3"/>
    <d v="2018-12-26T00:00:00"/>
    <x v="0"/>
    <n v="55"/>
    <n v="120"/>
    <n v="114"/>
    <n v="2435"/>
    <n v="195"/>
  </r>
  <r>
    <x v="1"/>
    <x v="3"/>
    <d v="2018-12-26T00:00:00"/>
    <x v="0"/>
    <n v="38"/>
    <n v="120"/>
    <n v="114"/>
    <n v="2434"/>
    <n v="138"/>
  </r>
  <r>
    <x v="1"/>
    <x v="3"/>
    <d v="2018-12-26T00:00:00"/>
    <x v="2"/>
    <n v="46"/>
    <n v="155"/>
    <n v="123"/>
    <n v="2433"/>
    <n v="163"/>
  </r>
  <r>
    <x v="1"/>
    <x v="3"/>
    <d v="2018-12-26T00:00:00"/>
    <x v="0"/>
    <n v="31"/>
    <n v="120"/>
    <n v="114"/>
    <n v="2431"/>
    <n v="110"/>
  </r>
  <r>
    <x v="1"/>
    <x v="3"/>
    <d v="2018-12-26T00:00:00"/>
    <x v="2"/>
    <n v="31"/>
    <n v="155"/>
    <n v="123"/>
    <n v="2432"/>
    <n v="114"/>
  </r>
  <r>
    <x v="1"/>
    <x v="3"/>
    <d v="2018-12-27T00:00:00"/>
    <x v="2"/>
    <n v="40"/>
    <n v="155"/>
    <n v="123"/>
    <n v="2436"/>
    <n v="143"/>
  </r>
  <r>
    <x v="1"/>
    <x v="3"/>
    <d v="2018-12-27T00:00:00"/>
    <x v="0"/>
    <n v="52"/>
    <n v="120"/>
    <n v="114"/>
    <n v="2437"/>
    <n v="243"/>
  </r>
  <r>
    <x v="1"/>
    <x v="3"/>
    <d v="2018-12-28T00:00:00"/>
    <x v="2"/>
    <n v="25"/>
    <n v="155"/>
    <n v="123"/>
    <n v="2442"/>
    <n v="88"/>
  </r>
  <r>
    <x v="1"/>
    <x v="3"/>
    <d v="2018-12-28T00:00:00"/>
    <x v="1"/>
    <n v="34"/>
    <n v="145"/>
    <n v="118"/>
    <n v="2444"/>
    <n v="117"/>
  </r>
  <r>
    <x v="1"/>
    <x v="3"/>
    <d v="2018-12-28T00:00:00"/>
    <x v="2"/>
    <n v="40"/>
    <n v="155"/>
    <n v="123"/>
    <n v="2443"/>
    <n v="144"/>
  </r>
  <r>
    <x v="1"/>
    <x v="3"/>
    <d v="2018-12-28T00:00:00"/>
    <x v="0"/>
    <n v="53"/>
    <n v="120"/>
    <n v="114"/>
    <n v="2440"/>
    <n v="186"/>
  </r>
  <r>
    <x v="1"/>
    <x v="3"/>
    <d v="2018-12-28T00:00:00"/>
    <x v="1"/>
    <n v="51"/>
    <n v="145"/>
    <n v="118"/>
    <n v="2439"/>
    <n v="186"/>
  </r>
  <r>
    <x v="1"/>
    <x v="3"/>
    <d v="2018-12-28T00:00:00"/>
    <x v="2"/>
    <n v="37"/>
    <n v="155"/>
    <n v="123"/>
    <n v="2438"/>
    <n v="133"/>
  </r>
  <r>
    <x v="1"/>
    <x v="3"/>
    <d v="2018-12-28T00:00:00"/>
    <x v="0"/>
    <n v="47"/>
    <n v="120"/>
    <n v="114"/>
    <n v="2445"/>
    <n v="169"/>
  </r>
  <r>
    <x v="1"/>
    <x v="3"/>
    <d v="2018-12-28T00:00:00"/>
    <x v="0"/>
    <n v="43"/>
    <n v="120"/>
    <n v="114"/>
    <n v="2441"/>
    <n v="158"/>
  </r>
  <r>
    <x v="1"/>
    <x v="3"/>
    <d v="2018-12-31T00:00:00"/>
    <x v="1"/>
    <n v="40"/>
    <n v="145"/>
    <n v="118"/>
    <n v="2446"/>
    <n v="142"/>
  </r>
  <r>
    <x v="1"/>
    <x v="3"/>
    <d v="2018-12-31T00:00:00"/>
    <x v="1"/>
    <n v="50"/>
    <n v="145"/>
    <n v="118"/>
    <n v="2447"/>
    <n v="172"/>
  </r>
  <r>
    <x v="1"/>
    <x v="3"/>
    <d v="2018-12-31T00:00:00"/>
    <x v="1"/>
    <n v="46"/>
    <n v="145"/>
    <n v="118"/>
    <n v="2448"/>
    <n v="213"/>
  </r>
  <r>
    <x v="2"/>
    <x v="0"/>
    <d v="2019-01-01T00:00:00"/>
    <x v="1"/>
    <n v="58"/>
    <n v="140"/>
    <n v="118"/>
    <n v="2449"/>
    <n v="207"/>
  </r>
  <r>
    <x v="2"/>
    <x v="0"/>
    <d v="2019-01-02T00:00:00"/>
    <x v="2"/>
    <n v="48"/>
    <n v="155"/>
    <n v="123"/>
    <n v="2456"/>
    <n v="171"/>
  </r>
  <r>
    <x v="2"/>
    <x v="0"/>
    <d v="2019-01-02T00:00:00"/>
    <x v="1"/>
    <n v="42"/>
    <n v="140"/>
    <n v="118"/>
    <n v="2455"/>
    <n v="145"/>
  </r>
  <r>
    <x v="2"/>
    <x v="0"/>
    <d v="2019-01-02T00:00:00"/>
    <x v="1"/>
    <n v="50"/>
    <n v="140"/>
    <n v="118"/>
    <n v="2454"/>
    <n v="182"/>
  </r>
  <r>
    <x v="2"/>
    <x v="0"/>
    <d v="2019-01-02T00:00:00"/>
    <x v="1"/>
    <n v="57"/>
    <n v="140"/>
    <n v="118"/>
    <n v="2453"/>
    <n v="205"/>
  </r>
  <r>
    <x v="2"/>
    <x v="0"/>
    <d v="2019-01-02T00:00:00"/>
    <x v="2"/>
    <n v="29"/>
    <n v="155"/>
    <n v="123"/>
    <n v="2452"/>
    <n v="106"/>
  </r>
  <r>
    <x v="2"/>
    <x v="0"/>
    <d v="2019-01-02T00:00:00"/>
    <x v="1"/>
    <n v="46"/>
    <n v="140"/>
    <n v="118"/>
    <n v="2450"/>
    <n v="161"/>
  </r>
  <r>
    <x v="2"/>
    <x v="0"/>
    <d v="2019-01-02T00:00:00"/>
    <x v="2"/>
    <n v="34"/>
    <n v="155"/>
    <n v="123"/>
    <n v="2451"/>
    <n v="122"/>
  </r>
  <r>
    <x v="2"/>
    <x v="0"/>
    <d v="2019-01-03T00:00:00"/>
    <x v="0"/>
    <n v="52"/>
    <n v="115"/>
    <n v="114"/>
    <n v="2460"/>
    <n v="186"/>
  </r>
  <r>
    <x v="2"/>
    <x v="0"/>
    <d v="2019-01-03T00:00:00"/>
    <x v="0"/>
    <n v="54"/>
    <n v="115"/>
    <n v="114"/>
    <n v="2463"/>
    <n v="190"/>
  </r>
  <r>
    <x v="2"/>
    <x v="0"/>
    <d v="2019-01-03T00:00:00"/>
    <x v="1"/>
    <n v="48"/>
    <n v="140"/>
    <n v="118"/>
    <n v="2461"/>
    <n v="171"/>
  </r>
  <r>
    <x v="2"/>
    <x v="0"/>
    <d v="2019-01-03T00:00:00"/>
    <x v="0"/>
    <n v="38"/>
    <n v="115"/>
    <n v="114"/>
    <n v="2458"/>
    <n v="175"/>
  </r>
  <r>
    <x v="2"/>
    <x v="0"/>
    <d v="2019-01-03T00:00:00"/>
    <x v="2"/>
    <n v="54"/>
    <n v="155"/>
    <n v="123"/>
    <n v="2457"/>
    <n v="194"/>
  </r>
  <r>
    <x v="2"/>
    <x v="0"/>
    <d v="2019-01-03T00:00:00"/>
    <x v="1"/>
    <n v="61"/>
    <n v="140"/>
    <n v="118"/>
    <n v="2462"/>
    <n v="220"/>
  </r>
  <r>
    <x v="2"/>
    <x v="0"/>
    <d v="2019-01-03T00:00:00"/>
    <x v="1"/>
    <n v="53"/>
    <n v="140"/>
    <n v="118"/>
    <n v="2459"/>
    <n v="187"/>
  </r>
  <r>
    <x v="2"/>
    <x v="0"/>
    <d v="2019-01-04T00:00:00"/>
    <x v="2"/>
    <n v="44"/>
    <n v="155"/>
    <n v="123"/>
    <n v="2464"/>
    <n v="205"/>
  </r>
  <r>
    <x v="2"/>
    <x v="0"/>
    <d v="2019-01-04T00:00:00"/>
    <x v="2"/>
    <n v="46"/>
    <n v="155"/>
    <n v="123"/>
    <n v="2465"/>
    <n v="166"/>
  </r>
  <r>
    <x v="2"/>
    <x v="0"/>
    <d v="2019-01-04T00:00:00"/>
    <x v="0"/>
    <n v="54"/>
    <n v="115"/>
    <n v="114"/>
    <n v="2466"/>
    <n v="190"/>
  </r>
  <r>
    <x v="2"/>
    <x v="0"/>
    <d v="2019-01-04T00:00:00"/>
    <x v="2"/>
    <n v="32"/>
    <n v="155"/>
    <n v="123"/>
    <n v="2467"/>
    <n v="116"/>
  </r>
  <r>
    <x v="2"/>
    <x v="0"/>
    <d v="2019-01-04T00:00:00"/>
    <x v="2"/>
    <n v="49"/>
    <n v="155"/>
    <n v="123"/>
    <n v="2468"/>
    <n v="172"/>
  </r>
  <r>
    <x v="2"/>
    <x v="0"/>
    <d v="2019-01-07T00:00:00"/>
    <x v="1"/>
    <n v="44"/>
    <n v="140"/>
    <n v="118"/>
    <n v="2470"/>
    <n v="207"/>
  </r>
  <r>
    <x v="2"/>
    <x v="0"/>
    <d v="2019-01-07T00:00:00"/>
    <x v="0"/>
    <n v="37"/>
    <n v="115"/>
    <n v="114"/>
    <n v="2471"/>
    <n v="133"/>
  </r>
  <r>
    <x v="2"/>
    <x v="0"/>
    <d v="2019-01-07T00:00:00"/>
    <x v="2"/>
    <n v="31"/>
    <n v="155"/>
    <n v="123"/>
    <n v="2469"/>
    <n v="109"/>
  </r>
  <r>
    <x v="2"/>
    <x v="0"/>
    <d v="2019-01-08T00:00:00"/>
    <x v="1"/>
    <n v="44"/>
    <n v="140"/>
    <n v="118"/>
    <n v="2473"/>
    <n v="151"/>
  </r>
  <r>
    <x v="2"/>
    <x v="0"/>
    <d v="2019-01-08T00:00:00"/>
    <x v="0"/>
    <n v="42"/>
    <n v="115"/>
    <n v="114"/>
    <n v="2474"/>
    <n v="195"/>
  </r>
  <r>
    <x v="2"/>
    <x v="0"/>
    <d v="2019-01-08T00:00:00"/>
    <x v="1"/>
    <n v="52"/>
    <n v="140"/>
    <n v="118"/>
    <n v="2475"/>
    <n v="191"/>
  </r>
  <r>
    <x v="2"/>
    <x v="0"/>
    <d v="2019-01-08T00:00:00"/>
    <x v="2"/>
    <n v="47"/>
    <n v="155"/>
    <n v="123"/>
    <n v="2476"/>
    <n v="220"/>
  </r>
  <r>
    <x v="2"/>
    <x v="0"/>
    <d v="2019-01-08T00:00:00"/>
    <x v="0"/>
    <n v="36"/>
    <n v="115"/>
    <n v="114"/>
    <n v="2477"/>
    <n v="127"/>
  </r>
  <r>
    <x v="2"/>
    <x v="0"/>
    <d v="2019-01-08T00:00:00"/>
    <x v="1"/>
    <n v="62"/>
    <n v="140"/>
    <n v="118"/>
    <n v="2478"/>
    <n v="219"/>
  </r>
  <r>
    <x v="2"/>
    <x v="0"/>
    <d v="2019-01-08T00:00:00"/>
    <x v="0"/>
    <n v="41"/>
    <n v="115"/>
    <n v="114"/>
    <n v="2472"/>
    <n v="143"/>
  </r>
  <r>
    <x v="2"/>
    <x v="0"/>
    <d v="2019-01-09T00:00:00"/>
    <x v="2"/>
    <n v="43"/>
    <n v="155"/>
    <n v="123"/>
    <n v="2482"/>
    <n v="156"/>
  </r>
  <r>
    <x v="2"/>
    <x v="0"/>
    <d v="2019-01-09T00:00:00"/>
    <x v="2"/>
    <n v="45"/>
    <n v="155"/>
    <n v="123"/>
    <n v="2479"/>
    <n v="170"/>
  </r>
  <r>
    <x v="2"/>
    <x v="0"/>
    <d v="2019-01-09T00:00:00"/>
    <x v="0"/>
    <n v="40"/>
    <n v="115"/>
    <n v="114"/>
    <n v="2483"/>
    <n v="141"/>
  </r>
  <r>
    <x v="2"/>
    <x v="0"/>
    <d v="2019-01-09T00:00:00"/>
    <x v="0"/>
    <n v="56"/>
    <n v="115"/>
    <n v="114"/>
    <n v="2480"/>
    <n v="194"/>
  </r>
  <r>
    <x v="2"/>
    <x v="0"/>
    <d v="2019-01-09T00:00:00"/>
    <x v="2"/>
    <n v="41"/>
    <n v="155"/>
    <n v="123"/>
    <n v="2481"/>
    <n v="141"/>
  </r>
  <r>
    <x v="2"/>
    <x v="0"/>
    <d v="2019-01-10T00:00:00"/>
    <x v="1"/>
    <n v="60"/>
    <n v="140"/>
    <n v="118"/>
    <n v="2484"/>
    <n v="209"/>
  </r>
  <r>
    <x v="2"/>
    <x v="0"/>
    <d v="2019-01-11T00:00:00"/>
    <x v="2"/>
    <n v="45"/>
    <n v="155"/>
    <n v="123"/>
    <n v="2485"/>
    <n v="158"/>
  </r>
  <r>
    <x v="2"/>
    <x v="0"/>
    <d v="2019-01-11T00:00:00"/>
    <x v="1"/>
    <n v="57"/>
    <n v="140"/>
    <n v="118"/>
    <n v="2486"/>
    <n v="204"/>
  </r>
  <r>
    <x v="2"/>
    <x v="0"/>
    <d v="2019-01-11T00:00:00"/>
    <x v="0"/>
    <n v="45"/>
    <n v="115"/>
    <n v="114"/>
    <n v="2487"/>
    <n v="157"/>
  </r>
  <r>
    <x v="2"/>
    <x v="0"/>
    <d v="2019-01-14T00:00:00"/>
    <x v="1"/>
    <n v="65"/>
    <n v="140"/>
    <n v="118"/>
    <n v="2488"/>
    <n v="223"/>
  </r>
  <r>
    <x v="2"/>
    <x v="0"/>
    <d v="2019-01-15T00:00:00"/>
    <x v="2"/>
    <n v="48"/>
    <n v="155"/>
    <n v="123"/>
    <n v="2491"/>
    <n v="166"/>
  </r>
  <r>
    <x v="2"/>
    <x v="0"/>
    <d v="2019-01-15T00:00:00"/>
    <x v="1"/>
    <n v="64"/>
    <n v="140"/>
    <n v="118"/>
    <n v="2489"/>
    <n v="294"/>
  </r>
  <r>
    <x v="2"/>
    <x v="0"/>
    <d v="2019-01-15T00:00:00"/>
    <x v="1"/>
    <n v="62"/>
    <n v="140"/>
    <n v="118"/>
    <n v="2490"/>
    <n v="225"/>
  </r>
  <r>
    <x v="2"/>
    <x v="0"/>
    <d v="2019-01-16T00:00:00"/>
    <x v="0"/>
    <n v="37"/>
    <n v="115"/>
    <n v="114"/>
    <n v="2494"/>
    <n v="171"/>
  </r>
  <r>
    <x v="2"/>
    <x v="0"/>
    <d v="2019-01-16T00:00:00"/>
    <x v="1"/>
    <n v="63"/>
    <n v="140"/>
    <n v="118"/>
    <n v="2492"/>
    <n v="222"/>
  </r>
  <r>
    <x v="2"/>
    <x v="0"/>
    <d v="2019-01-16T00:00:00"/>
    <x v="2"/>
    <n v="41"/>
    <n v="155"/>
    <n v="123"/>
    <n v="2493"/>
    <n v="147"/>
  </r>
  <r>
    <x v="2"/>
    <x v="0"/>
    <d v="2019-01-17T00:00:00"/>
    <x v="2"/>
    <n v="53"/>
    <n v="155"/>
    <n v="123"/>
    <n v="2495"/>
    <n v="193"/>
  </r>
  <r>
    <x v="2"/>
    <x v="0"/>
    <d v="2019-01-17T00:00:00"/>
    <x v="2"/>
    <n v="45"/>
    <n v="155"/>
    <n v="123"/>
    <n v="2496"/>
    <n v="166"/>
  </r>
  <r>
    <x v="2"/>
    <x v="0"/>
    <d v="2019-01-17T00:00:00"/>
    <x v="0"/>
    <n v="43"/>
    <n v="115"/>
    <n v="114"/>
    <n v="2497"/>
    <n v="148"/>
  </r>
  <r>
    <x v="2"/>
    <x v="0"/>
    <d v="2019-01-17T00:00:00"/>
    <x v="1"/>
    <n v="59"/>
    <n v="140"/>
    <n v="118"/>
    <n v="2498"/>
    <n v="216"/>
  </r>
  <r>
    <x v="2"/>
    <x v="0"/>
    <d v="2019-01-17T00:00:00"/>
    <x v="2"/>
    <n v="40"/>
    <n v="155"/>
    <n v="123"/>
    <n v="2499"/>
    <n v="140"/>
  </r>
  <r>
    <x v="2"/>
    <x v="0"/>
    <d v="2019-01-21T00:00:00"/>
    <x v="1"/>
    <n v="63"/>
    <n v="140"/>
    <n v="118"/>
    <n v="2503"/>
    <n v="229"/>
  </r>
  <r>
    <x v="2"/>
    <x v="0"/>
    <d v="2019-01-21T00:00:00"/>
    <x v="2"/>
    <n v="50"/>
    <n v="155"/>
    <n v="123"/>
    <n v="2505"/>
    <n v="172"/>
  </r>
  <r>
    <x v="2"/>
    <x v="0"/>
    <d v="2019-01-21T00:00:00"/>
    <x v="0"/>
    <n v="51"/>
    <n v="115"/>
    <n v="114"/>
    <n v="2504"/>
    <n v="186"/>
  </r>
  <r>
    <x v="2"/>
    <x v="0"/>
    <d v="2019-01-21T00:00:00"/>
    <x v="2"/>
    <n v="34"/>
    <n v="155"/>
    <n v="123"/>
    <n v="2500"/>
    <n v="117"/>
  </r>
  <r>
    <x v="2"/>
    <x v="0"/>
    <d v="2019-01-21T00:00:00"/>
    <x v="1"/>
    <n v="55"/>
    <n v="140"/>
    <n v="118"/>
    <n v="2502"/>
    <n v="253"/>
  </r>
  <r>
    <x v="2"/>
    <x v="0"/>
    <d v="2019-01-21T00:00:00"/>
    <x v="2"/>
    <n v="46"/>
    <n v="155"/>
    <n v="123"/>
    <n v="2501"/>
    <n v="165"/>
  </r>
  <r>
    <x v="2"/>
    <x v="0"/>
    <d v="2019-01-22T00:00:00"/>
    <x v="1"/>
    <n v="63"/>
    <n v="140"/>
    <n v="118"/>
    <n v="2506"/>
    <n v="291"/>
  </r>
  <r>
    <x v="2"/>
    <x v="0"/>
    <d v="2019-01-22T00:00:00"/>
    <x v="2"/>
    <n v="36"/>
    <n v="155"/>
    <n v="123"/>
    <n v="2507"/>
    <n v="133"/>
  </r>
  <r>
    <x v="2"/>
    <x v="0"/>
    <d v="2019-01-22T00:00:00"/>
    <x v="1"/>
    <n v="59"/>
    <n v="140"/>
    <n v="118"/>
    <n v="2508"/>
    <n v="217"/>
  </r>
  <r>
    <x v="2"/>
    <x v="0"/>
    <d v="2019-01-22T00:00:00"/>
    <x v="2"/>
    <n v="37"/>
    <n v="155"/>
    <n v="123"/>
    <n v="2509"/>
    <n v="137"/>
  </r>
  <r>
    <x v="2"/>
    <x v="0"/>
    <d v="2019-01-23T00:00:00"/>
    <x v="0"/>
    <n v="47"/>
    <n v="115"/>
    <n v="114"/>
    <n v="2510"/>
    <n v="162"/>
  </r>
  <r>
    <x v="2"/>
    <x v="0"/>
    <d v="2019-01-23T00:00:00"/>
    <x v="2"/>
    <n v="31"/>
    <n v="155"/>
    <n v="123"/>
    <n v="2515"/>
    <n v="105"/>
  </r>
  <r>
    <x v="2"/>
    <x v="0"/>
    <d v="2019-01-23T00:00:00"/>
    <x v="2"/>
    <n v="55"/>
    <n v="155"/>
    <n v="123"/>
    <n v="2514"/>
    <n v="191"/>
  </r>
  <r>
    <x v="2"/>
    <x v="0"/>
    <d v="2019-01-23T00:00:00"/>
    <x v="0"/>
    <n v="35"/>
    <n v="115"/>
    <n v="114"/>
    <n v="2513"/>
    <n v="121"/>
  </r>
  <r>
    <x v="2"/>
    <x v="0"/>
    <d v="2019-01-23T00:00:00"/>
    <x v="0"/>
    <n v="58"/>
    <n v="115"/>
    <n v="114"/>
    <n v="2511"/>
    <n v="199"/>
  </r>
  <r>
    <x v="2"/>
    <x v="0"/>
    <d v="2019-01-23T00:00:00"/>
    <x v="0"/>
    <n v="47"/>
    <n v="115"/>
    <n v="114"/>
    <n v="2512"/>
    <n v="172"/>
  </r>
  <r>
    <x v="2"/>
    <x v="0"/>
    <d v="2019-01-24T00:00:00"/>
    <x v="0"/>
    <n v="50"/>
    <n v="115"/>
    <n v="114"/>
    <n v="2518"/>
    <n v="183"/>
  </r>
  <r>
    <x v="2"/>
    <x v="0"/>
    <d v="2019-01-24T00:00:00"/>
    <x v="1"/>
    <n v="62"/>
    <n v="140"/>
    <n v="118"/>
    <n v="2522"/>
    <n v="216"/>
  </r>
  <r>
    <x v="2"/>
    <x v="0"/>
    <d v="2019-01-24T00:00:00"/>
    <x v="2"/>
    <n v="29"/>
    <n v="155"/>
    <n v="123"/>
    <n v="2521"/>
    <n v="102"/>
  </r>
  <r>
    <x v="2"/>
    <x v="0"/>
    <d v="2019-01-24T00:00:00"/>
    <x v="2"/>
    <n v="52"/>
    <n v="155"/>
    <n v="123"/>
    <n v="2520"/>
    <n v="244"/>
  </r>
  <r>
    <x v="2"/>
    <x v="0"/>
    <d v="2019-01-24T00:00:00"/>
    <x v="1"/>
    <n v="65"/>
    <n v="140"/>
    <n v="118"/>
    <n v="2517"/>
    <n v="247"/>
  </r>
  <r>
    <x v="2"/>
    <x v="0"/>
    <d v="2019-01-24T00:00:00"/>
    <x v="2"/>
    <n v="29"/>
    <n v="155"/>
    <n v="123"/>
    <n v="2516"/>
    <n v="104"/>
  </r>
  <r>
    <x v="2"/>
    <x v="0"/>
    <d v="2019-01-24T00:00:00"/>
    <x v="0"/>
    <n v="40"/>
    <n v="115"/>
    <n v="114"/>
    <n v="2519"/>
    <n v="143"/>
  </r>
  <r>
    <x v="2"/>
    <x v="0"/>
    <d v="2019-01-28T00:00:00"/>
    <x v="1"/>
    <n v="53"/>
    <n v="140"/>
    <n v="118"/>
    <n v="2523"/>
    <n v="190"/>
  </r>
  <r>
    <x v="2"/>
    <x v="0"/>
    <d v="2019-01-28T00:00:00"/>
    <x v="2"/>
    <n v="43"/>
    <n v="155"/>
    <n v="123"/>
    <n v="2524"/>
    <n v="201"/>
  </r>
  <r>
    <x v="2"/>
    <x v="0"/>
    <d v="2019-01-28T00:00:00"/>
    <x v="0"/>
    <n v="49"/>
    <n v="115"/>
    <n v="114"/>
    <n v="2525"/>
    <n v="172"/>
  </r>
  <r>
    <x v="2"/>
    <x v="0"/>
    <d v="2019-01-29T00:00:00"/>
    <x v="0"/>
    <n v="48"/>
    <n v="115"/>
    <n v="114"/>
    <n v="2527"/>
    <n v="176"/>
  </r>
  <r>
    <x v="2"/>
    <x v="0"/>
    <d v="2019-01-29T00:00:00"/>
    <x v="1"/>
    <n v="42"/>
    <n v="140"/>
    <n v="118"/>
    <n v="2530"/>
    <n v="145"/>
  </r>
  <r>
    <x v="2"/>
    <x v="0"/>
    <d v="2019-01-29T00:00:00"/>
    <x v="0"/>
    <n v="57"/>
    <n v="115"/>
    <n v="114"/>
    <n v="2528"/>
    <n v="207"/>
  </r>
  <r>
    <x v="2"/>
    <x v="0"/>
    <d v="2019-01-29T00:00:00"/>
    <x v="2"/>
    <n v="54"/>
    <n v="155"/>
    <n v="123"/>
    <n v="2526"/>
    <n v="193"/>
  </r>
  <r>
    <x v="2"/>
    <x v="0"/>
    <d v="2019-01-29T00:00:00"/>
    <x v="0"/>
    <n v="52"/>
    <n v="115"/>
    <n v="114"/>
    <n v="2529"/>
    <n v="185"/>
  </r>
  <r>
    <x v="2"/>
    <x v="0"/>
    <d v="2019-01-30T00:00:00"/>
    <x v="1"/>
    <n v="49"/>
    <n v="140"/>
    <n v="118"/>
    <n v="2536"/>
    <n v="170"/>
  </r>
  <r>
    <x v="2"/>
    <x v="0"/>
    <d v="2019-01-30T00:00:00"/>
    <x v="0"/>
    <n v="41"/>
    <n v="115"/>
    <n v="114"/>
    <n v="2531"/>
    <n v="147"/>
  </r>
  <r>
    <x v="2"/>
    <x v="0"/>
    <d v="2019-01-30T00:00:00"/>
    <x v="2"/>
    <n v="47"/>
    <n v="155"/>
    <n v="123"/>
    <n v="2532"/>
    <n v="168"/>
  </r>
  <r>
    <x v="2"/>
    <x v="0"/>
    <d v="2019-01-30T00:00:00"/>
    <x v="1"/>
    <n v="63"/>
    <n v="140"/>
    <n v="118"/>
    <n v="2533"/>
    <n v="217"/>
  </r>
  <r>
    <x v="2"/>
    <x v="0"/>
    <d v="2019-01-30T00:00:00"/>
    <x v="2"/>
    <n v="45"/>
    <n v="155"/>
    <n v="123"/>
    <n v="2534"/>
    <n v="209"/>
  </r>
  <r>
    <x v="2"/>
    <x v="0"/>
    <d v="2019-01-30T00:00:00"/>
    <x v="2"/>
    <n v="55"/>
    <n v="155"/>
    <n v="123"/>
    <n v="2535"/>
    <n v="202"/>
  </r>
  <r>
    <x v="2"/>
    <x v="0"/>
    <d v="2019-02-01T00:00:00"/>
    <x v="0"/>
    <n v="56"/>
    <n v="115"/>
    <n v="114"/>
    <n v="2537"/>
    <n v="199"/>
  </r>
  <r>
    <x v="2"/>
    <x v="0"/>
    <d v="2019-02-04T00:00:00"/>
    <x v="1"/>
    <n v="60"/>
    <n v="140"/>
    <n v="118"/>
    <n v="2538"/>
    <n v="217"/>
  </r>
  <r>
    <x v="2"/>
    <x v="0"/>
    <d v="2019-02-05T00:00:00"/>
    <x v="1"/>
    <n v="45"/>
    <n v="140"/>
    <n v="118"/>
    <n v="2539"/>
    <n v="157"/>
  </r>
  <r>
    <x v="2"/>
    <x v="0"/>
    <d v="2019-02-05T00:00:00"/>
    <x v="2"/>
    <n v="50"/>
    <n v="155"/>
    <n v="123"/>
    <n v="2540"/>
    <n v="188"/>
  </r>
  <r>
    <x v="2"/>
    <x v="0"/>
    <d v="2019-02-05T00:00:00"/>
    <x v="0"/>
    <n v="56"/>
    <n v="115"/>
    <n v="114"/>
    <n v="2541"/>
    <n v="259"/>
  </r>
  <r>
    <x v="2"/>
    <x v="0"/>
    <d v="2019-02-06T00:00:00"/>
    <x v="0"/>
    <n v="53"/>
    <n v="115"/>
    <n v="114"/>
    <n v="2545"/>
    <n v="195"/>
  </r>
  <r>
    <x v="2"/>
    <x v="0"/>
    <d v="2019-02-06T00:00:00"/>
    <x v="1"/>
    <n v="45"/>
    <n v="140"/>
    <n v="118"/>
    <n v="2546"/>
    <n v="160"/>
  </r>
  <r>
    <x v="2"/>
    <x v="0"/>
    <d v="2019-02-06T00:00:00"/>
    <x v="1"/>
    <n v="52"/>
    <n v="140"/>
    <n v="118"/>
    <n v="2544"/>
    <n v="192"/>
  </r>
  <r>
    <x v="2"/>
    <x v="0"/>
    <d v="2019-02-06T00:00:00"/>
    <x v="2"/>
    <n v="46"/>
    <n v="155"/>
    <n v="123"/>
    <n v="2543"/>
    <n v="167"/>
  </r>
  <r>
    <x v="2"/>
    <x v="0"/>
    <d v="2019-02-06T00:00:00"/>
    <x v="1"/>
    <n v="46"/>
    <n v="140"/>
    <n v="118"/>
    <n v="2546"/>
    <n v="163"/>
  </r>
  <r>
    <x v="2"/>
    <x v="0"/>
    <d v="2019-02-07T00:00:00"/>
    <x v="0"/>
    <n v="45"/>
    <n v="115"/>
    <n v="114"/>
    <n v="2548"/>
    <n v="158"/>
  </r>
  <r>
    <x v="2"/>
    <x v="0"/>
    <d v="2019-02-07T00:00:00"/>
    <x v="1"/>
    <n v="44"/>
    <n v="140"/>
    <n v="118"/>
    <n v="2549"/>
    <n v="155"/>
  </r>
  <r>
    <x v="2"/>
    <x v="0"/>
    <d v="2019-02-07T00:00:00"/>
    <x v="0"/>
    <n v="45"/>
    <n v="115"/>
    <n v="114"/>
    <n v="2550"/>
    <n v="212"/>
  </r>
  <r>
    <x v="2"/>
    <x v="0"/>
    <d v="2019-02-07T00:00:00"/>
    <x v="1"/>
    <n v="60"/>
    <n v="140"/>
    <n v="118"/>
    <n v="2547"/>
    <n v="206"/>
  </r>
  <r>
    <x v="2"/>
    <x v="0"/>
    <d v="2019-02-08T00:00:00"/>
    <x v="1"/>
    <n v="48"/>
    <n v="140"/>
    <n v="118"/>
    <n v="2551"/>
    <n v="166"/>
  </r>
  <r>
    <x v="2"/>
    <x v="0"/>
    <d v="2019-02-11T00:00:00"/>
    <x v="1"/>
    <n v="43"/>
    <n v="140"/>
    <n v="118"/>
    <n v="2553"/>
    <n v="149"/>
  </r>
  <r>
    <x v="2"/>
    <x v="0"/>
    <d v="2019-02-11T00:00:00"/>
    <x v="2"/>
    <n v="36"/>
    <n v="155"/>
    <n v="123"/>
    <n v="2552"/>
    <n v="127"/>
  </r>
  <r>
    <x v="2"/>
    <x v="0"/>
    <d v="2019-02-12T00:00:00"/>
    <x v="2"/>
    <n v="41"/>
    <n v="155"/>
    <n v="123"/>
    <n v="2558"/>
    <n v="157"/>
  </r>
  <r>
    <x v="2"/>
    <x v="0"/>
    <d v="2019-02-12T00:00:00"/>
    <x v="1"/>
    <n v="51"/>
    <n v="140"/>
    <n v="118"/>
    <n v="2557"/>
    <n v="183"/>
  </r>
  <r>
    <x v="2"/>
    <x v="0"/>
    <d v="2019-02-12T00:00:00"/>
    <x v="1"/>
    <n v="46"/>
    <n v="140"/>
    <n v="118"/>
    <n v="2554"/>
    <n v="169"/>
  </r>
  <r>
    <x v="2"/>
    <x v="0"/>
    <d v="2019-02-12T00:00:00"/>
    <x v="2"/>
    <n v="44"/>
    <n v="155"/>
    <n v="123"/>
    <n v="2555"/>
    <n v="153"/>
  </r>
  <r>
    <x v="2"/>
    <x v="0"/>
    <d v="2019-02-12T00:00:00"/>
    <x v="0"/>
    <n v="59"/>
    <n v="115"/>
    <n v="114"/>
    <n v="2556"/>
    <n v="211"/>
  </r>
  <r>
    <x v="2"/>
    <x v="0"/>
    <d v="2019-02-13T00:00:00"/>
    <x v="1"/>
    <n v="58"/>
    <n v="140"/>
    <n v="118"/>
    <n v="2559"/>
    <n v="205"/>
  </r>
  <r>
    <x v="2"/>
    <x v="0"/>
    <d v="2019-02-13T00:00:00"/>
    <x v="0"/>
    <n v="56"/>
    <n v="115"/>
    <n v="114"/>
    <n v="2560"/>
    <n v="201"/>
  </r>
  <r>
    <x v="2"/>
    <x v="0"/>
    <d v="2019-02-13T00:00:00"/>
    <x v="0"/>
    <n v="39"/>
    <n v="115"/>
    <n v="114"/>
    <n v="2561"/>
    <n v="144"/>
  </r>
  <r>
    <x v="2"/>
    <x v="0"/>
    <d v="2019-02-14T00:00:00"/>
    <x v="2"/>
    <n v="52"/>
    <n v="155"/>
    <n v="123"/>
    <n v="2563"/>
    <n v="199"/>
  </r>
  <r>
    <x v="2"/>
    <x v="0"/>
    <d v="2019-02-14T00:00:00"/>
    <x v="1"/>
    <n v="55"/>
    <n v="140"/>
    <n v="118"/>
    <n v="2564"/>
    <n v="193"/>
  </r>
  <r>
    <x v="2"/>
    <x v="0"/>
    <d v="2019-02-14T00:00:00"/>
    <x v="2"/>
    <n v="48"/>
    <n v="155"/>
    <n v="123"/>
    <n v="2562"/>
    <n v="225"/>
  </r>
  <r>
    <x v="2"/>
    <x v="0"/>
    <d v="2019-02-14T00:00:00"/>
    <x v="1"/>
    <n v="51"/>
    <n v="140"/>
    <n v="118"/>
    <n v="2565"/>
    <n v="181"/>
  </r>
  <r>
    <x v="2"/>
    <x v="0"/>
    <d v="2019-02-15T00:00:00"/>
    <x v="0"/>
    <n v="53"/>
    <n v="115"/>
    <n v="114"/>
    <n v="2572"/>
    <n v="244"/>
  </r>
  <r>
    <x v="2"/>
    <x v="0"/>
    <d v="2019-02-15T00:00:00"/>
    <x v="2"/>
    <n v="48"/>
    <n v="155"/>
    <n v="123"/>
    <n v="2566"/>
    <n v="174"/>
  </r>
  <r>
    <x v="2"/>
    <x v="0"/>
    <d v="2019-02-15T00:00:00"/>
    <x v="1"/>
    <n v="48"/>
    <n v="140"/>
    <n v="118"/>
    <n v="2567"/>
    <n v="168"/>
  </r>
  <r>
    <x v="2"/>
    <x v="0"/>
    <d v="2019-02-15T00:00:00"/>
    <x v="1"/>
    <n v="60"/>
    <n v="140"/>
    <n v="118"/>
    <n v="2568"/>
    <n v="211"/>
  </r>
  <r>
    <x v="2"/>
    <x v="0"/>
    <d v="2019-02-15T00:00:00"/>
    <x v="0"/>
    <n v="38"/>
    <n v="115"/>
    <n v="114"/>
    <n v="2569"/>
    <n v="136"/>
  </r>
  <r>
    <x v="2"/>
    <x v="0"/>
    <d v="2019-02-15T00:00:00"/>
    <x v="1"/>
    <n v="53"/>
    <n v="140"/>
    <n v="118"/>
    <n v="2570"/>
    <n v="191"/>
  </r>
  <r>
    <x v="2"/>
    <x v="0"/>
    <d v="2019-02-15T00:00:00"/>
    <x v="2"/>
    <n v="35"/>
    <n v="155"/>
    <n v="123"/>
    <n v="2571"/>
    <n v="120"/>
  </r>
  <r>
    <x v="2"/>
    <x v="0"/>
    <d v="2019-02-18T00:00:00"/>
    <x v="1"/>
    <n v="50"/>
    <n v="140"/>
    <n v="118"/>
    <n v="2573"/>
    <n v="234"/>
  </r>
  <r>
    <x v="2"/>
    <x v="0"/>
    <d v="2019-02-19T00:00:00"/>
    <x v="1"/>
    <n v="60"/>
    <n v="140"/>
    <n v="118"/>
    <n v="2574"/>
    <n v="276"/>
  </r>
  <r>
    <x v="2"/>
    <x v="0"/>
    <d v="2019-02-19T00:00:00"/>
    <x v="2"/>
    <n v="47"/>
    <n v="155"/>
    <n v="123"/>
    <n v="2575"/>
    <n v="172"/>
  </r>
  <r>
    <x v="2"/>
    <x v="0"/>
    <d v="2019-02-20T00:00:00"/>
    <x v="0"/>
    <n v="47"/>
    <n v="115"/>
    <n v="114"/>
    <n v="2580"/>
    <n v="161"/>
  </r>
  <r>
    <x v="2"/>
    <x v="0"/>
    <d v="2019-02-20T00:00:00"/>
    <x v="2"/>
    <n v="50"/>
    <n v="155"/>
    <n v="123"/>
    <n v="2581"/>
    <n v="180"/>
  </r>
  <r>
    <x v="2"/>
    <x v="0"/>
    <d v="2019-02-20T00:00:00"/>
    <x v="1"/>
    <n v="61"/>
    <n v="140"/>
    <n v="118"/>
    <n v="2579"/>
    <n v="209"/>
  </r>
  <r>
    <x v="2"/>
    <x v="0"/>
    <d v="2019-02-20T00:00:00"/>
    <x v="1"/>
    <n v="54"/>
    <n v="140"/>
    <n v="118"/>
    <n v="2578"/>
    <n v="254"/>
  </r>
  <r>
    <x v="2"/>
    <x v="0"/>
    <d v="2019-02-20T00:00:00"/>
    <x v="2"/>
    <n v="42"/>
    <n v="155"/>
    <n v="123"/>
    <n v="2577"/>
    <n v="155"/>
  </r>
  <r>
    <x v="2"/>
    <x v="0"/>
    <d v="2019-02-20T00:00:00"/>
    <x v="2"/>
    <n v="54"/>
    <n v="155"/>
    <n v="123"/>
    <n v="2576"/>
    <n v="186"/>
  </r>
  <r>
    <x v="2"/>
    <x v="0"/>
    <d v="2019-02-21T00:00:00"/>
    <x v="2"/>
    <n v="46"/>
    <n v="155"/>
    <n v="123"/>
    <n v="2583"/>
    <n v="159"/>
  </r>
  <r>
    <x v="2"/>
    <x v="0"/>
    <d v="2019-02-21T00:00:00"/>
    <x v="2"/>
    <n v="51"/>
    <n v="155"/>
    <n v="123"/>
    <n v="2584"/>
    <n v="175"/>
  </r>
  <r>
    <x v="2"/>
    <x v="0"/>
    <d v="2019-02-21T00:00:00"/>
    <x v="2"/>
    <n v="48"/>
    <n v="155"/>
    <n v="123"/>
    <n v="2582"/>
    <n v="170"/>
  </r>
  <r>
    <x v="2"/>
    <x v="0"/>
    <d v="2019-02-22T00:00:00"/>
    <x v="2"/>
    <n v="47"/>
    <n v="155"/>
    <n v="123"/>
    <n v="2585"/>
    <n v="168"/>
  </r>
  <r>
    <x v="2"/>
    <x v="0"/>
    <d v="2019-02-22T00:00:00"/>
    <x v="0"/>
    <n v="44"/>
    <n v="115"/>
    <n v="114"/>
    <n v="2586"/>
    <n v="157"/>
  </r>
  <r>
    <x v="2"/>
    <x v="0"/>
    <d v="2019-02-25T00:00:00"/>
    <x v="2"/>
    <n v="53"/>
    <n v="155"/>
    <n v="123"/>
    <n v="2590"/>
    <n v="202"/>
  </r>
  <r>
    <x v="2"/>
    <x v="0"/>
    <d v="2019-02-25T00:00:00"/>
    <x v="1"/>
    <n v="63"/>
    <n v="140"/>
    <n v="118"/>
    <n v="2593"/>
    <n v="239"/>
  </r>
  <r>
    <x v="2"/>
    <x v="0"/>
    <d v="2019-02-25T00:00:00"/>
    <x v="0"/>
    <n v="46"/>
    <n v="115"/>
    <n v="114"/>
    <n v="2591"/>
    <n v="160"/>
  </r>
  <r>
    <x v="2"/>
    <x v="0"/>
    <d v="2019-02-25T00:00:00"/>
    <x v="2"/>
    <n v="39"/>
    <n v="155"/>
    <n v="123"/>
    <n v="2588"/>
    <n v="144"/>
  </r>
  <r>
    <x v="2"/>
    <x v="0"/>
    <d v="2019-02-25T00:00:00"/>
    <x v="0"/>
    <n v="35"/>
    <n v="115"/>
    <n v="114"/>
    <n v="2587"/>
    <n v="125"/>
  </r>
  <r>
    <x v="2"/>
    <x v="0"/>
    <d v="2019-02-25T00:00:00"/>
    <x v="2"/>
    <n v="52"/>
    <n v="155"/>
    <n v="123"/>
    <n v="2589"/>
    <n v="192"/>
  </r>
  <r>
    <x v="2"/>
    <x v="0"/>
    <d v="2019-02-25T00:00:00"/>
    <x v="2"/>
    <n v="46"/>
    <n v="155"/>
    <n v="123"/>
    <n v="2592"/>
    <n v="159"/>
  </r>
  <r>
    <x v="2"/>
    <x v="0"/>
    <d v="2019-02-26T00:00:00"/>
    <x v="0"/>
    <n v="59"/>
    <n v="115"/>
    <n v="114"/>
    <n v="2598"/>
    <n v="208"/>
  </r>
  <r>
    <x v="2"/>
    <x v="0"/>
    <d v="2019-02-26T00:00:00"/>
    <x v="1"/>
    <n v="57"/>
    <n v="140"/>
    <n v="118"/>
    <n v="2599"/>
    <n v="200"/>
  </r>
  <r>
    <x v="2"/>
    <x v="0"/>
    <d v="2019-02-26T00:00:00"/>
    <x v="1"/>
    <n v="39"/>
    <n v="140"/>
    <n v="118"/>
    <n v="2597"/>
    <n v="138"/>
  </r>
  <r>
    <x v="2"/>
    <x v="0"/>
    <d v="2019-02-26T00:00:00"/>
    <x v="0"/>
    <n v="49"/>
    <n v="115"/>
    <n v="114"/>
    <n v="2596"/>
    <n v="229"/>
  </r>
  <r>
    <x v="2"/>
    <x v="0"/>
    <d v="2019-02-26T00:00:00"/>
    <x v="1"/>
    <n v="62"/>
    <n v="140"/>
    <n v="118"/>
    <n v="2595"/>
    <n v="227"/>
  </r>
  <r>
    <x v="2"/>
    <x v="0"/>
    <d v="2019-02-26T00:00:00"/>
    <x v="0"/>
    <n v="34"/>
    <n v="115"/>
    <n v="114"/>
    <n v="2594"/>
    <n v="119"/>
  </r>
  <r>
    <x v="2"/>
    <x v="0"/>
    <d v="2019-02-27T00:00:00"/>
    <x v="1"/>
    <n v="59"/>
    <n v="140"/>
    <n v="118"/>
    <n v="2601"/>
    <n v="207"/>
  </r>
  <r>
    <x v="2"/>
    <x v="0"/>
    <d v="2019-02-27T00:00:00"/>
    <x v="1"/>
    <n v="48"/>
    <n v="140"/>
    <n v="118"/>
    <n v="2602"/>
    <n v="176"/>
  </r>
  <r>
    <x v="2"/>
    <x v="0"/>
    <d v="2019-02-27T00:00:00"/>
    <x v="1"/>
    <n v="52"/>
    <n v="140"/>
    <n v="118"/>
    <n v="2603"/>
    <n v="193"/>
  </r>
  <r>
    <x v="2"/>
    <x v="0"/>
    <d v="2019-02-27T00:00:00"/>
    <x v="2"/>
    <n v="40"/>
    <n v="155"/>
    <n v="123"/>
    <n v="2604"/>
    <n v="147"/>
  </r>
  <r>
    <x v="2"/>
    <x v="0"/>
    <d v="2019-02-27T00:00:00"/>
    <x v="2"/>
    <n v="30"/>
    <n v="155"/>
    <n v="123"/>
    <n v="2605"/>
    <n v="106"/>
  </r>
  <r>
    <x v="2"/>
    <x v="0"/>
    <d v="2019-02-27T00:00:00"/>
    <x v="0"/>
    <n v="37"/>
    <n v="115"/>
    <n v="114"/>
    <n v="2600"/>
    <n v="142"/>
  </r>
  <r>
    <x v="2"/>
    <x v="0"/>
    <d v="2019-02-28T00:00:00"/>
    <x v="2"/>
    <n v="39"/>
    <n v="155"/>
    <n v="123"/>
    <n v="2607"/>
    <n v="134"/>
  </r>
  <r>
    <x v="2"/>
    <x v="0"/>
    <d v="2019-02-28T00:00:00"/>
    <x v="0"/>
    <n v="56"/>
    <n v="115"/>
    <n v="114"/>
    <n v="2610"/>
    <n v="206"/>
  </r>
  <r>
    <x v="2"/>
    <x v="0"/>
    <d v="2019-02-28T00:00:00"/>
    <x v="0"/>
    <n v="38"/>
    <n v="115"/>
    <n v="114"/>
    <n v="2611"/>
    <n v="130"/>
  </r>
  <r>
    <x v="2"/>
    <x v="0"/>
    <d v="2019-02-28T00:00:00"/>
    <x v="2"/>
    <n v="37"/>
    <n v="155"/>
    <n v="123"/>
    <n v="2606"/>
    <n v="136"/>
  </r>
  <r>
    <x v="2"/>
    <x v="0"/>
    <d v="2019-02-28T00:00:00"/>
    <x v="2"/>
    <n v="47"/>
    <n v="155"/>
    <n v="123"/>
    <n v="2609"/>
    <n v="164"/>
  </r>
  <r>
    <x v="2"/>
    <x v="0"/>
    <d v="2019-02-28T00:00:00"/>
    <x v="1"/>
    <n v="63"/>
    <n v="140"/>
    <n v="118"/>
    <n v="2608"/>
    <n v="222"/>
  </r>
  <r>
    <x v="2"/>
    <x v="0"/>
    <d v="2019-03-01T00:00:00"/>
    <x v="1"/>
    <n v="52"/>
    <n v="140"/>
    <n v="118"/>
    <n v="2612"/>
    <n v="185"/>
  </r>
  <r>
    <x v="2"/>
    <x v="0"/>
    <d v="2019-03-01T00:00:00"/>
    <x v="2"/>
    <n v="49"/>
    <n v="155"/>
    <n v="123"/>
    <n v="2613"/>
    <n v="173"/>
  </r>
  <r>
    <x v="2"/>
    <x v="0"/>
    <d v="2019-03-04T00:00:00"/>
    <x v="2"/>
    <n v="47"/>
    <n v="155"/>
    <n v="123"/>
    <n v="2617"/>
    <n v="168"/>
  </r>
  <r>
    <x v="2"/>
    <x v="0"/>
    <d v="2019-03-04T00:00:00"/>
    <x v="0"/>
    <n v="38"/>
    <n v="115"/>
    <n v="114"/>
    <n v="2620"/>
    <n v="143"/>
  </r>
  <r>
    <x v="2"/>
    <x v="0"/>
    <d v="2019-03-04T00:00:00"/>
    <x v="1"/>
    <n v="65"/>
    <n v="140"/>
    <n v="118"/>
    <n v="2618"/>
    <n v="245"/>
  </r>
  <r>
    <x v="2"/>
    <x v="0"/>
    <d v="2019-03-04T00:00:00"/>
    <x v="0"/>
    <n v="54"/>
    <n v="115"/>
    <n v="114"/>
    <n v="2616"/>
    <n v="196"/>
  </r>
  <r>
    <x v="2"/>
    <x v="0"/>
    <d v="2019-03-04T00:00:00"/>
    <x v="0"/>
    <n v="51"/>
    <n v="115"/>
    <n v="114"/>
    <n v="2615"/>
    <n v="184"/>
  </r>
  <r>
    <x v="2"/>
    <x v="0"/>
    <d v="2019-03-04T00:00:00"/>
    <x v="0"/>
    <n v="51"/>
    <n v="115"/>
    <n v="114"/>
    <n v="2614"/>
    <n v="239"/>
  </r>
  <r>
    <x v="2"/>
    <x v="0"/>
    <d v="2019-03-04T00:00:00"/>
    <x v="2"/>
    <n v="47"/>
    <n v="155"/>
    <n v="123"/>
    <n v="2619"/>
    <n v="172"/>
  </r>
  <r>
    <x v="2"/>
    <x v="0"/>
    <d v="2019-03-05T00:00:00"/>
    <x v="0"/>
    <n v="41"/>
    <n v="115"/>
    <n v="114"/>
    <n v="2621"/>
    <n v="148"/>
  </r>
  <r>
    <x v="2"/>
    <x v="0"/>
    <d v="2019-03-05T00:00:00"/>
    <x v="1"/>
    <n v="46"/>
    <n v="140"/>
    <n v="118"/>
    <n v="2622"/>
    <n v="161"/>
  </r>
  <r>
    <x v="2"/>
    <x v="0"/>
    <d v="2019-03-06T00:00:00"/>
    <x v="0"/>
    <n v="39"/>
    <n v="115"/>
    <n v="114"/>
    <n v="2627"/>
    <n v="138"/>
  </r>
  <r>
    <x v="2"/>
    <x v="0"/>
    <d v="2019-03-06T00:00:00"/>
    <x v="0"/>
    <n v="35"/>
    <n v="115"/>
    <n v="114"/>
    <n v="2629"/>
    <n v="126"/>
  </r>
  <r>
    <x v="2"/>
    <x v="0"/>
    <d v="2019-03-06T00:00:00"/>
    <x v="0"/>
    <n v="35"/>
    <n v="115"/>
    <n v="114"/>
    <n v="2628"/>
    <n v="124"/>
  </r>
  <r>
    <x v="2"/>
    <x v="0"/>
    <d v="2019-03-06T00:00:00"/>
    <x v="0"/>
    <n v="38"/>
    <n v="115"/>
    <n v="114"/>
    <n v="2623"/>
    <n v="143"/>
  </r>
  <r>
    <x v="2"/>
    <x v="0"/>
    <d v="2019-03-06T00:00:00"/>
    <x v="1"/>
    <n v="51"/>
    <n v="140"/>
    <n v="118"/>
    <n v="2624"/>
    <n v="187"/>
  </r>
  <r>
    <x v="2"/>
    <x v="0"/>
    <d v="2019-03-06T00:00:00"/>
    <x v="2"/>
    <n v="39"/>
    <n v="155"/>
    <n v="123"/>
    <n v="2625"/>
    <n v="144"/>
  </r>
  <r>
    <x v="2"/>
    <x v="0"/>
    <d v="2019-03-06T00:00:00"/>
    <x v="2"/>
    <n v="42"/>
    <n v="155"/>
    <n v="123"/>
    <n v="2626"/>
    <n v="145"/>
  </r>
  <r>
    <x v="2"/>
    <x v="0"/>
    <d v="2019-03-07T00:00:00"/>
    <x v="0"/>
    <n v="42"/>
    <n v="115"/>
    <n v="114"/>
    <n v="2630"/>
    <n v="151"/>
  </r>
  <r>
    <x v="2"/>
    <x v="0"/>
    <d v="2019-03-07T00:00:00"/>
    <x v="2"/>
    <n v="44"/>
    <n v="155"/>
    <n v="123"/>
    <n v="2631"/>
    <n v="161"/>
  </r>
  <r>
    <x v="2"/>
    <x v="0"/>
    <d v="2019-03-07T00:00:00"/>
    <x v="0"/>
    <n v="41"/>
    <n v="115"/>
    <n v="114"/>
    <n v="2632"/>
    <n v="149"/>
  </r>
  <r>
    <x v="2"/>
    <x v="0"/>
    <d v="2019-03-07T00:00:00"/>
    <x v="2"/>
    <n v="52"/>
    <n v="155"/>
    <n v="123"/>
    <n v="2633"/>
    <n v="190"/>
  </r>
  <r>
    <x v="2"/>
    <x v="0"/>
    <d v="2019-03-08T00:00:00"/>
    <x v="2"/>
    <n v="42"/>
    <n v="155"/>
    <n v="123"/>
    <n v="2634"/>
    <n v="148"/>
  </r>
  <r>
    <x v="2"/>
    <x v="0"/>
    <d v="2019-03-08T00:00:00"/>
    <x v="2"/>
    <n v="50"/>
    <n v="155"/>
    <n v="123"/>
    <n v="2637"/>
    <n v="173"/>
  </r>
  <r>
    <x v="2"/>
    <x v="0"/>
    <d v="2019-03-08T00:00:00"/>
    <x v="1"/>
    <n v="63"/>
    <n v="140"/>
    <n v="118"/>
    <n v="2635"/>
    <n v="220"/>
  </r>
  <r>
    <x v="2"/>
    <x v="0"/>
    <d v="2019-03-08T00:00:00"/>
    <x v="0"/>
    <n v="56"/>
    <n v="115"/>
    <n v="114"/>
    <n v="2636"/>
    <n v="202"/>
  </r>
  <r>
    <x v="2"/>
    <x v="0"/>
    <d v="2019-03-11T00:00:00"/>
    <x v="2"/>
    <n v="43"/>
    <n v="155"/>
    <n v="123"/>
    <n v="2638"/>
    <n v="158"/>
  </r>
  <r>
    <x v="2"/>
    <x v="0"/>
    <d v="2019-03-12T00:00:00"/>
    <x v="2"/>
    <n v="47"/>
    <n v="155"/>
    <n v="123"/>
    <n v="2639"/>
    <n v="173"/>
  </r>
  <r>
    <x v="2"/>
    <x v="0"/>
    <d v="2019-03-12T00:00:00"/>
    <x v="0"/>
    <n v="42"/>
    <n v="115"/>
    <n v="114"/>
    <n v="2640"/>
    <n v="145"/>
  </r>
  <r>
    <x v="2"/>
    <x v="0"/>
    <d v="2019-03-12T00:00:00"/>
    <x v="0"/>
    <n v="55"/>
    <n v="115"/>
    <n v="114"/>
    <n v="2641"/>
    <n v="198"/>
  </r>
  <r>
    <x v="2"/>
    <x v="0"/>
    <d v="2019-03-13T00:00:00"/>
    <x v="2"/>
    <n v="44"/>
    <n v="155"/>
    <n v="123"/>
    <n v="2646"/>
    <n v="161"/>
  </r>
  <r>
    <x v="2"/>
    <x v="0"/>
    <d v="2019-03-13T00:00:00"/>
    <x v="2"/>
    <n v="49"/>
    <n v="155"/>
    <n v="123"/>
    <n v="2645"/>
    <n v="172"/>
  </r>
  <r>
    <x v="2"/>
    <x v="0"/>
    <d v="2019-03-13T00:00:00"/>
    <x v="2"/>
    <n v="32"/>
    <n v="155"/>
    <n v="123"/>
    <n v="2642"/>
    <n v="115"/>
  </r>
  <r>
    <x v="2"/>
    <x v="0"/>
    <d v="2019-03-13T00:00:00"/>
    <x v="2"/>
    <n v="49"/>
    <n v="155"/>
    <n v="123"/>
    <n v="2643"/>
    <n v="179"/>
  </r>
  <r>
    <x v="2"/>
    <x v="0"/>
    <d v="2019-03-13T00:00:00"/>
    <x v="0"/>
    <n v="39"/>
    <n v="115"/>
    <n v="114"/>
    <n v="2644"/>
    <n v="150"/>
  </r>
  <r>
    <x v="2"/>
    <x v="0"/>
    <d v="2019-03-14T00:00:00"/>
    <x v="1"/>
    <n v="55"/>
    <n v="140"/>
    <n v="118"/>
    <n v="2648"/>
    <n v="201"/>
  </r>
  <r>
    <x v="2"/>
    <x v="0"/>
    <d v="2019-03-14T00:00:00"/>
    <x v="2"/>
    <n v="52"/>
    <n v="155"/>
    <n v="123"/>
    <n v="2649"/>
    <n v="179"/>
  </r>
  <r>
    <x v="2"/>
    <x v="0"/>
    <d v="2019-03-14T00:00:00"/>
    <x v="0"/>
    <n v="36"/>
    <n v="115"/>
    <n v="114"/>
    <n v="2650"/>
    <n v="131"/>
  </r>
  <r>
    <x v="2"/>
    <x v="0"/>
    <d v="2019-03-14T00:00:00"/>
    <x v="0"/>
    <n v="44"/>
    <n v="115"/>
    <n v="114"/>
    <n v="2651"/>
    <n v="155"/>
  </r>
  <r>
    <x v="2"/>
    <x v="0"/>
    <d v="2019-03-14T00:00:00"/>
    <x v="1"/>
    <n v="49"/>
    <n v="140"/>
    <n v="118"/>
    <n v="2652"/>
    <n v="180"/>
  </r>
  <r>
    <x v="2"/>
    <x v="0"/>
    <d v="2019-03-14T00:00:00"/>
    <x v="2"/>
    <n v="40"/>
    <n v="155"/>
    <n v="123"/>
    <n v="2647"/>
    <n v="143"/>
  </r>
  <r>
    <x v="2"/>
    <x v="0"/>
    <d v="2019-03-15T00:00:00"/>
    <x v="1"/>
    <n v="65"/>
    <n v="140"/>
    <n v="118"/>
    <n v="2653"/>
    <n v="232"/>
  </r>
  <r>
    <x v="2"/>
    <x v="0"/>
    <d v="2019-03-18T00:00:00"/>
    <x v="0"/>
    <n v="34"/>
    <n v="115"/>
    <n v="114"/>
    <n v="2659"/>
    <n v="125"/>
  </r>
  <r>
    <x v="2"/>
    <x v="0"/>
    <d v="2019-03-18T00:00:00"/>
    <x v="1"/>
    <n v="40"/>
    <n v="140"/>
    <n v="118"/>
    <n v="2658"/>
    <n v="143"/>
  </r>
  <r>
    <x v="2"/>
    <x v="0"/>
    <d v="2019-03-18T00:00:00"/>
    <x v="2"/>
    <n v="31"/>
    <n v="155"/>
    <n v="123"/>
    <n v="2657"/>
    <n v="111"/>
  </r>
  <r>
    <x v="2"/>
    <x v="0"/>
    <d v="2019-03-18T00:00:00"/>
    <x v="0"/>
    <n v="49"/>
    <n v="115"/>
    <n v="114"/>
    <n v="2656"/>
    <n v="176"/>
  </r>
  <r>
    <x v="2"/>
    <x v="0"/>
    <d v="2019-03-18T00:00:00"/>
    <x v="1"/>
    <n v="45"/>
    <n v="140"/>
    <n v="118"/>
    <n v="2654"/>
    <n v="162"/>
  </r>
  <r>
    <x v="2"/>
    <x v="0"/>
    <d v="2019-03-18T00:00:00"/>
    <x v="1"/>
    <n v="42"/>
    <n v="140"/>
    <n v="118"/>
    <n v="2655"/>
    <n v="197"/>
  </r>
  <r>
    <x v="2"/>
    <x v="0"/>
    <d v="2019-03-19T00:00:00"/>
    <x v="1"/>
    <n v="48"/>
    <n v="140"/>
    <n v="118"/>
    <n v="2660"/>
    <n v="183"/>
  </r>
  <r>
    <x v="2"/>
    <x v="0"/>
    <d v="2019-03-19T00:00:00"/>
    <x v="0"/>
    <n v="57"/>
    <n v="115"/>
    <n v="114"/>
    <n v="2661"/>
    <n v="197"/>
  </r>
  <r>
    <x v="2"/>
    <x v="0"/>
    <d v="2019-03-20T00:00:00"/>
    <x v="0"/>
    <n v="45"/>
    <n v="115"/>
    <n v="114"/>
    <n v="2665"/>
    <n v="165"/>
  </r>
  <r>
    <x v="2"/>
    <x v="0"/>
    <d v="2019-03-20T00:00:00"/>
    <x v="2"/>
    <n v="55"/>
    <n v="155"/>
    <n v="123"/>
    <n v="2667"/>
    <n v="197"/>
  </r>
  <r>
    <x v="2"/>
    <x v="0"/>
    <d v="2019-03-20T00:00:00"/>
    <x v="1"/>
    <n v="49"/>
    <n v="140"/>
    <n v="118"/>
    <n v="2666"/>
    <n v="176"/>
  </r>
  <r>
    <x v="2"/>
    <x v="0"/>
    <d v="2019-03-20T00:00:00"/>
    <x v="2"/>
    <n v="34"/>
    <n v="155"/>
    <n v="123"/>
    <n v="2663"/>
    <n v="124"/>
  </r>
  <r>
    <x v="2"/>
    <x v="0"/>
    <d v="2019-03-20T00:00:00"/>
    <x v="2"/>
    <n v="29"/>
    <n v="155"/>
    <n v="123"/>
    <n v="2662"/>
    <n v="100"/>
  </r>
  <r>
    <x v="2"/>
    <x v="0"/>
    <d v="2019-03-20T00:00:00"/>
    <x v="2"/>
    <n v="39"/>
    <n v="155"/>
    <n v="123"/>
    <n v="2664"/>
    <n v="148"/>
  </r>
  <r>
    <x v="2"/>
    <x v="0"/>
    <d v="2019-03-21T00:00:00"/>
    <x v="2"/>
    <n v="51"/>
    <n v="155"/>
    <n v="123"/>
    <n v="2668"/>
    <n v="188"/>
  </r>
  <r>
    <x v="2"/>
    <x v="0"/>
    <d v="2019-03-21T00:00:00"/>
    <x v="0"/>
    <n v="38"/>
    <n v="115"/>
    <n v="114"/>
    <n v="2669"/>
    <n v="137"/>
  </r>
  <r>
    <x v="2"/>
    <x v="0"/>
    <d v="2019-03-21T00:00:00"/>
    <x v="0"/>
    <n v="45"/>
    <n v="115"/>
    <n v="114"/>
    <n v="2670"/>
    <n v="210"/>
  </r>
  <r>
    <x v="2"/>
    <x v="0"/>
    <d v="2019-03-22T00:00:00"/>
    <x v="0"/>
    <n v="47"/>
    <n v="115"/>
    <n v="114"/>
    <n v="2671"/>
    <n v="170"/>
  </r>
  <r>
    <x v="2"/>
    <x v="0"/>
    <d v="2019-03-25T00:00:00"/>
    <x v="0"/>
    <n v="49"/>
    <n v="115"/>
    <n v="114"/>
    <n v="2672"/>
    <n v="179"/>
  </r>
  <r>
    <x v="2"/>
    <x v="0"/>
    <d v="2019-03-26T00:00:00"/>
    <x v="2"/>
    <n v="41"/>
    <n v="155"/>
    <n v="123"/>
    <n v="2678"/>
    <n v="143"/>
  </r>
  <r>
    <x v="2"/>
    <x v="0"/>
    <d v="2019-03-26T00:00:00"/>
    <x v="1"/>
    <n v="48"/>
    <n v="140"/>
    <n v="118"/>
    <n v="2677"/>
    <n v="165"/>
  </r>
  <r>
    <x v="2"/>
    <x v="0"/>
    <d v="2019-03-26T00:00:00"/>
    <x v="0"/>
    <n v="42"/>
    <n v="115"/>
    <n v="114"/>
    <n v="2676"/>
    <n v="145"/>
  </r>
  <r>
    <x v="2"/>
    <x v="0"/>
    <d v="2019-03-26T00:00:00"/>
    <x v="0"/>
    <n v="56"/>
    <n v="115"/>
    <n v="114"/>
    <n v="2675"/>
    <n v="193"/>
  </r>
  <r>
    <x v="2"/>
    <x v="0"/>
    <d v="2019-03-26T00:00:00"/>
    <x v="2"/>
    <n v="41"/>
    <n v="155"/>
    <n v="123"/>
    <n v="2673"/>
    <n v="143"/>
  </r>
  <r>
    <x v="2"/>
    <x v="0"/>
    <d v="2019-03-26T00:00:00"/>
    <x v="2"/>
    <n v="52"/>
    <n v="155"/>
    <n v="123"/>
    <n v="2674"/>
    <n v="186"/>
  </r>
  <r>
    <x v="2"/>
    <x v="0"/>
    <d v="2019-03-27T00:00:00"/>
    <x v="0"/>
    <n v="57"/>
    <n v="115"/>
    <n v="114"/>
    <n v="2680"/>
    <n v="204"/>
  </r>
  <r>
    <x v="2"/>
    <x v="0"/>
    <d v="2019-03-27T00:00:00"/>
    <x v="0"/>
    <n v="47"/>
    <n v="115"/>
    <n v="114"/>
    <n v="2683"/>
    <n v="171"/>
  </r>
  <r>
    <x v="2"/>
    <x v="0"/>
    <d v="2019-03-27T00:00:00"/>
    <x v="0"/>
    <n v="45"/>
    <n v="115"/>
    <n v="114"/>
    <n v="2679"/>
    <n v="157"/>
  </r>
  <r>
    <x v="2"/>
    <x v="0"/>
    <d v="2019-03-27T00:00:00"/>
    <x v="0"/>
    <n v="49"/>
    <n v="115"/>
    <n v="114"/>
    <n v="2681"/>
    <n v="169"/>
  </r>
  <r>
    <x v="2"/>
    <x v="0"/>
    <d v="2019-03-27T00:00:00"/>
    <x v="1"/>
    <n v="62"/>
    <n v="140"/>
    <n v="118"/>
    <n v="2682"/>
    <n v="239"/>
  </r>
  <r>
    <x v="2"/>
    <x v="0"/>
    <d v="2019-03-29T00:00:00"/>
    <x v="2"/>
    <n v="34"/>
    <n v="155"/>
    <n v="123"/>
    <n v="2684"/>
    <n v="117"/>
  </r>
  <r>
    <x v="2"/>
    <x v="0"/>
    <d v="2019-03-29T00:00:00"/>
    <x v="0"/>
    <n v="55"/>
    <n v="115"/>
    <n v="114"/>
    <n v="2685"/>
    <n v="194"/>
  </r>
  <r>
    <x v="2"/>
    <x v="1"/>
    <d v="2019-04-01T00:00:00"/>
    <x v="2"/>
    <n v="27"/>
    <n v="145"/>
    <n v="123"/>
    <n v="2688"/>
    <n v="102"/>
  </r>
  <r>
    <x v="2"/>
    <x v="1"/>
    <d v="2019-04-01T00:00:00"/>
    <x v="1"/>
    <n v="61"/>
    <n v="140"/>
    <n v="118"/>
    <n v="2686"/>
    <n v="220"/>
  </r>
  <r>
    <x v="2"/>
    <x v="1"/>
    <d v="2019-04-01T00:00:00"/>
    <x v="0"/>
    <n v="33"/>
    <n v="115"/>
    <n v="114"/>
    <n v="2687"/>
    <n v="119"/>
  </r>
  <r>
    <x v="2"/>
    <x v="1"/>
    <d v="2019-04-02T00:00:00"/>
    <x v="0"/>
    <n v="31"/>
    <n v="115"/>
    <n v="114"/>
    <n v="2694"/>
    <n v="116"/>
  </r>
  <r>
    <x v="2"/>
    <x v="1"/>
    <d v="2019-04-02T00:00:00"/>
    <x v="0"/>
    <n v="55"/>
    <n v="115"/>
    <n v="114"/>
    <n v="2693"/>
    <n v="199"/>
  </r>
  <r>
    <x v="2"/>
    <x v="1"/>
    <d v="2019-04-02T00:00:00"/>
    <x v="2"/>
    <n v="28"/>
    <n v="145"/>
    <n v="123"/>
    <n v="2692"/>
    <n v="100"/>
  </r>
  <r>
    <x v="2"/>
    <x v="1"/>
    <d v="2019-04-02T00:00:00"/>
    <x v="0"/>
    <n v="53"/>
    <n v="115"/>
    <n v="114"/>
    <n v="2691"/>
    <n v="186"/>
  </r>
  <r>
    <x v="2"/>
    <x v="1"/>
    <d v="2019-04-02T00:00:00"/>
    <x v="1"/>
    <n v="38"/>
    <n v="140"/>
    <n v="118"/>
    <n v="2689"/>
    <n v="139"/>
  </r>
  <r>
    <x v="2"/>
    <x v="1"/>
    <d v="2019-04-02T00:00:00"/>
    <x v="0"/>
    <n v="33"/>
    <n v="115"/>
    <n v="114"/>
    <n v="2690"/>
    <n v="127"/>
  </r>
  <r>
    <x v="2"/>
    <x v="1"/>
    <d v="2019-04-03T00:00:00"/>
    <x v="0"/>
    <n v="35"/>
    <n v="115"/>
    <n v="114"/>
    <n v="2699"/>
    <n v="126"/>
  </r>
  <r>
    <x v="2"/>
    <x v="1"/>
    <d v="2019-04-03T00:00:00"/>
    <x v="1"/>
    <n v="41"/>
    <n v="140"/>
    <n v="118"/>
    <n v="2701"/>
    <n v="141"/>
  </r>
  <r>
    <x v="2"/>
    <x v="1"/>
    <d v="2019-04-03T00:00:00"/>
    <x v="2"/>
    <n v="28"/>
    <n v="145"/>
    <n v="123"/>
    <n v="2698"/>
    <n v="102"/>
  </r>
  <r>
    <x v="2"/>
    <x v="1"/>
    <d v="2019-04-03T00:00:00"/>
    <x v="2"/>
    <n v="30"/>
    <n v="145"/>
    <n v="123"/>
    <n v="2697"/>
    <n v="106"/>
  </r>
  <r>
    <x v="2"/>
    <x v="1"/>
    <d v="2019-04-03T00:00:00"/>
    <x v="0"/>
    <n v="39"/>
    <n v="115"/>
    <n v="114"/>
    <n v="2696"/>
    <n v="136"/>
  </r>
  <r>
    <x v="2"/>
    <x v="1"/>
    <d v="2019-04-03T00:00:00"/>
    <x v="1"/>
    <n v="47"/>
    <n v="140"/>
    <n v="118"/>
    <n v="2695"/>
    <n v="163"/>
  </r>
  <r>
    <x v="2"/>
    <x v="1"/>
    <d v="2019-04-03T00:00:00"/>
    <x v="1"/>
    <n v="42"/>
    <n v="140"/>
    <n v="118"/>
    <n v="2700"/>
    <n v="146"/>
  </r>
  <r>
    <x v="2"/>
    <x v="1"/>
    <d v="2019-04-04T00:00:00"/>
    <x v="0"/>
    <n v="46"/>
    <n v="115"/>
    <n v="114"/>
    <n v="2702"/>
    <n v="166"/>
  </r>
  <r>
    <x v="2"/>
    <x v="1"/>
    <d v="2019-04-04T00:00:00"/>
    <x v="0"/>
    <n v="32"/>
    <n v="115"/>
    <n v="114"/>
    <n v="2703"/>
    <n v="112"/>
  </r>
  <r>
    <x v="2"/>
    <x v="1"/>
    <d v="2019-04-05T00:00:00"/>
    <x v="0"/>
    <n v="48"/>
    <n v="115"/>
    <n v="114"/>
    <n v="2705"/>
    <n v="221"/>
  </r>
  <r>
    <x v="2"/>
    <x v="1"/>
    <d v="2019-04-05T00:00:00"/>
    <x v="0"/>
    <n v="47"/>
    <n v="115"/>
    <n v="114"/>
    <n v="2709"/>
    <n v="173"/>
  </r>
  <r>
    <x v="2"/>
    <x v="1"/>
    <d v="2019-04-05T00:00:00"/>
    <x v="2"/>
    <n v="37"/>
    <n v="145"/>
    <n v="123"/>
    <n v="2708"/>
    <n v="127"/>
  </r>
  <r>
    <x v="2"/>
    <x v="1"/>
    <d v="2019-04-05T00:00:00"/>
    <x v="2"/>
    <n v="46"/>
    <n v="145"/>
    <n v="123"/>
    <n v="2706"/>
    <n v="165"/>
  </r>
  <r>
    <x v="2"/>
    <x v="1"/>
    <d v="2019-04-05T00:00:00"/>
    <x v="2"/>
    <n v="45"/>
    <n v="145"/>
    <n v="123"/>
    <n v="2704"/>
    <n v="155"/>
  </r>
  <r>
    <x v="2"/>
    <x v="1"/>
    <d v="2019-04-05T00:00:00"/>
    <x v="1"/>
    <n v="45"/>
    <n v="140"/>
    <n v="118"/>
    <n v="2707"/>
    <n v="211"/>
  </r>
  <r>
    <x v="2"/>
    <x v="1"/>
    <d v="2019-04-08T00:00:00"/>
    <x v="1"/>
    <n v="42"/>
    <n v="140"/>
    <n v="118"/>
    <n v="2710"/>
    <n v="144"/>
  </r>
  <r>
    <x v="2"/>
    <x v="1"/>
    <d v="2019-04-08T00:00:00"/>
    <x v="0"/>
    <n v="51"/>
    <n v="115"/>
    <n v="114"/>
    <n v="2711"/>
    <n v="180"/>
  </r>
  <r>
    <x v="2"/>
    <x v="1"/>
    <d v="2019-04-09T00:00:00"/>
    <x v="0"/>
    <n v="50"/>
    <n v="115"/>
    <n v="114"/>
    <n v="2712"/>
    <n v="232"/>
  </r>
  <r>
    <x v="2"/>
    <x v="1"/>
    <d v="2019-04-10T00:00:00"/>
    <x v="1"/>
    <n v="58"/>
    <n v="140"/>
    <n v="118"/>
    <n v="2715"/>
    <n v="200"/>
  </r>
  <r>
    <x v="2"/>
    <x v="1"/>
    <d v="2019-04-10T00:00:00"/>
    <x v="2"/>
    <n v="44"/>
    <n v="145"/>
    <n v="123"/>
    <n v="2714"/>
    <n v="154"/>
  </r>
  <r>
    <x v="2"/>
    <x v="1"/>
    <d v="2019-04-10T00:00:00"/>
    <x v="2"/>
    <n v="42"/>
    <n v="145"/>
    <n v="123"/>
    <n v="2713"/>
    <n v="153"/>
  </r>
  <r>
    <x v="2"/>
    <x v="1"/>
    <d v="2019-04-11T00:00:00"/>
    <x v="1"/>
    <n v="53"/>
    <n v="140"/>
    <n v="118"/>
    <n v="2716"/>
    <n v="187"/>
  </r>
  <r>
    <x v="2"/>
    <x v="1"/>
    <d v="2019-04-12T00:00:00"/>
    <x v="0"/>
    <n v="46"/>
    <n v="115"/>
    <n v="114"/>
    <n v="2717"/>
    <n v="159"/>
  </r>
  <r>
    <x v="2"/>
    <x v="1"/>
    <d v="2019-04-12T00:00:00"/>
    <x v="2"/>
    <n v="50"/>
    <n v="145"/>
    <n v="123"/>
    <n v="2718"/>
    <n v="182"/>
  </r>
  <r>
    <x v="2"/>
    <x v="1"/>
    <d v="2019-04-12T00:00:00"/>
    <x v="1"/>
    <n v="51"/>
    <n v="140"/>
    <n v="118"/>
    <n v="2719"/>
    <n v="182"/>
  </r>
  <r>
    <x v="2"/>
    <x v="1"/>
    <d v="2019-04-15T00:00:00"/>
    <x v="1"/>
    <n v="49"/>
    <n v="140"/>
    <n v="118"/>
    <n v="2720"/>
    <n v="176"/>
  </r>
  <r>
    <x v="2"/>
    <x v="1"/>
    <d v="2019-04-15T00:00:00"/>
    <x v="2"/>
    <n v="52"/>
    <n v="145"/>
    <n v="123"/>
    <n v="2721"/>
    <n v="192"/>
  </r>
  <r>
    <x v="2"/>
    <x v="1"/>
    <d v="2019-04-15T00:00:00"/>
    <x v="0"/>
    <n v="31"/>
    <n v="115"/>
    <n v="114"/>
    <n v="2722"/>
    <n v="107"/>
  </r>
  <r>
    <x v="2"/>
    <x v="1"/>
    <d v="2019-04-16T00:00:00"/>
    <x v="0"/>
    <n v="56"/>
    <n v="115"/>
    <n v="114"/>
    <n v="2723"/>
    <n v="206"/>
  </r>
  <r>
    <x v="2"/>
    <x v="1"/>
    <d v="2019-04-16T00:00:00"/>
    <x v="2"/>
    <n v="50"/>
    <n v="145"/>
    <n v="123"/>
    <n v="2729"/>
    <n v="175"/>
  </r>
  <r>
    <x v="2"/>
    <x v="1"/>
    <d v="2019-04-16T00:00:00"/>
    <x v="2"/>
    <n v="48"/>
    <n v="145"/>
    <n v="123"/>
    <n v="2728"/>
    <n v="173"/>
  </r>
  <r>
    <x v="2"/>
    <x v="1"/>
    <d v="2019-04-16T00:00:00"/>
    <x v="1"/>
    <n v="59"/>
    <n v="140"/>
    <n v="118"/>
    <n v="2727"/>
    <n v="212"/>
  </r>
  <r>
    <x v="2"/>
    <x v="1"/>
    <d v="2019-04-16T00:00:00"/>
    <x v="1"/>
    <n v="62"/>
    <n v="140"/>
    <n v="118"/>
    <n v="2726"/>
    <n v="289"/>
  </r>
  <r>
    <x v="2"/>
    <x v="1"/>
    <d v="2019-04-16T00:00:00"/>
    <x v="1"/>
    <n v="40"/>
    <n v="140"/>
    <n v="118"/>
    <n v="2724"/>
    <n v="139"/>
  </r>
  <r>
    <x v="2"/>
    <x v="1"/>
    <d v="2019-04-16T00:00:00"/>
    <x v="2"/>
    <n v="40"/>
    <n v="145"/>
    <n v="123"/>
    <n v="2725"/>
    <n v="139"/>
  </r>
  <r>
    <x v="2"/>
    <x v="1"/>
    <d v="2019-04-17T00:00:00"/>
    <x v="0"/>
    <n v="53"/>
    <n v="115"/>
    <n v="114"/>
    <n v="2733"/>
    <n v="195"/>
  </r>
  <r>
    <x v="2"/>
    <x v="1"/>
    <d v="2019-04-17T00:00:00"/>
    <x v="1"/>
    <n v="59"/>
    <n v="140"/>
    <n v="118"/>
    <n v="2736"/>
    <n v="277"/>
  </r>
  <r>
    <x v="2"/>
    <x v="1"/>
    <d v="2019-04-17T00:00:00"/>
    <x v="0"/>
    <n v="47"/>
    <n v="115"/>
    <n v="114"/>
    <n v="2734"/>
    <n v="166"/>
  </r>
  <r>
    <x v="2"/>
    <x v="1"/>
    <d v="2019-04-17T00:00:00"/>
    <x v="1"/>
    <n v="37"/>
    <n v="140"/>
    <n v="118"/>
    <n v="2732"/>
    <n v="130"/>
  </r>
  <r>
    <x v="2"/>
    <x v="1"/>
    <d v="2019-04-17T00:00:00"/>
    <x v="1"/>
    <n v="36"/>
    <n v="140"/>
    <n v="118"/>
    <n v="2731"/>
    <n v="130"/>
  </r>
  <r>
    <x v="2"/>
    <x v="1"/>
    <d v="2019-04-17T00:00:00"/>
    <x v="1"/>
    <n v="51"/>
    <n v="140"/>
    <n v="118"/>
    <n v="2730"/>
    <n v="193"/>
  </r>
  <r>
    <x v="2"/>
    <x v="1"/>
    <d v="2019-04-17T00:00:00"/>
    <x v="2"/>
    <n v="42"/>
    <n v="145"/>
    <n v="123"/>
    <n v="2735"/>
    <n v="151"/>
  </r>
  <r>
    <x v="2"/>
    <x v="1"/>
    <d v="2019-04-18T00:00:00"/>
    <x v="1"/>
    <n v="52"/>
    <n v="140"/>
    <n v="118"/>
    <n v="2737"/>
    <n v="188"/>
  </r>
  <r>
    <x v="2"/>
    <x v="1"/>
    <d v="2019-04-18T00:00:00"/>
    <x v="1"/>
    <n v="56"/>
    <n v="140"/>
    <n v="118"/>
    <n v="2738"/>
    <n v="192"/>
  </r>
  <r>
    <x v="2"/>
    <x v="1"/>
    <d v="2019-04-18T00:00:00"/>
    <x v="0"/>
    <n v="39"/>
    <n v="115"/>
    <n v="114"/>
    <n v="2739"/>
    <n v="179"/>
  </r>
  <r>
    <x v="2"/>
    <x v="1"/>
    <d v="2019-04-18T00:00:00"/>
    <x v="2"/>
    <n v="39"/>
    <n v="145"/>
    <n v="123"/>
    <n v="2740"/>
    <n v="183"/>
  </r>
  <r>
    <x v="2"/>
    <x v="1"/>
    <d v="2019-04-18T00:00:00"/>
    <x v="2"/>
    <n v="27"/>
    <n v="145"/>
    <n v="123"/>
    <n v="2741"/>
    <n v="93"/>
  </r>
  <r>
    <x v="2"/>
    <x v="1"/>
    <d v="2019-04-19T00:00:00"/>
    <x v="2"/>
    <n v="35"/>
    <n v="145"/>
    <n v="123"/>
    <n v="2742"/>
    <n v="124"/>
  </r>
  <r>
    <x v="2"/>
    <x v="1"/>
    <d v="2019-04-19T00:00:00"/>
    <x v="2"/>
    <n v="48"/>
    <n v="145"/>
    <n v="123"/>
    <n v="2748"/>
    <n v="222"/>
  </r>
  <r>
    <x v="2"/>
    <x v="1"/>
    <d v="2019-04-19T00:00:00"/>
    <x v="0"/>
    <n v="50"/>
    <n v="115"/>
    <n v="114"/>
    <n v="2747"/>
    <n v="173"/>
  </r>
  <r>
    <x v="2"/>
    <x v="1"/>
    <d v="2019-04-19T00:00:00"/>
    <x v="1"/>
    <n v="37"/>
    <n v="140"/>
    <n v="118"/>
    <n v="2746"/>
    <n v="136"/>
  </r>
  <r>
    <x v="2"/>
    <x v="1"/>
    <d v="2019-04-19T00:00:00"/>
    <x v="1"/>
    <n v="36"/>
    <n v="140"/>
    <n v="118"/>
    <n v="2745"/>
    <n v="124"/>
  </r>
  <r>
    <x v="2"/>
    <x v="1"/>
    <d v="2019-04-19T00:00:00"/>
    <x v="2"/>
    <n v="28"/>
    <n v="145"/>
    <n v="123"/>
    <n v="2743"/>
    <n v="102"/>
  </r>
  <r>
    <x v="2"/>
    <x v="1"/>
    <d v="2019-04-19T00:00:00"/>
    <x v="1"/>
    <n v="42"/>
    <n v="140"/>
    <n v="118"/>
    <n v="2744"/>
    <n v="146"/>
  </r>
  <r>
    <x v="2"/>
    <x v="1"/>
    <d v="2019-04-22T00:00:00"/>
    <x v="2"/>
    <n v="38"/>
    <n v="145"/>
    <n v="123"/>
    <n v="2749"/>
    <n v="132"/>
  </r>
  <r>
    <x v="2"/>
    <x v="1"/>
    <d v="2019-04-23T00:00:00"/>
    <x v="0"/>
    <n v="57"/>
    <n v="115"/>
    <n v="114"/>
    <n v="2750"/>
    <n v="207"/>
  </r>
  <r>
    <x v="2"/>
    <x v="1"/>
    <d v="2019-04-24T00:00:00"/>
    <x v="0"/>
    <n v="45"/>
    <n v="115"/>
    <n v="114"/>
    <n v="2751"/>
    <n v="160"/>
  </r>
  <r>
    <x v="2"/>
    <x v="1"/>
    <d v="2019-04-24T00:00:00"/>
    <x v="0"/>
    <n v="52"/>
    <n v="115"/>
    <n v="114"/>
    <n v="2755"/>
    <n v="186"/>
  </r>
  <r>
    <x v="2"/>
    <x v="1"/>
    <d v="2019-04-24T00:00:00"/>
    <x v="0"/>
    <n v="51"/>
    <n v="115"/>
    <n v="114"/>
    <n v="2754"/>
    <n v="180"/>
  </r>
  <r>
    <x v="2"/>
    <x v="1"/>
    <d v="2019-04-24T00:00:00"/>
    <x v="0"/>
    <n v="39"/>
    <n v="115"/>
    <n v="114"/>
    <n v="2752"/>
    <n v="135"/>
  </r>
  <r>
    <x v="2"/>
    <x v="1"/>
    <d v="2019-04-24T00:00:00"/>
    <x v="1"/>
    <n v="44"/>
    <n v="140"/>
    <n v="118"/>
    <n v="2753"/>
    <n v="159"/>
  </r>
  <r>
    <x v="2"/>
    <x v="1"/>
    <d v="2019-04-25T00:00:00"/>
    <x v="2"/>
    <n v="30"/>
    <n v="145"/>
    <n v="123"/>
    <n v="2756"/>
    <n v="107"/>
  </r>
  <r>
    <x v="2"/>
    <x v="1"/>
    <d v="2019-04-25T00:00:00"/>
    <x v="0"/>
    <n v="34"/>
    <n v="115"/>
    <n v="114"/>
    <n v="2757"/>
    <n v="121"/>
  </r>
  <r>
    <x v="2"/>
    <x v="1"/>
    <d v="2019-04-25T00:00:00"/>
    <x v="1"/>
    <n v="37"/>
    <n v="140"/>
    <n v="118"/>
    <n v="2758"/>
    <n v="173"/>
  </r>
  <r>
    <x v="2"/>
    <x v="1"/>
    <d v="2019-04-25T00:00:00"/>
    <x v="0"/>
    <n v="53"/>
    <n v="115"/>
    <n v="114"/>
    <n v="2759"/>
    <n v="249"/>
  </r>
  <r>
    <x v="2"/>
    <x v="1"/>
    <d v="2019-04-25T00:00:00"/>
    <x v="1"/>
    <n v="50"/>
    <n v="140"/>
    <n v="118"/>
    <n v="2760"/>
    <n v="235"/>
  </r>
  <r>
    <x v="2"/>
    <x v="1"/>
    <d v="2019-04-26T00:00:00"/>
    <x v="2"/>
    <n v="27"/>
    <n v="145"/>
    <n v="123"/>
    <n v="2761"/>
    <n v="99"/>
  </r>
  <r>
    <x v="2"/>
    <x v="1"/>
    <d v="2019-04-26T00:00:00"/>
    <x v="1"/>
    <n v="47"/>
    <n v="140"/>
    <n v="118"/>
    <n v="2764"/>
    <n v="217"/>
  </r>
  <r>
    <x v="2"/>
    <x v="1"/>
    <d v="2019-04-26T00:00:00"/>
    <x v="1"/>
    <n v="58"/>
    <n v="140"/>
    <n v="118"/>
    <n v="2762"/>
    <n v="222"/>
  </r>
  <r>
    <x v="2"/>
    <x v="1"/>
    <d v="2019-04-26T00:00:00"/>
    <x v="0"/>
    <n v="31"/>
    <n v="115"/>
    <n v="114"/>
    <n v="2763"/>
    <n v="114"/>
  </r>
  <r>
    <x v="2"/>
    <x v="1"/>
    <d v="2019-04-29T00:00:00"/>
    <x v="2"/>
    <n v="44"/>
    <n v="145"/>
    <n v="123"/>
    <n v="2765"/>
    <n v="161"/>
  </r>
  <r>
    <x v="2"/>
    <x v="1"/>
    <d v="2019-04-29T00:00:00"/>
    <x v="1"/>
    <n v="60"/>
    <n v="140"/>
    <n v="118"/>
    <n v="2766"/>
    <n v="277"/>
  </r>
  <r>
    <x v="2"/>
    <x v="1"/>
    <d v="2019-04-29T00:00:00"/>
    <x v="1"/>
    <n v="54"/>
    <n v="140"/>
    <n v="118"/>
    <n v="2767"/>
    <n v="190"/>
  </r>
  <r>
    <x v="2"/>
    <x v="1"/>
    <d v="2019-04-30T00:00:00"/>
    <x v="0"/>
    <n v="33"/>
    <n v="115"/>
    <n v="114"/>
    <n v="2768"/>
    <n v="119"/>
  </r>
  <r>
    <x v="2"/>
    <x v="1"/>
    <d v="2019-05-01T00:00:00"/>
    <x v="1"/>
    <n v="51"/>
    <n v="140"/>
    <n v="118"/>
    <n v="2770"/>
    <n v="181"/>
  </r>
  <r>
    <x v="2"/>
    <x v="1"/>
    <d v="2019-05-01T00:00:00"/>
    <x v="1"/>
    <n v="46"/>
    <n v="140"/>
    <n v="118"/>
    <n v="2771"/>
    <n v="212"/>
  </r>
  <r>
    <x v="2"/>
    <x v="1"/>
    <d v="2019-05-01T00:00:00"/>
    <x v="2"/>
    <n v="29"/>
    <n v="145"/>
    <n v="123"/>
    <n v="2769"/>
    <n v="107"/>
  </r>
  <r>
    <x v="2"/>
    <x v="1"/>
    <d v="2019-05-02T00:00:00"/>
    <x v="2"/>
    <n v="33"/>
    <n v="145"/>
    <n v="123"/>
    <n v="2772"/>
    <n v="117"/>
  </r>
  <r>
    <x v="2"/>
    <x v="1"/>
    <d v="2019-05-02T00:00:00"/>
    <x v="1"/>
    <n v="57"/>
    <n v="140"/>
    <n v="118"/>
    <n v="2773"/>
    <n v="200"/>
  </r>
  <r>
    <x v="2"/>
    <x v="1"/>
    <d v="2019-05-02T00:00:00"/>
    <x v="1"/>
    <n v="59"/>
    <n v="140"/>
    <n v="118"/>
    <n v="2774"/>
    <n v="277"/>
  </r>
  <r>
    <x v="2"/>
    <x v="1"/>
    <d v="2019-05-03T00:00:00"/>
    <x v="1"/>
    <n v="43"/>
    <n v="140"/>
    <n v="118"/>
    <n v="2780"/>
    <n v="156"/>
  </r>
  <r>
    <x v="2"/>
    <x v="1"/>
    <d v="2019-05-03T00:00:00"/>
    <x v="1"/>
    <n v="59"/>
    <n v="140"/>
    <n v="118"/>
    <n v="2775"/>
    <n v="206"/>
  </r>
  <r>
    <x v="2"/>
    <x v="1"/>
    <d v="2019-05-03T00:00:00"/>
    <x v="2"/>
    <n v="37"/>
    <n v="145"/>
    <n v="123"/>
    <n v="2776"/>
    <n v="131"/>
  </r>
  <r>
    <x v="2"/>
    <x v="1"/>
    <d v="2019-05-03T00:00:00"/>
    <x v="1"/>
    <n v="43"/>
    <n v="140"/>
    <n v="118"/>
    <n v="2777"/>
    <n v="156"/>
  </r>
  <r>
    <x v="2"/>
    <x v="1"/>
    <d v="2019-05-03T00:00:00"/>
    <x v="2"/>
    <n v="50"/>
    <n v="145"/>
    <n v="123"/>
    <n v="2778"/>
    <n v="177"/>
  </r>
  <r>
    <x v="2"/>
    <x v="1"/>
    <d v="2019-05-03T00:00:00"/>
    <x v="1"/>
    <n v="39"/>
    <n v="140"/>
    <n v="118"/>
    <n v="2779"/>
    <n v="138"/>
  </r>
  <r>
    <x v="2"/>
    <x v="1"/>
    <d v="2019-05-06T00:00:00"/>
    <x v="1"/>
    <n v="40"/>
    <n v="140"/>
    <n v="118"/>
    <n v="2786"/>
    <n v="141"/>
  </r>
  <r>
    <x v="2"/>
    <x v="1"/>
    <d v="2019-05-06T00:00:00"/>
    <x v="0"/>
    <n v="41"/>
    <n v="115"/>
    <n v="114"/>
    <n v="2785"/>
    <n v="141"/>
  </r>
  <r>
    <x v="2"/>
    <x v="1"/>
    <d v="2019-05-06T00:00:00"/>
    <x v="0"/>
    <n v="40"/>
    <n v="115"/>
    <n v="114"/>
    <n v="2784"/>
    <n v="146"/>
  </r>
  <r>
    <x v="2"/>
    <x v="1"/>
    <d v="2019-05-06T00:00:00"/>
    <x v="2"/>
    <n v="51"/>
    <n v="145"/>
    <n v="123"/>
    <n v="2783"/>
    <n v="187"/>
  </r>
  <r>
    <x v="2"/>
    <x v="1"/>
    <d v="2019-05-06T00:00:00"/>
    <x v="0"/>
    <n v="34"/>
    <n v="115"/>
    <n v="114"/>
    <n v="2781"/>
    <n v="118"/>
  </r>
  <r>
    <x v="2"/>
    <x v="1"/>
    <d v="2019-05-06T00:00:00"/>
    <x v="2"/>
    <n v="35"/>
    <n v="145"/>
    <n v="123"/>
    <n v="2787"/>
    <n v="125"/>
  </r>
  <r>
    <x v="2"/>
    <x v="1"/>
    <d v="2019-05-06T00:00:00"/>
    <x v="2"/>
    <n v="36"/>
    <n v="145"/>
    <n v="123"/>
    <n v="2782"/>
    <n v="125"/>
  </r>
  <r>
    <x v="2"/>
    <x v="1"/>
    <d v="2019-05-07T00:00:00"/>
    <x v="1"/>
    <n v="56"/>
    <n v="140"/>
    <n v="118"/>
    <n v="2792"/>
    <n v="204"/>
  </r>
  <r>
    <x v="2"/>
    <x v="1"/>
    <d v="2019-05-07T00:00:00"/>
    <x v="0"/>
    <n v="55"/>
    <n v="115"/>
    <n v="114"/>
    <n v="2794"/>
    <n v="198"/>
  </r>
  <r>
    <x v="2"/>
    <x v="1"/>
    <d v="2019-05-07T00:00:00"/>
    <x v="0"/>
    <n v="52"/>
    <n v="115"/>
    <n v="114"/>
    <n v="2793"/>
    <n v="191"/>
  </r>
  <r>
    <x v="2"/>
    <x v="1"/>
    <d v="2019-05-07T00:00:00"/>
    <x v="0"/>
    <n v="45"/>
    <n v="115"/>
    <n v="114"/>
    <n v="2791"/>
    <n v="156"/>
  </r>
  <r>
    <x v="2"/>
    <x v="1"/>
    <d v="2019-05-07T00:00:00"/>
    <x v="2"/>
    <n v="40"/>
    <n v="145"/>
    <n v="123"/>
    <n v="2790"/>
    <n v="145"/>
  </r>
  <r>
    <x v="2"/>
    <x v="1"/>
    <d v="2019-05-07T00:00:00"/>
    <x v="0"/>
    <n v="49"/>
    <n v="115"/>
    <n v="114"/>
    <n v="2788"/>
    <n v="176"/>
  </r>
  <r>
    <x v="2"/>
    <x v="1"/>
    <d v="2019-05-07T00:00:00"/>
    <x v="2"/>
    <n v="34"/>
    <n v="145"/>
    <n v="123"/>
    <n v="2789"/>
    <n v="118"/>
  </r>
  <r>
    <x v="2"/>
    <x v="1"/>
    <d v="2019-05-08T00:00:00"/>
    <x v="0"/>
    <n v="41"/>
    <n v="115"/>
    <n v="114"/>
    <n v="2795"/>
    <n v="148"/>
  </r>
  <r>
    <x v="2"/>
    <x v="1"/>
    <d v="2019-05-10T00:00:00"/>
    <x v="1"/>
    <n v="45"/>
    <n v="140"/>
    <n v="118"/>
    <n v="2796"/>
    <n v="154"/>
  </r>
  <r>
    <x v="2"/>
    <x v="1"/>
    <d v="2019-05-10T00:00:00"/>
    <x v="2"/>
    <n v="29"/>
    <n v="145"/>
    <n v="123"/>
    <n v="2797"/>
    <n v="104"/>
  </r>
  <r>
    <x v="2"/>
    <x v="1"/>
    <d v="2019-05-10T00:00:00"/>
    <x v="2"/>
    <n v="31"/>
    <n v="145"/>
    <n v="123"/>
    <n v="2798"/>
    <n v="107"/>
  </r>
  <r>
    <x v="2"/>
    <x v="1"/>
    <d v="2019-05-10T00:00:00"/>
    <x v="1"/>
    <n v="47"/>
    <n v="140"/>
    <n v="118"/>
    <n v="2799"/>
    <n v="169"/>
  </r>
  <r>
    <x v="2"/>
    <x v="1"/>
    <d v="2019-05-10T00:00:00"/>
    <x v="1"/>
    <n v="39"/>
    <n v="140"/>
    <n v="118"/>
    <n v="2800"/>
    <n v="135"/>
  </r>
  <r>
    <x v="2"/>
    <x v="1"/>
    <d v="2019-05-10T00:00:00"/>
    <x v="1"/>
    <n v="57"/>
    <n v="140"/>
    <n v="118"/>
    <n v="2801"/>
    <n v="200"/>
  </r>
  <r>
    <x v="2"/>
    <x v="1"/>
    <d v="2019-05-10T00:00:00"/>
    <x v="0"/>
    <n v="46"/>
    <n v="115"/>
    <n v="114"/>
    <n v="2802"/>
    <n v="158"/>
  </r>
  <r>
    <x v="2"/>
    <x v="1"/>
    <d v="2019-05-13T00:00:00"/>
    <x v="2"/>
    <n v="43"/>
    <n v="145"/>
    <n v="123"/>
    <n v="2806"/>
    <n v="199"/>
  </r>
  <r>
    <x v="2"/>
    <x v="1"/>
    <d v="2019-05-13T00:00:00"/>
    <x v="1"/>
    <n v="58"/>
    <n v="140"/>
    <n v="118"/>
    <n v="2805"/>
    <n v="199"/>
  </r>
  <r>
    <x v="2"/>
    <x v="1"/>
    <d v="2019-05-13T00:00:00"/>
    <x v="1"/>
    <n v="47"/>
    <n v="140"/>
    <n v="118"/>
    <n v="2804"/>
    <n v="164"/>
  </r>
  <r>
    <x v="2"/>
    <x v="1"/>
    <d v="2019-05-13T00:00:00"/>
    <x v="0"/>
    <n v="45"/>
    <n v="115"/>
    <n v="114"/>
    <n v="2803"/>
    <n v="162"/>
  </r>
  <r>
    <x v="2"/>
    <x v="1"/>
    <d v="2019-05-14T00:00:00"/>
    <x v="2"/>
    <n v="40"/>
    <n v="145"/>
    <n v="123"/>
    <n v="2808"/>
    <n v="187"/>
  </r>
  <r>
    <x v="2"/>
    <x v="1"/>
    <d v="2019-05-14T00:00:00"/>
    <x v="2"/>
    <n v="34"/>
    <n v="145"/>
    <n v="123"/>
    <n v="2809"/>
    <n v="120"/>
  </r>
  <r>
    <x v="2"/>
    <x v="1"/>
    <d v="2019-05-14T00:00:00"/>
    <x v="1"/>
    <n v="58"/>
    <n v="140"/>
    <n v="118"/>
    <n v="2810"/>
    <n v="209"/>
  </r>
  <r>
    <x v="2"/>
    <x v="1"/>
    <d v="2019-05-14T00:00:00"/>
    <x v="0"/>
    <n v="51"/>
    <n v="115"/>
    <n v="114"/>
    <n v="2811"/>
    <n v="178"/>
  </r>
  <r>
    <x v="2"/>
    <x v="1"/>
    <d v="2019-05-14T00:00:00"/>
    <x v="0"/>
    <n v="32"/>
    <n v="115"/>
    <n v="114"/>
    <n v="2812"/>
    <n v="115"/>
  </r>
  <r>
    <x v="2"/>
    <x v="1"/>
    <d v="2019-05-14T00:00:00"/>
    <x v="0"/>
    <n v="35"/>
    <n v="115"/>
    <n v="114"/>
    <n v="2807"/>
    <n v="123"/>
  </r>
  <r>
    <x v="2"/>
    <x v="1"/>
    <d v="2019-05-15T00:00:00"/>
    <x v="0"/>
    <n v="50"/>
    <n v="115"/>
    <n v="114"/>
    <n v="2814"/>
    <n v="182"/>
  </r>
  <r>
    <x v="2"/>
    <x v="1"/>
    <d v="2019-05-15T00:00:00"/>
    <x v="1"/>
    <n v="53"/>
    <n v="140"/>
    <n v="118"/>
    <n v="2819"/>
    <n v="194"/>
  </r>
  <r>
    <x v="2"/>
    <x v="1"/>
    <d v="2019-05-15T00:00:00"/>
    <x v="0"/>
    <n v="51"/>
    <n v="115"/>
    <n v="114"/>
    <n v="2818"/>
    <n v="184"/>
  </r>
  <r>
    <x v="2"/>
    <x v="1"/>
    <d v="2019-05-15T00:00:00"/>
    <x v="0"/>
    <n v="47"/>
    <n v="115"/>
    <n v="114"/>
    <n v="2817"/>
    <n v="169"/>
  </r>
  <r>
    <x v="2"/>
    <x v="1"/>
    <d v="2019-05-15T00:00:00"/>
    <x v="0"/>
    <n v="40"/>
    <n v="115"/>
    <n v="114"/>
    <n v="2815"/>
    <n v="187"/>
  </r>
  <r>
    <x v="2"/>
    <x v="1"/>
    <d v="2019-05-15T00:00:00"/>
    <x v="1"/>
    <n v="51"/>
    <n v="140"/>
    <n v="118"/>
    <n v="2813"/>
    <n v="176"/>
  </r>
  <r>
    <x v="2"/>
    <x v="1"/>
    <d v="2019-05-15T00:00:00"/>
    <x v="0"/>
    <n v="34"/>
    <n v="115"/>
    <n v="114"/>
    <n v="2816"/>
    <n v="118"/>
  </r>
  <r>
    <x v="2"/>
    <x v="1"/>
    <d v="2019-05-16T00:00:00"/>
    <x v="0"/>
    <n v="33"/>
    <n v="115"/>
    <n v="114"/>
    <n v="2820"/>
    <n v="117"/>
  </r>
  <r>
    <x v="2"/>
    <x v="1"/>
    <d v="2019-05-16T00:00:00"/>
    <x v="1"/>
    <n v="46"/>
    <n v="140"/>
    <n v="118"/>
    <n v="2821"/>
    <n v="159"/>
  </r>
  <r>
    <x v="2"/>
    <x v="1"/>
    <d v="2019-05-17T00:00:00"/>
    <x v="1"/>
    <n v="37"/>
    <n v="140"/>
    <n v="118"/>
    <n v="2822"/>
    <n v="130"/>
  </r>
  <r>
    <x v="2"/>
    <x v="1"/>
    <d v="2019-05-17T00:00:00"/>
    <x v="2"/>
    <n v="37"/>
    <n v="145"/>
    <n v="123"/>
    <n v="2826"/>
    <n v="136"/>
  </r>
  <r>
    <x v="2"/>
    <x v="1"/>
    <d v="2019-05-17T00:00:00"/>
    <x v="2"/>
    <n v="27"/>
    <n v="145"/>
    <n v="123"/>
    <n v="2825"/>
    <n v="98"/>
  </r>
  <r>
    <x v="2"/>
    <x v="1"/>
    <d v="2019-05-17T00:00:00"/>
    <x v="1"/>
    <n v="36"/>
    <n v="140"/>
    <n v="118"/>
    <n v="2823"/>
    <n v="128"/>
  </r>
  <r>
    <x v="2"/>
    <x v="1"/>
    <d v="2019-05-17T00:00:00"/>
    <x v="2"/>
    <n v="41"/>
    <n v="145"/>
    <n v="123"/>
    <n v="2824"/>
    <n v="146"/>
  </r>
  <r>
    <x v="2"/>
    <x v="1"/>
    <d v="2019-05-20T00:00:00"/>
    <x v="0"/>
    <n v="56"/>
    <n v="115"/>
    <n v="114"/>
    <n v="2832"/>
    <n v="193"/>
  </r>
  <r>
    <x v="2"/>
    <x v="1"/>
    <d v="2019-05-20T00:00:00"/>
    <x v="2"/>
    <n v="33"/>
    <n v="145"/>
    <n v="123"/>
    <n v="2827"/>
    <n v="152"/>
  </r>
  <r>
    <x v="2"/>
    <x v="1"/>
    <d v="2019-05-20T00:00:00"/>
    <x v="0"/>
    <n v="44"/>
    <n v="115"/>
    <n v="114"/>
    <n v="2828"/>
    <n v="203"/>
  </r>
  <r>
    <x v="2"/>
    <x v="1"/>
    <d v="2019-05-20T00:00:00"/>
    <x v="2"/>
    <n v="33"/>
    <n v="145"/>
    <n v="123"/>
    <n v="2829"/>
    <n v="120"/>
  </r>
  <r>
    <x v="2"/>
    <x v="1"/>
    <d v="2019-05-20T00:00:00"/>
    <x v="0"/>
    <n v="49"/>
    <n v="115"/>
    <n v="114"/>
    <n v="2830"/>
    <n v="176"/>
  </r>
  <r>
    <x v="2"/>
    <x v="1"/>
    <d v="2019-05-20T00:00:00"/>
    <x v="0"/>
    <n v="32"/>
    <n v="115"/>
    <n v="114"/>
    <n v="2831"/>
    <n v="117"/>
  </r>
  <r>
    <x v="2"/>
    <x v="1"/>
    <d v="2019-05-21T00:00:00"/>
    <x v="0"/>
    <n v="42"/>
    <n v="115"/>
    <n v="114"/>
    <n v="2835"/>
    <n v="152"/>
  </r>
  <r>
    <x v="2"/>
    <x v="1"/>
    <d v="2019-05-21T00:00:00"/>
    <x v="0"/>
    <n v="49"/>
    <n v="115"/>
    <n v="114"/>
    <n v="2833"/>
    <n v="177"/>
  </r>
  <r>
    <x v="2"/>
    <x v="1"/>
    <d v="2019-05-21T00:00:00"/>
    <x v="0"/>
    <n v="48"/>
    <n v="115"/>
    <n v="114"/>
    <n v="2834"/>
    <n v="177"/>
  </r>
  <r>
    <x v="2"/>
    <x v="1"/>
    <d v="2019-05-22T00:00:00"/>
    <x v="2"/>
    <n v="42"/>
    <n v="145"/>
    <n v="123"/>
    <n v="2836"/>
    <n v="146"/>
  </r>
  <r>
    <x v="2"/>
    <x v="1"/>
    <d v="2019-05-23T00:00:00"/>
    <x v="2"/>
    <n v="37"/>
    <n v="145"/>
    <n v="123"/>
    <n v="2837"/>
    <n v="129"/>
  </r>
  <r>
    <x v="2"/>
    <x v="1"/>
    <d v="2019-05-23T00:00:00"/>
    <x v="2"/>
    <n v="33"/>
    <n v="145"/>
    <n v="123"/>
    <n v="2838"/>
    <n v="118"/>
  </r>
  <r>
    <x v="2"/>
    <x v="1"/>
    <d v="2019-05-27T00:00:00"/>
    <x v="1"/>
    <n v="44"/>
    <n v="140"/>
    <n v="118"/>
    <n v="2842"/>
    <n v="154"/>
  </r>
  <r>
    <x v="2"/>
    <x v="1"/>
    <d v="2019-05-27T00:00:00"/>
    <x v="0"/>
    <n v="37"/>
    <n v="115"/>
    <n v="114"/>
    <n v="2845"/>
    <n v="130"/>
  </r>
  <r>
    <x v="2"/>
    <x v="1"/>
    <d v="2019-05-27T00:00:00"/>
    <x v="1"/>
    <n v="48"/>
    <n v="140"/>
    <n v="118"/>
    <n v="2843"/>
    <n v="168"/>
  </r>
  <r>
    <x v="2"/>
    <x v="1"/>
    <d v="2019-05-27T00:00:00"/>
    <x v="1"/>
    <n v="62"/>
    <n v="140"/>
    <n v="118"/>
    <n v="2840"/>
    <n v="224"/>
  </r>
  <r>
    <x v="2"/>
    <x v="1"/>
    <d v="2019-05-27T00:00:00"/>
    <x v="0"/>
    <n v="34"/>
    <n v="115"/>
    <n v="114"/>
    <n v="2839"/>
    <n v="120"/>
  </r>
  <r>
    <x v="2"/>
    <x v="1"/>
    <d v="2019-05-27T00:00:00"/>
    <x v="0"/>
    <n v="52"/>
    <n v="115"/>
    <n v="114"/>
    <n v="2844"/>
    <n v="189"/>
  </r>
  <r>
    <x v="2"/>
    <x v="1"/>
    <d v="2019-05-27T00:00:00"/>
    <x v="2"/>
    <n v="47"/>
    <n v="145"/>
    <n v="123"/>
    <n v="2841"/>
    <n v="219"/>
  </r>
  <r>
    <x v="2"/>
    <x v="1"/>
    <d v="2019-05-28T00:00:00"/>
    <x v="0"/>
    <n v="51"/>
    <n v="115"/>
    <n v="114"/>
    <n v="2846"/>
    <n v="238"/>
  </r>
  <r>
    <x v="2"/>
    <x v="1"/>
    <d v="2019-05-28T00:00:00"/>
    <x v="0"/>
    <n v="49"/>
    <n v="115"/>
    <n v="114"/>
    <n v="2847"/>
    <n v="176"/>
  </r>
  <r>
    <x v="2"/>
    <x v="1"/>
    <d v="2019-05-28T00:00:00"/>
    <x v="0"/>
    <n v="34"/>
    <n v="115"/>
    <n v="114"/>
    <n v="2848"/>
    <n v="116"/>
  </r>
  <r>
    <x v="2"/>
    <x v="1"/>
    <d v="2019-05-29T00:00:00"/>
    <x v="0"/>
    <n v="56"/>
    <n v="115"/>
    <n v="114"/>
    <n v="2849"/>
    <n v="198"/>
  </r>
  <r>
    <x v="2"/>
    <x v="1"/>
    <d v="2019-05-29T00:00:00"/>
    <x v="1"/>
    <n v="53"/>
    <n v="140"/>
    <n v="118"/>
    <n v="2850"/>
    <n v="182"/>
  </r>
  <r>
    <x v="2"/>
    <x v="1"/>
    <d v="2019-05-30T00:00:00"/>
    <x v="1"/>
    <n v="45"/>
    <n v="140"/>
    <n v="118"/>
    <n v="2851"/>
    <n v="154"/>
  </r>
  <r>
    <x v="2"/>
    <x v="1"/>
    <d v="2019-05-30T00:00:00"/>
    <x v="1"/>
    <n v="44"/>
    <n v="140"/>
    <n v="118"/>
    <n v="2856"/>
    <n v="156"/>
  </r>
  <r>
    <x v="2"/>
    <x v="1"/>
    <d v="2019-05-30T00:00:00"/>
    <x v="0"/>
    <n v="46"/>
    <n v="115"/>
    <n v="114"/>
    <n v="2855"/>
    <n v="164"/>
  </r>
  <r>
    <x v="2"/>
    <x v="1"/>
    <d v="2019-05-30T00:00:00"/>
    <x v="0"/>
    <n v="51"/>
    <n v="115"/>
    <n v="114"/>
    <n v="2854"/>
    <n v="184"/>
  </r>
  <r>
    <x v="2"/>
    <x v="1"/>
    <d v="2019-05-30T00:00:00"/>
    <x v="0"/>
    <n v="48"/>
    <n v="115"/>
    <n v="114"/>
    <n v="2852"/>
    <n v="171"/>
  </r>
  <r>
    <x v="2"/>
    <x v="1"/>
    <d v="2019-05-30T00:00:00"/>
    <x v="2"/>
    <n v="46"/>
    <n v="145"/>
    <n v="123"/>
    <n v="2853"/>
    <n v="161"/>
  </r>
  <r>
    <x v="2"/>
    <x v="1"/>
    <d v="2019-05-31T00:00:00"/>
    <x v="1"/>
    <n v="49"/>
    <n v="140"/>
    <n v="118"/>
    <n v="2857"/>
    <n v="229"/>
  </r>
  <r>
    <x v="2"/>
    <x v="1"/>
    <d v="2019-05-31T00:00:00"/>
    <x v="1"/>
    <n v="51"/>
    <n v="140"/>
    <n v="118"/>
    <n v="2858"/>
    <n v="187"/>
  </r>
  <r>
    <x v="2"/>
    <x v="1"/>
    <d v="2019-06-03T00:00:00"/>
    <x v="0"/>
    <n v="43"/>
    <n v="115"/>
    <n v="114"/>
    <n v="2862"/>
    <n v="150"/>
  </r>
  <r>
    <x v="2"/>
    <x v="1"/>
    <d v="2019-06-03T00:00:00"/>
    <x v="1"/>
    <n v="50"/>
    <n v="140"/>
    <n v="118"/>
    <n v="2861"/>
    <n v="183"/>
  </r>
  <r>
    <x v="2"/>
    <x v="1"/>
    <d v="2019-06-03T00:00:00"/>
    <x v="2"/>
    <n v="37"/>
    <n v="145"/>
    <n v="123"/>
    <n v="2864"/>
    <n v="139"/>
  </r>
  <r>
    <x v="2"/>
    <x v="1"/>
    <d v="2019-06-03T00:00:00"/>
    <x v="0"/>
    <n v="43"/>
    <n v="115"/>
    <n v="114"/>
    <n v="2859"/>
    <n v="156"/>
  </r>
  <r>
    <x v="2"/>
    <x v="1"/>
    <d v="2019-06-03T00:00:00"/>
    <x v="2"/>
    <n v="38"/>
    <n v="145"/>
    <n v="123"/>
    <n v="2860"/>
    <n v="135"/>
  </r>
  <r>
    <x v="2"/>
    <x v="1"/>
    <d v="2019-06-03T00:00:00"/>
    <x v="1"/>
    <n v="40"/>
    <n v="140"/>
    <n v="118"/>
    <n v="2863"/>
    <n v="147"/>
  </r>
  <r>
    <x v="2"/>
    <x v="1"/>
    <d v="2019-06-05T00:00:00"/>
    <x v="0"/>
    <n v="42"/>
    <n v="115"/>
    <n v="114"/>
    <n v="2865"/>
    <n v="146"/>
  </r>
  <r>
    <x v="2"/>
    <x v="1"/>
    <d v="2019-06-06T00:00:00"/>
    <x v="2"/>
    <n v="41"/>
    <n v="145"/>
    <n v="123"/>
    <n v="2866"/>
    <n v="146"/>
  </r>
  <r>
    <x v="2"/>
    <x v="1"/>
    <d v="2019-06-06T00:00:00"/>
    <x v="1"/>
    <n v="36"/>
    <n v="140"/>
    <n v="118"/>
    <n v="2867"/>
    <n v="131"/>
  </r>
  <r>
    <x v="2"/>
    <x v="1"/>
    <d v="2019-06-06T00:00:00"/>
    <x v="0"/>
    <n v="40"/>
    <n v="115"/>
    <n v="114"/>
    <n v="2868"/>
    <n v="147"/>
  </r>
  <r>
    <x v="2"/>
    <x v="1"/>
    <d v="2019-06-06T00:00:00"/>
    <x v="0"/>
    <n v="48"/>
    <n v="115"/>
    <n v="114"/>
    <n v="2869"/>
    <n v="173"/>
  </r>
  <r>
    <x v="2"/>
    <x v="1"/>
    <d v="2019-06-07T00:00:00"/>
    <x v="0"/>
    <n v="47"/>
    <n v="115"/>
    <n v="114"/>
    <n v="2871"/>
    <n v="219"/>
  </r>
  <r>
    <x v="2"/>
    <x v="1"/>
    <d v="2019-06-07T00:00:00"/>
    <x v="0"/>
    <n v="38"/>
    <n v="115"/>
    <n v="114"/>
    <n v="2870"/>
    <n v="177"/>
  </r>
  <r>
    <x v="2"/>
    <x v="1"/>
    <d v="2019-06-10T00:00:00"/>
    <x v="1"/>
    <n v="45"/>
    <n v="140"/>
    <n v="118"/>
    <n v="2875"/>
    <n v="166"/>
  </r>
  <r>
    <x v="2"/>
    <x v="1"/>
    <d v="2019-06-10T00:00:00"/>
    <x v="0"/>
    <n v="54"/>
    <n v="115"/>
    <n v="114"/>
    <n v="2874"/>
    <n v="190"/>
  </r>
  <r>
    <x v="2"/>
    <x v="1"/>
    <d v="2019-06-10T00:00:00"/>
    <x v="0"/>
    <n v="55"/>
    <n v="115"/>
    <n v="114"/>
    <n v="2872"/>
    <n v="199"/>
  </r>
  <r>
    <x v="2"/>
    <x v="1"/>
    <d v="2019-06-10T00:00:00"/>
    <x v="2"/>
    <n v="36"/>
    <n v="145"/>
    <n v="123"/>
    <n v="2873"/>
    <n v="126"/>
  </r>
  <r>
    <x v="2"/>
    <x v="1"/>
    <d v="2019-06-11T00:00:00"/>
    <x v="1"/>
    <n v="45"/>
    <n v="140"/>
    <n v="118"/>
    <n v="2876"/>
    <n v="165"/>
  </r>
  <r>
    <x v="2"/>
    <x v="1"/>
    <d v="2019-06-11T00:00:00"/>
    <x v="0"/>
    <n v="35"/>
    <n v="115"/>
    <n v="114"/>
    <n v="2877"/>
    <n v="121"/>
  </r>
  <r>
    <x v="2"/>
    <x v="1"/>
    <d v="2019-06-14T00:00:00"/>
    <x v="2"/>
    <n v="29"/>
    <n v="145"/>
    <n v="123"/>
    <n v="2878"/>
    <n v="101"/>
  </r>
  <r>
    <x v="2"/>
    <x v="1"/>
    <d v="2019-06-14T00:00:00"/>
    <x v="2"/>
    <n v="49"/>
    <n v="145"/>
    <n v="123"/>
    <n v="2882"/>
    <n v="189"/>
  </r>
  <r>
    <x v="2"/>
    <x v="1"/>
    <d v="2019-06-14T00:00:00"/>
    <x v="1"/>
    <n v="51"/>
    <n v="140"/>
    <n v="118"/>
    <n v="2883"/>
    <n v="175"/>
  </r>
  <r>
    <x v="2"/>
    <x v="1"/>
    <d v="2019-06-14T00:00:00"/>
    <x v="2"/>
    <n v="36"/>
    <n v="145"/>
    <n v="123"/>
    <n v="2884"/>
    <n v="127"/>
  </r>
  <r>
    <x v="2"/>
    <x v="1"/>
    <d v="2019-06-14T00:00:00"/>
    <x v="1"/>
    <n v="42"/>
    <n v="140"/>
    <n v="118"/>
    <n v="2879"/>
    <n v="148"/>
  </r>
  <r>
    <x v="2"/>
    <x v="1"/>
    <d v="2019-06-14T00:00:00"/>
    <x v="0"/>
    <n v="38"/>
    <n v="115"/>
    <n v="114"/>
    <n v="2880"/>
    <n v="132"/>
  </r>
  <r>
    <x v="2"/>
    <x v="1"/>
    <d v="2019-06-14T00:00:00"/>
    <x v="0"/>
    <n v="56"/>
    <n v="115"/>
    <n v="114"/>
    <n v="2881"/>
    <n v="203"/>
  </r>
  <r>
    <x v="2"/>
    <x v="1"/>
    <d v="2019-06-17T00:00:00"/>
    <x v="2"/>
    <n v="26"/>
    <n v="145"/>
    <n v="123"/>
    <n v="2889"/>
    <n v="91"/>
  </r>
  <r>
    <x v="2"/>
    <x v="1"/>
    <d v="2019-06-17T00:00:00"/>
    <x v="1"/>
    <n v="48"/>
    <n v="140"/>
    <n v="118"/>
    <n v="2890"/>
    <n v="174"/>
  </r>
  <r>
    <x v="2"/>
    <x v="1"/>
    <d v="2019-06-17T00:00:00"/>
    <x v="1"/>
    <n v="62"/>
    <n v="140"/>
    <n v="118"/>
    <n v="2888"/>
    <n v="227"/>
  </r>
  <r>
    <x v="2"/>
    <x v="1"/>
    <d v="2019-06-17T00:00:00"/>
    <x v="1"/>
    <n v="50"/>
    <n v="140"/>
    <n v="118"/>
    <n v="2887"/>
    <n v="177"/>
  </r>
  <r>
    <x v="2"/>
    <x v="1"/>
    <d v="2019-06-17T00:00:00"/>
    <x v="2"/>
    <n v="31"/>
    <n v="145"/>
    <n v="123"/>
    <n v="2886"/>
    <n v="111"/>
  </r>
  <r>
    <x v="2"/>
    <x v="1"/>
    <d v="2019-06-17T00:00:00"/>
    <x v="0"/>
    <n v="46"/>
    <n v="115"/>
    <n v="114"/>
    <n v="2885"/>
    <n v="161"/>
  </r>
  <r>
    <x v="2"/>
    <x v="1"/>
    <d v="2019-06-18T00:00:00"/>
    <x v="2"/>
    <n v="52"/>
    <n v="145"/>
    <n v="123"/>
    <n v="2892"/>
    <n v="189"/>
  </r>
  <r>
    <x v="2"/>
    <x v="1"/>
    <d v="2019-06-18T00:00:00"/>
    <x v="0"/>
    <n v="40"/>
    <n v="115"/>
    <n v="114"/>
    <n v="2893"/>
    <n v="144"/>
  </r>
  <r>
    <x v="2"/>
    <x v="1"/>
    <d v="2019-06-18T00:00:00"/>
    <x v="0"/>
    <n v="35"/>
    <n v="115"/>
    <n v="114"/>
    <n v="2891"/>
    <n v="127"/>
  </r>
  <r>
    <x v="2"/>
    <x v="1"/>
    <d v="2019-06-19T00:00:00"/>
    <x v="1"/>
    <n v="36"/>
    <n v="140"/>
    <n v="118"/>
    <n v="2894"/>
    <n v="133"/>
  </r>
  <r>
    <x v="2"/>
    <x v="1"/>
    <d v="2019-06-19T00:00:00"/>
    <x v="2"/>
    <n v="43"/>
    <n v="145"/>
    <n v="123"/>
    <n v="2895"/>
    <n v="156"/>
  </r>
  <r>
    <x v="2"/>
    <x v="1"/>
    <d v="2019-06-19T00:00:00"/>
    <x v="2"/>
    <n v="36"/>
    <n v="145"/>
    <n v="123"/>
    <n v="2896"/>
    <n v="124"/>
  </r>
  <r>
    <x v="2"/>
    <x v="1"/>
    <d v="2019-06-20T00:00:00"/>
    <x v="0"/>
    <n v="33"/>
    <n v="115"/>
    <n v="114"/>
    <n v="2898"/>
    <n v="114"/>
  </r>
  <r>
    <x v="2"/>
    <x v="1"/>
    <d v="2019-06-20T00:00:00"/>
    <x v="1"/>
    <n v="43"/>
    <n v="140"/>
    <n v="118"/>
    <n v="2897"/>
    <n v="149"/>
  </r>
  <r>
    <x v="2"/>
    <x v="1"/>
    <d v="2019-06-21T00:00:00"/>
    <x v="2"/>
    <n v="47"/>
    <n v="145"/>
    <n v="123"/>
    <n v="2899"/>
    <n v="163"/>
  </r>
  <r>
    <x v="2"/>
    <x v="1"/>
    <d v="2019-06-24T00:00:00"/>
    <x v="1"/>
    <n v="42"/>
    <n v="140"/>
    <n v="118"/>
    <n v="2901"/>
    <n v="147"/>
  </r>
  <r>
    <x v="2"/>
    <x v="1"/>
    <d v="2019-06-24T00:00:00"/>
    <x v="1"/>
    <n v="46"/>
    <n v="140"/>
    <n v="118"/>
    <n v="2900"/>
    <n v="167"/>
  </r>
  <r>
    <x v="2"/>
    <x v="1"/>
    <d v="2019-06-25T00:00:00"/>
    <x v="1"/>
    <n v="41"/>
    <n v="140"/>
    <n v="118"/>
    <n v="2902"/>
    <n v="150"/>
  </r>
  <r>
    <x v="2"/>
    <x v="1"/>
    <d v="2019-06-25T00:00:00"/>
    <x v="0"/>
    <n v="36"/>
    <n v="115"/>
    <n v="114"/>
    <n v="2903"/>
    <n v="128"/>
  </r>
  <r>
    <x v="2"/>
    <x v="1"/>
    <d v="2019-06-26T00:00:00"/>
    <x v="0"/>
    <n v="36"/>
    <n v="115"/>
    <n v="114"/>
    <n v="2906"/>
    <n v="166"/>
  </r>
  <r>
    <x v="2"/>
    <x v="1"/>
    <d v="2019-06-26T00:00:00"/>
    <x v="2"/>
    <n v="35"/>
    <n v="145"/>
    <n v="123"/>
    <n v="2910"/>
    <n v="121"/>
  </r>
  <r>
    <x v="2"/>
    <x v="1"/>
    <d v="2019-06-26T00:00:00"/>
    <x v="0"/>
    <n v="35"/>
    <n v="115"/>
    <n v="114"/>
    <n v="2909"/>
    <n v="122"/>
  </r>
  <r>
    <x v="2"/>
    <x v="1"/>
    <d v="2019-06-26T00:00:00"/>
    <x v="0"/>
    <n v="47"/>
    <n v="115"/>
    <n v="114"/>
    <n v="2907"/>
    <n v="168"/>
  </r>
  <r>
    <x v="2"/>
    <x v="1"/>
    <d v="2019-06-26T00:00:00"/>
    <x v="1"/>
    <n v="57"/>
    <n v="140"/>
    <n v="118"/>
    <n v="2905"/>
    <n v="200"/>
  </r>
  <r>
    <x v="2"/>
    <x v="1"/>
    <d v="2019-06-26T00:00:00"/>
    <x v="1"/>
    <n v="46"/>
    <n v="140"/>
    <n v="118"/>
    <n v="2904"/>
    <n v="169"/>
  </r>
  <r>
    <x v="2"/>
    <x v="1"/>
    <d v="2019-06-26T00:00:00"/>
    <x v="0"/>
    <n v="46"/>
    <n v="115"/>
    <n v="114"/>
    <n v="2908"/>
    <n v="166"/>
  </r>
  <r>
    <x v="2"/>
    <x v="1"/>
    <d v="2019-06-27T00:00:00"/>
    <x v="0"/>
    <n v="35"/>
    <n v="115"/>
    <n v="114"/>
    <n v="2911"/>
    <n v="129"/>
  </r>
  <r>
    <x v="2"/>
    <x v="1"/>
    <d v="2019-06-27T00:00:00"/>
    <x v="1"/>
    <n v="48"/>
    <n v="140"/>
    <n v="118"/>
    <n v="2912"/>
    <n v="171"/>
  </r>
  <r>
    <x v="2"/>
    <x v="1"/>
    <d v="2019-06-27T00:00:00"/>
    <x v="0"/>
    <n v="56"/>
    <n v="115"/>
    <n v="114"/>
    <n v="2913"/>
    <n v="192"/>
  </r>
  <r>
    <x v="2"/>
    <x v="1"/>
    <d v="2019-06-28T00:00:00"/>
    <x v="0"/>
    <n v="35"/>
    <n v="115"/>
    <n v="114"/>
    <n v="2915"/>
    <n v="121"/>
  </r>
  <r>
    <x v="2"/>
    <x v="1"/>
    <d v="2019-06-28T00:00:00"/>
    <x v="2"/>
    <n v="44"/>
    <n v="145"/>
    <n v="123"/>
    <n v="2918"/>
    <n v="154"/>
  </r>
  <r>
    <x v="2"/>
    <x v="1"/>
    <d v="2019-06-28T00:00:00"/>
    <x v="1"/>
    <n v="50"/>
    <n v="140"/>
    <n v="118"/>
    <n v="2916"/>
    <n v="180"/>
  </r>
  <r>
    <x v="2"/>
    <x v="1"/>
    <d v="2019-06-28T00:00:00"/>
    <x v="1"/>
    <n v="57"/>
    <n v="140"/>
    <n v="118"/>
    <n v="2914"/>
    <n v="210"/>
  </r>
  <r>
    <x v="2"/>
    <x v="1"/>
    <d v="2019-06-28T00:00:00"/>
    <x v="0"/>
    <n v="40"/>
    <n v="115"/>
    <n v="114"/>
    <n v="2917"/>
    <n v="144"/>
  </r>
  <r>
    <x v="2"/>
    <x v="2"/>
    <d v="2019-07-01T00:00:00"/>
    <x v="0"/>
    <n v="29"/>
    <n v="110"/>
    <n v="114"/>
    <n v="2923"/>
    <n v="104"/>
  </r>
  <r>
    <x v="2"/>
    <x v="2"/>
    <d v="2019-07-01T00:00:00"/>
    <x v="2"/>
    <n v="30"/>
    <n v="145"/>
    <n v="123"/>
    <n v="2919"/>
    <n v="108"/>
  </r>
  <r>
    <x v="2"/>
    <x v="2"/>
    <d v="2019-07-01T00:00:00"/>
    <x v="1"/>
    <n v="50"/>
    <n v="130"/>
    <n v="118"/>
    <n v="2920"/>
    <n v="176"/>
  </r>
  <r>
    <x v="2"/>
    <x v="2"/>
    <d v="2019-07-01T00:00:00"/>
    <x v="2"/>
    <n v="34"/>
    <n v="145"/>
    <n v="123"/>
    <n v="2921"/>
    <n v="118"/>
  </r>
  <r>
    <x v="2"/>
    <x v="2"/>
    <d v="2019-07-01T00:00:00"/>
    <x v="2"/>
    <n v="35"/>
    <n v="145"/>
    <n v="123"/>
    <n v="2922"/>
    <n v="129"/>
  </r>
  <r>
    <x v="2"/>
    <x v="2"/>
    <d v="2019-07-02T00:00:00"/>
    <x v="1"/>
    <n v="44"/>
    <n v="130"/>
    <n v="118"/>
    <n v="2924"/>
    <n v="204"/>
  </r>
  <r>
    <x v="2"/>
    <x v="2"/>
    <d v="2019-07-03T00:00:00"/>
    <x v="1"/>
    <n v="53"/>
    <n v="130"/>
    <n v="118"/>
    <n v="2926"/>
    <n v="189"/>
  </r>
  <r>
    <x v="2"/>
    <x v="2"/>
    <d v="2019-07-03T00:00:00"/>
    <x v="0"/>
    <n v="33"/>
    <n v="110"/>
    <n v="114"/>
    <n v="2925"/>
    <n v="119"/>
  </r>
  <r>
    <x v="2"/>
    <x v="2"/>
    <d v="2019-07-04T00:00:00"/>
    <x v="1"/>
    <n v="56"/>
    <n v="130"/>
    <n v="118"/>
    <n v="2927"/>
    <n v="196"/>
  </r>
  <r>
    <x v="2"/>
    <x v="2"/>
    <d v="2019-07-04T00:00:00"/>
    <x v="0"/>
    <n v="43"/>
    <n v="110"/>
    <n v="114"/>
    <n v="2928"/>
    <n v="150"/>
  </r>
  <r>
    <x v="2"/>
    <x v="2"/>
    <d v="2019-07-08T00:00:00"/>
    <x v="0"/>
    <n v="28"/>
    <n v="110"/>
    <n v="114"/>
    <n v="2933"/>
    <n v="100"/>
  </r>
  <r>
    <x v="2"/>
    <x v="2"/>
    <d v="2019-07-08T00:00:00"/>
    <x v="0"/>
    <n v="52"/>
    <n v="110"/>
    <n v="114"/>
    <n v="2934"/>
    <n v="190"/>
  </r>
  <r>
    <x v="2"/>
    <x v="2"/>
    <d v="2019-07-08T00:00:00"/>
    <x v="0"/>
    <n v="39"/>
    <n v="110"/>
    <n v="114"/>
    <n v="2935"/>
    <n v="138"/>
  </r>
  <r>
    <x v="2"/>
    <x v="2"/>
    <d v="2019-07-08T00:00:00"/>
    <x v="2"/>
    <n v="45"/>
    <n v="145"/>
    <n v="123"/>
    <n v="2931"/>
    <n v="163"/>
  </r>
  <r>
    <x v="2"/>
    <x v="2"/>
    <d v="2019-07-08T00:00:00"/>
    <x v="2"/>
    <n v="43"/>
    <n v="145"/>
    <n v="123"/>
    <n v="2929"/>
    <n v="158"/>
  </r>
  <r>
    <x v="2"/>
    <x v="2"/>
    <d v="2019-07-08T00:00:00"/>
    <x v="2"/>
    <n v="48"/>
    <n v="145"/>
    <n v="123"/>
    <n v="2930"/>
    <n v="168"/>
  </r>
  <r>
    <x v="2"/>
    <x v="2"/>
    <d v="2019-07-08T00:00:00"/>
    <x v="2"/>
    <n v="34"/>
    <n v="145"/>
    <n v="123"/>
    <n v="2932"/>
    <n v="118"/>
  </r>
  <r>
    <x v="2"/>
    <x v="2"/>
    <d v="2019-07-09T00:00:00"/>
    <x v="0"/>
    <n v="37"/>
    <n v="110"/>
    <n v="114"/>
    <n v="2937"/>
    <n v="130"/>
  </r>
  <r>
    <x v="2"/>
    <x v="2"/>
    <d v="2019-07-09T00:00:00"/>
    <x v="1"/>
    <n v="36"/>
    <n v="130"/>
    <n v="118"/>
    <n v="2938"/>
    <n v="126"/>
  </r>
  <r>
    <x v="2"/>
    <x v="2"/>
    <d v="2019-07-09T00:00:00"/>
    <x v="0"/>
    <n v="49"/>
    <n v="110"/>
    <n v="114"/>
    <n v="2939"/>
    <n v="174"/>
  </r>
  <r>
    <x v="2"/>
    <x v="2"/>
    <d v="2019-07-09T00:00:00"/>
    <x v="0"/>
    <n v="34"/>
    <n v="110"/>
    <n v="114"/>
    <n v="2940"/>
    <n v="120"/>
  </r>
  <r>
    <x v="2"/>
    <x v="2"/>
    <d v="2019-07-09T00:00:00"/>
    <x v="0"/>
    <n v="29"/>
    <n v="110"/>
    <n v="114"/>
    <n v="2941"/>
    <n v="105"/>
  </r>
  <r>
    <x v="2"/>
    <x v="2"/>
    <d v="2019-07-09T00:00:00"/>
    <x v="2"/>
    <n v="34"/>
    <n v="145"/>
    <n v="123"/>
    <n v="2936"/>
    <n v="118"/>
  </r>
  <r>
    <x v="2"/>
    <x v="2"/>
    <d v="2019-07-10T00:00:00"/>
    <x v="2"/>
    <n v="26"/>
    <n v="145"/>
    <n v="123"/>
    <n v="2942"/>
    <n v="93"/>
  </r>
  <r>
    <x v="2"/>
    <x v="2"/>
    <d v="2019-07-10T00:00:00"/>
    <x v="0"/>
    <n v="48"/>
    <n v="110"/>
    <n v="114"/>
    <n v="2946"/>
    <n v="226"/>
  </r>
  <r>
    <x v="2"/>
    <x v="2"/>
    <d v="2019-07-10T00:00:00"/>
    <x v="0"/>
    <n v="38"/>
    <n v="110"/>
    <n v="114"/>
    <n v="2945"/>
    <n v="136"/>
  </r>
  <r>
    <x v="2"/>
    <x v="2"/>
    <d v="2019-07-10T00:00:00"/>
    <x v="0"/>
    <n v="51"/>
    <n v="110"/>
    <n v="114"/>
    <n v="2943"/>
    <n v="178"/>
  </r>
  <r>
    <x v="2"/>
    <x v="2"/>
    <d v="2019-07-10T00:00:00"/>
    <x v="0"/>
    <n v="34"/>
    <n v="110"/>
    <n v="114"/>
    <n v="2944"/>
    <n v="118"/>
  </r>
  <r>
    <x v="2"/>
    <x v="2"/>
    <d v="2019-07-11T00:00:00"/>
    <x v="2"/>
    <n v="34"/>
    <n v="145"/>
    <n v="123"/>
    <n v="2947"/>
    <n v="124"/>
  </r>
  <r>
    <x v="2"/>
    <x v="2"/>
    <d v="2019-07-15T00:00:00"/>
    <x v="2"/>
    <n v="35"/>
    <n v="145"/>
    <n v="123"/>
    <n v="2948"/>
    <n v="128"/>
  </r>
  <r>
    <x v="2"/>
    <x v="2"/>
    <d v="2019-07-15T00:00:00"/>
    <x v="1"/>
    <n v="52"/>
    <n v="130"/>
    <n v="118"/>
    <n v="2949"/>
    <n v="189"/>
  </r>
  <r>
    <x v="2"/>
    <x v="2"/>
    <d v="2019-07-15T00:00:00"/>
    <x v="0"/>
    <n v="35"/>
    <n v="110"/>
    <n v="114"/>
    <n v="2950"/>
    <n v="127"/>
  </r>
  <r>
    <x v="2"/>
    <x v="2"/>
    <d v="2019-07-16T00:00:00"/>
    <x v="2"/>
    <n v="47"/>
    <n v="145"/>
    <n v="123"/>
    <n v="2955"/>
    <n v="217"/>
  </r>
  <r>
    <x v="2"/>
    <x v="2"/>
    <d v="2019-07-16T00:00:00"/>
    <x v="2"/>
    <n v="37"/>
    <n v="145"/>
    <n v="123"/>
    <n v="2952"/>
    <n v="134"/>
  </r>
  <r>
    <x v="2"/>
    <x v="2"/>
    <d v="2019-07-16T00:00:00"/>
    <x v="0"/>
    <n v="38"/>
    <n v="110"/>
    <n v="114"/>
    <n v="2957"/>
    <n v="138"/>
  </r>
  <r>
    <x v="2"/>
    <x v="2"/>
    <d v="2019-07-16T00:00:00"/>
    <x v="0"/>
    <n v="36"/>
    <n v="110"/>
    <n v="114"/>
    <n v="2956"/>
    <n v="133"/>
  </r>
  <r>
    <x v="2"/>
    <x v="2"/>
    <d v="2019-07-16T00:00:00"/>
    <x v="1"/>
    <n v="39"/>
    <n v="130"/>
    <n v="118"/>
    <n v="2953"/>
    <n v="136"/>
  </r>
  <r>
    <x v="2"/>
    <x v="2"/>
    <d v="2019-07-16T00:00:00"/>
    <x v="2"/>
    <n v="47"/>
    <n v="145"/>
    <n v="123"/>
    <n v="2951"/>
    <n v="172"/>
  </r>
  <r>
    <x v="2"/>
    <x v="2"/>
    <d v="2019-07-16T00:00:00"/>
    <x v="1"/>
    <n v="36"/>
    <n v="130"/>
    <n v="118"/>
    <n v="2954"/>
    <n v="129"/>
  </r>
  <r>
    <x v="2"/>
    <x v="2"/>
    <d v="2019-07-17T00:00:00"/>
    <x v="1"/>
    <n v="35"/>
    <n v="130"/>
    <n v="118"/>
    <n v="2958"/>
    <n v="130"/>
  </r>
  <r>
    <x v="2"/>
    <x v="2"/>
    <d v="2019-07-17T00:00:00"/>
    <x v="0"/>
    <n v="53"/>
    <n v="110"/>
    <n v="114"/>
    <n v="2959"/>
    <n v="202"/>
  </r>
  <r>
    <x v="2"/>
    <x v="2"/>
    <d v="2019-07-17T00:00:00"/>
    <x v="0"/>
    <n v="48"/>
    <n v="110"/>
    <n v="114"/>
    <n v="2960"/>
    <n v="174"/>
  </r>
  <r>
    <x v="2"/>
    <x v="2"/>
    <d v="2019-07-17T00:00:00"/>
    <x v="2"/>
    <n v="43"/>
    <n v="145"/>
    <n v="123"/>
    <n v="2961"/>
    <n v="199"/>
  </r>
  <r>
    <x v="2"/>
    <x v="2"/>
    <d v="2019-07-17T00:00:00"/>
    <x v="2"/>
    <n v="24"/>
    <n v="145"/>
    <n v="123"/>
    <n v="2962"/>
    <n v="86"/>
  </r>
  <r>
    <x v="2"/>
    <x v="2"/>
    <d v="2019-07-18T00:00:00"/>
    <x v="1"/>
    <n v="44"/>
    <n v="130"/>
    <n v="118"/>
    <n v="2963"/>
    <n v="152"/>
  </r>
  <r>
    <x v="2"/>
    <x v="2"/>
    <d v="2019-07-18T00:00:00"/>
    <x v="1"/>
    <n v="46"/>
    <n v="130"/>
    <n v="118"/>
    <n v="2964"/>
    <n v="170"/>
  </r>
  <r>
    <x v="2"/>
    <x v="2"/>
    <d v="2019-07-19T00:00:00"/>
    <x v="1"/>
    <n v="42"/>
    <n v="130"/>
    <n v="118"/>
    <n v="2966"/>
    <n v="144"/>
  </r>
  <r>
    <x v="2"/>
    <x v="2"/>
    <d v="2019-07-19T00:00:00"/>
    <x v="2"/>
    <n v="33"/>
    <n v="145"/>
    <n v="123"/>
    <n v="2967"/>
    <n v="117"/>
  </r>
  <r>
    <x v="2"/>
    <x v="2"/>
    <d v="2019-07-19T00:00:00"/>
    <x v="2"/>
    <n v="23"/>
    <n v="145"/>
    <n v="123"/>
    <n v="2965"/>
    <n v="83"/>
  </r>
  <r>
    <x v="2"/>
    <x v="2"/>
    <d v="2019-07-22T00:00:00"/>
    <x v="2"/>
    <n v="34"/>
    <n v="145"/>
    <n v="123"/>
    <n v="2968"/>
    <n v="118"/>
  </r>
  <r>
    <x v="2"/>
    <x v="2"/>
    <d v="2019-07-22T00:00:00"/>
    <x v="1"/>
    <n v="40"/>
    <n v="130"/>
    <n v="118"/>
    <n v="2969"/>
    <n v="137"/>
  </r>
  <r>
    <x v="2"/>
    <x v="2"/>
    <d v="2019-07-22T00:00:00"/>
    <x v="2"/>
    <n v="23"/>
    <n v="145"/>
    <n v="123"/>
    <n v="2970"/>
    <n v="80"/>
  </r>
  <r>
    <x v="2"/>
    <x v="2"/>
    <d v="2019-07-23T00:00:00"/>
    <x v="0"/>
    <n v="37"/>
    <n v="110"/>
    <n v="114"/>
    <n v="2972"/>
    <n v="127"/>
  </r>
  <r>
    <x v="2"/>
    <x v="2"/>
    <d v="2019-07-23T00:00:00"/>
    <x v="2"/>
    <n v="37"/>
    <n v="145"/>
    <n v="123"/>
    <n v="2974"/>
    <n v="130"/>
  </r>
  <r>
    <x v="2"/>
    <x v="2"/>
    <d v="2019-07-23T00:00:00"/>
    <x v="2"/>
    <n v="40"/>
    <n v="145"/>
    <n v="123"/>
    <n v="2973"/>
    <n v="139"/>
  </r>
  <r>
    <x v="2"/>
    <x v="2"/>
    <d v="2019-07-23T00:00:00"/>
    <x v="2"/>
    <n v="47"/>
    <n v="145"/>
    <n v="123"/>
    <n v="2972"/>
    <n v="167"/>
  </r>
  <r>
    <x v="2"/>
    <x v="2"/>
    <d v="2019-07-24T00:00:00"/>
    <x v="2"/>
    <n v="46"/>
    <n v="145"/>
    <n v="123"/>
    <n v="2975"/>
    <n v="168"/>
  </r>
  <r>
    <x v="2"/>
    <x v="2"/>
    <d v="2019-07-24T00:00:00"/>
    <x v="2"/>
    <n v="47"/>
    <n v="145"/>
    <n v="123"/>
    <n v="2976"/>
    <n v="216"/>
  </r>
  <r>
    <x v="2"/>
    <x v="2"/>
    <d v="2019-07-24T00:00:00"/>
    <x v="2"/>
    <n v="38"/>
    <n v="145"/>
    <n v="123"/>
    <n v="2977"/>
    <n v="130"/>
  </r>
  <r>
    <x v="2"/>
    <x v="2"/>
    <d v="2019-07-25T00:00:00"/>
    <x v="2"/>
    <n v="30"/>
    <n v="145"/>
    <n v="123"/>
    <n v="2978"/>
    <n v="106"/>
  </r>
  <r>
    <x v="2"/>
    <x v="2"/>
    <d v="2019-07-25T00:00:00"/>
    <x v="2"/>
    <n v="31"/>
    <n v="145"/>
    <n v="123"/>
    <n v="2979"/>
    <n v="113"/>
  </r>
  <r>
    <x v="2"/>
    <x v="2"/>
    <d v="2019-07-26T00:00:00"/>
    <x v="0"/>
    <n v="39"/>
    <n v="110"/>
    <n v="114"/>
    <n v="2980"/>
    <n v="136"/>
  </r>
  <r>
    <x v="2"/>
    <x v="2"/>
    <d v="2019-07-26T00:00:00"/>
    <x v="2"/>
    <n v="39"/>
    <n v="145"/>
    <n v="123"/>
    <n v="2981"/>
    <n v="136"/>
  </r>
  <r>
    <x v="2"/>
    <x v="2"/>
    <d v="2019-07-26T00:00:00"/>
    <x v="1"/>
    <n v="49"/>
    <n v="130"/>
    <n v="118"/>
    <n v="2982"/>
    <n v="169"/>
  </r>
  <r>
    <x v="2"/>
    <x v="2"/>
    <d v="2019-07-29T00:00:00"/>
    <x v="2"/>
    <n v="39"/>
    <n v="145"/>
    <n v="123"/>
    <n v="2983"/>
    <n v="138"/>
  </r>
  <r>
    <x v="2"/>
    <x v="2"/>
    <d v="2019-07-29T00:00:00"/>
    <x v="0"/>
    <n v="48"/>
    <n v="110"/>
    <n v="114"/>
    <n v="2984"/>
    <n v="166"/>
  </r>
  <r>
    <x v="2"/>
    <x v="2"/>
    <d v="2019-07-29T00:00:00"/>
    <x v="0"/>
    <n v="32"/>
    <n v="110"/>
    <n v="114"/>
    <n v="2985"/>
    <n v="115"/>
  </r>
  <r>
    <x v="2"/>
    <x v="2"/>
    <d v="2019-07-29T00:00:00"/>
    <x v="1"/>
    <n v="37"/>
    <n v="130"/>
    <n v="118"/>
    <n v="2986"/>
    <n v="133"/>
  </r>
  <r>
    <x v="2"/>
    <x v="2"/>
    <d v="2019-07-30T00:00:00"/>
    <x v="0"/>
    <n v="45"/>
    <n v="110"/>
    <n v="114"/>
    <n v="2991"/>
    <n v="160"/>
  </r>
  <r>
    <x v="2"/>
    <x v="2"/>
    <d v="2019-07-30T00:00:00"/>
    <x v="2"/>
    <n v="24"/>
    <n v="145"/>
    <n v="123"/>
    <n v="2987"/>
    <n v="87"/>
  </r>
  <r>
    <x v="2"/>
    <x v="2"/>
    <d v="2019-07-30T00:00:00"/>
    <x v="2"/>
    <n v="42"/>
    <n v="145"/>
    <n v="123"/>
    <n v="2992"/>
    <n v="144"/>
  </r>
  <r>
    <x v="2"/>
    <x v="2"/>
    <d v="2019-07-30T00:00:00"/>
    <x v="1"/>
    <n v="45"/>
    <n v="130"/>
    <n v="118"/>
    <n v="2989"/>
    <n v="158"/>
  </r>
  <r>
    <x v="2"/>
    <x v="2"/>
    <d v="2019-07-30T00:00:00"/>
    <x v="0"/>
    <n v="33"/>
    <n v="110"/>
    <n v="114"/>
    <n v="2988"/>
    <n v="124"/>
  </r>
  <r>
    <x v="2"/>
    <x v="2"/>
    <d v="2019-07-30T00:00:00"/>
    <x v="1"/>
    <n v="45"/>
    <n v="130"/>
    <n v="118"/>
    <n v="2990"/>
    <n v="160"/>
  </r>
  <r>
    <x v="2"/>
    <x v="2"/>
    <d v="2019-07-31T00:00:00"/>
    <x v="0"/>
    <n v="46"/>
    <n v="110"/>
    <n v="114"/>
    <n v="2993"/>
    <n v="163"/>
  </r>
  <r>
    <x v="2"/>
    <x v="2"/>
    <d v="2019-07-31T00:00:00"/>
    <x v="2"/>
    <n v="38"/>
    <n v="145"/>
    <n v="123"/>
    <n v="2994"/>
    <n v="131"/>
  </r>
  <r>
    <x v="2"/>
    <x v="2"/>
    <d v="2019-07-31T00:00:00"/>
    <x v="2"/>
    <n v="42"/>
    <n v="145"/>
    <n v="123"/>
    <n v="2995"/>
    <n v="147"/>
  </r>
  <r>
    <x v="2"/>
    <x v="2"/>
    <d v="2019-07-31T00:00:00"/>
    <x v="2"/>
    <n v="40"/>
    <n v="145"/>
    <n v="123"/>
    <n v="2996"/>
    <n v="188"/>
  </r>
  <r>
    <x v="2"/>
    <x v="2"/>
    <d v="2019-08-01T00:00:00"/>
    <x v="0"/>
    <n v="28"/>
    <n v="110"/>
    <n v="114"/>
    <n v="2997"/>
    <n v="103"/>
  </r>
  <r>
    <x v="2"/>
    <x v="2"/>
    <d v="2019-08-01T00:00:00"/>
    <x v="2"/>
    <n v="34"/>
    <n v="145"/>
    <n v="123"/>
    <n v="3003"/>
    <n v="125"/>
  </r>
  <r>
    <x v="2"/>
    <x v="2"/>
    <d v="2019-08-01T00:00:00"/>
    <x v="1"/>
    <n v="50"/>
    <n v="130"/>
    <n v="118"/>
    <n v="3002"/>
    <n v="183"/>
  </r>
  <r>
    <x v="2"/>
    <x v="2"/>
    <d v="2019-08-01T00:00:00"/>
    <x v="0"/>
    <n v="41"/>
    <n v="110"/>
    <n v="114"/>
    <n v="3001"/>
    <n v="146"/>
  </r>
  <r>
    <x v="2"/>
    <x v="2"/>
    <d v="2019-08-01T00:00:00"/>
    <x v="2"/>
    <n v="46"/>
    <n v="145"/>
    <n v="123"/>
    <n v="3000"/>
    <n v="164"/>
  </r>
  <r>
    <x v="2"/>
    <x v="2"/>
    <d v="2019-08-01T00:00:00"/>
    <x v="1"/>
    <n v="54"/>
    <n v="130"/>
    <n v="118"/>
    <n v="2998"/>
    <n v="186"/>
  </r>
  <r>
    <x v="2"/>
    <x v="2"/>
    <d v="2019-08-01T00:00:00"/>
    <x v="2"/>
    <n v="39"/>
    <n v="145"/>
    <n v="123"/>
    <n v="2999"/>
    <n v="136"/>
  </r>
  <r>
    <x v="2"/>
    <x v="2"/>
    <d v="2019-08-02T00:00:00"/>
    <x v="0"/>
    <n v="52"/>
    <n v="110"/>
    <n v="114"/>
    <n v="3004"/>
    <n v="184"/>
  </r>
  <r>
    <x v="2"/>
    <x v="2"/>
    <d v="2019-08-02T00:00:00"/>
    <x v="0"/>
    <n v="47"/>
    <n v="110"/>
    <n v="114"/>
    <n v="3005"/>
    <n v="172"/>
  </r>
  <r>
    <x v="2"/>
    <x v="2"/>
    <d v="2019-08-05T00:00:00"/>
    <x v="2"/>
    <n v="46"/>
    <n v="145"/>
    <n v="123"/>
    <n v="3006"/>
    <n v="159"/>
  </r>
  <r>
    <x v="2"/>
    <x v="2"/>
    <d v="2019-08-05T00:00:00"/>
    <x v="0"/>
    <n v="28"/>
    <n v="110"/>
    <n v="114"/>
    <n v="3007"/>
    <n v="97"/>
  </r>
  <r>
    <x v="2"/>
    <x v="2"/>
    <d v="2019-08-05T00:00:00"/>
    <x v="1"/>
    <n v="51"/>
    <n v="130"/>
    <n v="118"/>
    <n v="3008"/>
    <n v="184"/>
  </r>
  <r>
    <x v="2"/>
    <x v="2"/>
    <d v="2019-08-06T00:00:00"/>
    <x v="1"/>
    <n v="36"/>
    <n v="130"/>
    <n v="118"/>
    <n v="3009"/>
    <n v="129"/>
  </r>
  <r>
    <x v="2"/>
    <x v="2"/>
    <d v="2019-08-06T00:00:00"/>
    <x v="1"/>
    <n v="54"/>
    <n v="130"/>
    <n v="118"/>
    <n v="3010"/>
    <n v="197"/>
  </r>
  <r>
    <x v="2"/>
    <x v="2"/>
    <d v="2019-08-06T00:00:00"/>
    <x v="2"/>
    <n v="41"/>
    <n v="145"/>
    <n v="123"/>
    <n v="3011"/>
    <n v="189"/>
  </r>
  <r>
    <x v="2"/>
    <x v="2"/>
    <d v="2019-08-07T00:00:00"/>
    <x v="0"/>
    <n v="37"/>
    <n v="110"/>
    <n v="114"/>
    <n v="3012"/>
    <n v="136"/>
  </r>
  <r>
    <x v="2"/>
    <x v="2"/>
    <d v="2019-08-07T00:00:00"/>
    <x v="0"/>
    <n v="53"/>
    <n v="110"/>
    <n v="114"/>
    <n v="3013"/>
    <n v="193"/>
  </r>
  <r>
    <x v="2"/>
    <x v="2"/>
    <d v="2019-08-07T00:00:00"/>
    <x v="0"/>
    <n v="43"/>
    <n v="110"/>
    <n v="114"/>
    <n v="3014"/>
    <n v="149"/>
  </r>
  <r>
    <x v="2"/>
    <x v="2"/>
    <d v="2019-08-08T00:00:00"/>
    <x v="1"/>
    <n v="38"/>
    <n v="130"/>
    <n v="118"/>
    <n v="3015"/>
    <n v="135"/>
  </r>
  <r>
    <x v="2"/>
    <x v="2"/>
    <d v="2019-08-08T00:00:00"/>
    <x v="1"/>
    <n v="54"/>
    <n v="130"/>
    <n v="118"/>
    <n v="3021"/>
    <n v="197"/>
  </r>
  <r>
    <x v="2"/>
    <x v="2"/>
    <d v="2019-08-08T00:00:00"/>
    <x v="2"/>
    <n v="41"/>
    <n v="145"/>
    <n v="123"/>
    <n v="3020"/>
    <n v="142"/>
  </r>
  <r>
    <x v="2"/>
    <x v="2"/>
    <d v="2019-08-08T00:00:00"/>
    <x v="0"/>
    <n v="32"/>
    <n v="110"/>
    <n v="114"/>
    <n v="3019"/>
    <n v="113"/>
  </r>
  <r>
    <x v="2"/>
    <x v="2"/>
    <d v="2019-08-08T00:00:00"/>
    <x v="2"/>
    <n v="35"/>
    <n v="145"/>
    <n v="123"/>
    <n v="3018"/>
    <n v="124"/>
  </r>
  <r>
    <x v="2"/>
    <x v="2"/>
    <d v="2019-08-08T00:00:00"/>
    <x v="1"/>
    <n v="36"/>
    <n v="130"/>
    <n v="118"/>
    <n v="3016"/>
    <n v="169"/>
  </r>
  <r>
    <x v="2"/>
    <x v="2"/>
    <d v="2019-08-08T00:00:00"/>
    <x v="1"/>
    <n v="41"/>
    <n v="130"/>
    <n v="118"/>
    <n v="3017"/>
    <n v="192"/>
  </r>
  <r>
    <x v="2"/>
    <x v="2"/>
    <d v="2019-08-09T00:00:00"/>
    <x v="1"/>
    <n v="35"/>
    <n v="130"/>
    <n v="118"/>
    <n v="3022"/>
    <n v="123"/>
  </r>
  <r>
    <x v="2"/>
    <x v="2"/>
    <d v="2019-08-09T00:00:00"/>
    <x v="1"/>
    <n v="33"/>
    <n v="130"/>
    <n v="118"/>
    <n v="3023"/>
    <n v="116"/>
  </r>
  <r>
    <x v="2"/>
    <x v="2"/>
    <d v="2019-08-12T00:00:00"/>
    <x v="1"/>
    <n v="36"/>
    <n v="130"/>
    <n v="118"/>
    <n v="3024"/>
    <n v="130"/>
  </r>
  <r>
    <x v="2"/>
    <x v="2"/>
    <d v="2019-08-12T00:00:00"/>
    <x v="0"/>
    <n v="30"/>
    <n v="110"/>
    <n v="114"/>
    <n v="3025"/>
    <n v="105"/>
  </r>
  <r>
    <x v="2"/>
    <x v="2"/>
    <d v="2019-08-12T00:00:00"/>
    <x v="0"/>
    <n v="53"/>
    <n v="110"/>
    <n v="114"/>
    <n v="3026"/>
    <n v="187"/>
  </r>
  <r>
    <x v="2"/>
    <x v="2"/>
    <d v="2019-08-13T00:00:00"/>
    <x v="0"/>
    <n v="30"/>
    <n v="110"/>
    <n v="114"/>
    <n v="3027"/>
    <n v="104"/>
  </r>
  <r>
    <x v="2"/>
    <x v="2"/>
    <d v="2019-08-13T00:00:00"/>
    <x v="1"/>
    <n v="37"/>
    <n v="130"/>
    <n v="118"/>
    <n v="3028"/>
    <n v="136"/>
  </r>
  <r>
    <x v="2"/>
    <x v="2"/>
    <d v="2019-08-13T00:00:00"/>
    <x v="2"/>
    <n v="24"/>
    <n v="145"/>
    <n v="123"/>
    <n v="3029"/>
    <n v="88"/>
  </r>
  <r>
    <x v="2"/>
    <x v="2"/>
    <d v="2019-08-13T00:00:00"/>
    <x v="0"/>
    <n v="37"/>
    <n v="110"/>
    <n v="114"/>
    <n v="3030"/>
    <n v="136"/>
  </r>
  <r>
    <x v="2"/>
    <x v="2"/>
    <d v="2019-08-14T00:00:00"/>
    <x v="0"/>
    <n v="35"/>
    <n v="110"/>
    <n v="114"/>
    <n v="3033"/>
    <n v="122"/>
  </r>
  <r>
    <x v="2"/>
    <x v="2"/>
    <d v="2019-08-14T00:00:00"/>
    <x v="0"/>
    <n v="48"/>
    <n v="110"/>
    <n v="114"/>
    <n v="3036"/>
    <n v="170"/>
  </r>
  <r>
    <x v="2"/>
    <x v="2"/>
    <d v="2019-08-14T00:00:00"/>
    <x v="2"/>
    <n v="37"/>
    <n v="145"/>
    <n v="123"/>
    <n v="3034"/>
    <n v="134"/>
  </r>
  <r>
    <x v="2"/>
    <x v="2"/>
    <d v="2019-08-14T00:00:00"/>
    <x v="2"/>
    <n v="30"/>
    <n v="145"/>
    <n v="123"/>
    <n v="3032"/>
    <n v="106"/>
  </r>
  <r>
    <x v="2"/>
    <x v="2"/>
    <d v="2019-08-14T00:00:00"/>
    <x v="0"/>
    <n v="30"/>
    <n v="110"/>
    <n v="114"/>
    <n v="3031"/>
    <n v="114"/>
  </r>
  <r>
    <x v="2"/>
    <x v="2"/>
    <d v="2019-08-14T00:00:00"/>
    <x v="0"/>
    <n v="33"/>
    <n v="110"/>
    <n v="114"/>
    <n v="3035"/>
    <n v="115"/>
  </r>
  <r>
    <x v="2"/>
    <x v="2"/>
    <d v="2019-08-15T00:00:00"/>
    <x v="2"/>
    <n v="35"/>
    <n v="145"/>
    <n v="123"/>
    <n v="3037"/>
    <n v="127"/>
  </r>
  <r>
    <x v="2"/>
    <x v="2"/>
    <d v="2019-08-15T00:00:00"/>
    <x v="2"/>
    <n v="35"/>
    <n v="145"/>
    <n v="123"/>
    <n v="3038"/>
    <n v="124"/>
  </r>
  <r>
    <x v="2"/>
    <x v="2"/>
    <d v="2019-08-19T00:00:00"/>
    <x v="2"/>
    <n v="47"/>
    <n v="145"/>
    <n v="123"/>
    <n v="3039"/>
    <n v="221"/>
  </r>
  <r>
    <x v="2"/>
    <x v="2"/>
    <d v="2019-08-20T00:00:00"/>
    <x v="2"/>
    <n v="29"/>
    <n v="145"/>
    <n v="123"/>
    <n v="3040"/>
    <n v="104"/>
  </r>
  <r>
    <x v="2"/>
    <x v="2"/>
    <d v="2019-08-21T00:00:00"/>
    <x v="1"/>
    <n v="38"/>
    <n v="130"/>
    <n v="118"/>
    <n v="3041"/>
    <n v="136"/>
  </r>
  <r>
    <x v="2"/>
    <x v="2"/>
    <d v="2019-08-21T00:00:00"/>
    <x v="1"/>
    <n v="36"/>
    <n v="130"/>
    <n v="118"/>
    <n v="3046"/>
    <n v="131"/>
  </r>
  <r>
    <x v="2"/>
    <x v="2"/>
    <d v="2019-08-21T00:00:00"/>
    <x v="1"/>
    <n v="43"/>
    <n v="130"/>
    <n v="118"/>
    <n v="3045"/>
    <n v="157"/>
  </r>
  <r>
    <x v="2"/>
    <x v="2"/>
    <d v="2019-08-21T00:00:00"/>
    <x v="1"/>
    <n v="51"/>
    <n v="130"/>
    <n v="118"/>
    <n v="3042"/>
    <n v="177"/>
  </r>
  <r>
    <x v="2"/>
    <x v="2"/>
    <d v="2019-08-21T00:00:00"/>
    <x v="1"/>
    <n v="56"/>
    <n v="130"/>
    <n v="118"/>
    <n v="3044"/>
    <n v="194"/>
  </r>
  <r>
    <x v="2"/>
    <x v="2"/>
    <d v="2019-08-21T00:00:00"/>
    <x v="2"/>
    <n v="45"/>
    <n v="145"/>
    <n v="123"/>
    <n v="3043"/>
    <n v="210"/>
  </r>
  <r>
    <x v="2"/>
    <x v="2"/>
    <d v="2019-08-22T00:00:00"/>
    <x v="2"/>
    <n v="28"/>
    <n v="145"/>
    <n v="123"/>
    <n v="3047"/>
    <n v="99"/>
  </r>
  <r>
    <x v="2"/>
    <x v="2"/>
    <d v="2019-08-22T00:00:00"/>
    <x v="1"/>
    <n v="40"/>
    <n v="130"/>
    <n v="118"/>
    <n v="3048"/>
    <n v="138"/>
  </r>
  <r>
    <x v="2"/>
    <x v="2"/>
    <d v="2019-08-22T00:00:00"/>
    <x v="0"/>
    <n v="32"/>
    <n v="110"/>
    <n v="114"/>
    <n v="3049"/>
    <n v="115"/>
  </r>
  <r>
    <x v="2"/>
    <x v="2"/>
    <d v="2019-08-23T00:00:00"/>
    <x v="0"/>
    <n v="32"/>
    <n v="110"/>
    <n v="114"/>
    <n v="3051"/>
    <n v="118"/>
  </r>
  <r>
    <x v="2"/>
    <x v="2"/>
    <d v="2019-08-23T00:00:00"/>
    <x v="2"/>
    <n v="24"/>
    <n v="145"/>
    <n v="123"/>
    <n v="3055"/>
    <n v="87"/>
  </r>
  <r>
    <x v="2"/>
    <x v="2"/>
    <d v="2019-08-23T00:00:00"/>
    <x v="1"/>
    <n v="58"/>
    <n v="130"/>
    <n v="118"/>
    <n v="3054"/>
    <n v="210"/>
  </r>
  <r>
    <x v="2"/>
    <x v="2"/>
    <d v="2019-08-23T00:00:00"/>
    <x v="1"/>
    <n v="37"/>
    <n v="130"/>
    <n v="118"/>
    <n v="3052"/>
    <n v="130"/>
  </r>
  <r>
    <x v="2"/>
    <x v="2"/>
    <d v="2019-08-23T00:00:00"/>
    <x v="2"/>
    <n v="42"/>
    <n v="145"/>
    <n v="123"/>
    <n v="3050"/>
    <n v="195"/>
  </r>
  <r>
    <x v="2"/>
    <x v="2"/>
    <d v="2019-08-23T00:00:00"/>
    <x v="2"/>
    <n v="46"/>
    <n v="145"/>
    <n v="123"/>
    <n v="3053"/>
    <n v="169"/>
  </r>
  <r>
    <x v="2"/>
    <x v="2"/>
    <d v="2019-08-26T00:00:00"/>
    <x v="2"/>
    <n v="39"/>
    <n v="145"/>
    <n v="123"/>
    <n v="3056"/>
    <n v="138"/>
  </r>
  <r>
    <x v="2"/>
    <x v="2"/>
    <d v="2019-08-27T00:00:00"/>
    <x v="1"/>
    <n v="44"/>
    <n v="130"/>
    <n v="118"/>
    <n v="3060"/>
    <n v="169"/>
  </r>
  <r>
    <x v="2"/>
    <x v="2"/>
    <d v="2019-08-27T00:00:00"/>
    <x v="0"/>
    <n v="51"/>
    <n v="110"/>
    <n v="114"/>
    <n v="3061"/>
    <n v="184"/>
  </r>
  <r>
    <x v="2"/>
    <x v="2"/>
    <d v="2019-08-27T00:00:00"/>
    <x v="1"/>
    <n v="37"/>
    <n v="130"/>
    <n v="118"/>
    <n v="3062"/>
    <n v="136"/>
  </r>
  <r>
    <x v="2"/>
    <x v="2"/>
    <d v="2019-08-27T00:00:00"/>
    <x v="1"/>
    <n v="36"/>
    <n v="130"/>
    <n v="118"/>
    <n v="3058"/>
    <n v="166"/>
  </r>
  <r>
    <x v="2"/>
    <x v="2"/>
    <d v="2019-08-27T00:00:00"/>
    <x v="0"/>
    <n v="39"/>
    <n v="110"/>
    <n v="114"/>
    <n v="3057"/>
    <n v="142"/>
  </r>
  <r>
    <x v="2"/>
    <x v="2"/>
    <d v="2019-08-27T00:00:00"/>
    <x v="0"/>
    <n v="49"/>
    <n v="110"/>
    <n v="114"/>
    <n v="3059"/>
    <n v="172"/>
  </r>
  <r>
    <x v="2"/>
    <x v="2"/>
    <d v="2019-08-28T00:00:00"/>
    <x v="1"/>
    <n v="36"/>
    <n v="130"/>
    <n v="118"/>
    <n v="3067"/>
    <n v="128"/>
  </r>
  <r>
    <x v="2"/>
    <x v="2"/>
    <d v="2019-08-28T00:00:00"/>
    <x v="0"/>
    <n v="41"/>
    <n v="110"/>
    <n v="114"/>
    <n v="3063"/>
    <n v="139"/>
  </r>
  <r>
    <x v="2"/>
    <x v="2"/>
    <d v="2019-08-28T00:00:00"/>
    <x v="2"/>
    <n v="28"/>
    <n v="145"/>
    <n v="123"/>
    <n v="3064"/>
    <n v="100"/>
  </r>
  <r>
    <x v="2"/>
    <x v="2"/>
    <d v="2019-08-28T00:00:00"/>
    <x v="2"/>
    <n v="48"/>
    <n v="145"/>
    <n v="123"/>
    <n v="3065"/>
    <n v="177"/>
  </r>
  <r>
    <x v="2"/>
    <x v="2"/>
    <d v="2019-08-28T00:00:00"/>
    <x v="2"/>
    <n v="28"/>
    <n v="145"/>
    <n v="123"/>
    <n v="3066"/>
    <n v="103"/>
  </r>
  <r>
    <x v="2"/>
    <x v="2"/>
    <d v="2019-08-30T00:00:00"/>
    <x v="2"/>
    <n v="49"/>
    <n v="145"/>
    <n v="123"/>
    <n v="3068"/>
    <n v="174"/>
  </r>
  <r>
    <x v="2"/>
    <x v="2"/>
    <d v="2019-09-02T00:00:00"/>
    <x v="0"/>
    <n v="32"/>
    <n v="110"/>
    <n v="114"/>
    <n v="3070"/>
    <n v="115"/>
  </r>
  <r>
    <x v="2"/>
    <x v="2"/>
    <d v="2019-09-02T00:00:00"/>
    <x v="0"/>
    <n v="46"/>
    <n v="110"/>
    <n v="114"/>
    <n v="3071"/>
    <n v="163"/>
  </r>
  <r>
    <x v="2"/>
    <x v="2"/>
    <d v="2019-09-02T00:00:00"/>
    <x v="1"/>
    <n v="43"/>
    <n v="130"/>
    <n v="118"/>
    <n v="3072"/>
    <n v="158"/>
  </r>
  <r>
    <x v="2"/>
    <x v="2"/>
    <d v="2019-09-02T00:00:00"/>
    <x v="0"/>
    <n v="36"/>
    <n v="110"/>
    <n v="114"/>
    <n v="3069"/>
    <n v="124"/>
  </r>
  <r>
    <x v="2"/>
    <x v="2"/>
    <d v="2019-09-03T00:00:00"/>
    <x v="0"/>
    <n v="34"/>
    <n v="110"/>
    <n v="114"/>
    <n v="3077"/>
    <n v="117"/>
  </r>
  <r>
    <x v="2"/>
    <x v="2"/>
    <d v="2019-09-03T00:00:00"/>
    <x v="0"/>
    <n v="36"/>
    <n v="110"/>
    <n v="114"/>
    <n v="3078"/>
    <n v="128"/>
  </r>
  <r>
    <x v="2"/>
    <x v="2"/>
    <d v="2019-09-03T00:00:00"/>
    <x v="0"/>
    <n v="30"/>
    <n v="110"/>
    <n v="114"/>
    <n v="3079"/>
    <n v="106"/>
  </r>
  <r>
    <x v="2"/>
    <x v="2"/>
    <d v="2019-09-03T00:00:00"/>
    <x v="0"/>
    <n v="33"/>
    <n v="110"/>
    <n v="114"/>
    <n v="3075"/>
    <n v="119"/>
  </r>
  <r>
    <x v="2"/>
    <x v="2"/>
    <d v="2019-09-03T00:00:00"/>
    <x v="1"/>
    <n v="52"/>
    <n v="130"/>
    <n v="118"/>
    <n v="3073"/>
    <n v="244"/>
  </r>
  <r>
    <x v="2"/>
    <x v="2"/>
    <d v="2019-09-03T00:00:00"/>
    <x v="2"/>
    <n v="45"/>
    <n v="145"/>
    <n v="123"/>
    <n v="3074"/>
    <n v="159"/>
  </r>
  <r>
    <x v="2"/>
    <x v="2"/>
    <d v="2019-09-03T00:00:00"/>
    <x v="2"/>
    <n v="34"/>
    <n v="145"/>
    <n v="123"/>
    <n v="3076"/>
    <n v="121"/>
  </r>
  <r>
    <x v="2"/>
    <x v="2"/>
    <d v="2019-09-04T00:00:00"/>
    <x v="0"/>
    <n v="53"/>
    <n v="110"/>
    <n v="114"/>
    <n v="3081"/>
    <n v="183"/>
  </r>
  <r>
    <x v="2"/>
    <x v="2"/>
    <d v="2019-09-04T00:00:00"/>
    <x v="0"/>
    <n v="34"/>
    <n v="110"/>
    <n v="114"/>
    <n v="3082"/>
    <n v="120"/>
  </r>
  <r>
    <x v="2"/>
    <x v="2"/>
    <d v="2019-09-04T00:00:00"/>
    <x v="1"/>
    <n v="44"/>
    <n v="130"/>
    <n v="118"/>
    <n v="3083"/>
    <n v="160"/>
  </r>
  <r>
    <x v="2"/>
    <x v="2"/>
    <d v="2019-09-04T00:00:00"/>
    <x v="0"/>
    <n v="51"/>
    <n v="110"/>
    <n v="114"/>
    <n v="3084"/>
    <n v="181"/>
  </r>
  <r>
    <x v="2"/>
    <x v="2"/>
    <d v="2019-09-04T00:00:00"/>
    <x v="2"/>
    <n v="25"/>
    <n v="145"/>
    <n v="123"/>
    <n v="3080"/>
    <n v="90"/>
  </r>
  <r>
    <x v="2"/>
    <x v="2"/>
    <d v="2019-09-05T00:00:00"/>
    <x v="2"/>
    <n v="33"/>
    <n v="145"/>
    <n v="123"/>
    <n v="3086"/>
    <n v="122"/>
  </r>
  <r>
    <x v="2"/>
    <x v="2"/>
    <d v="2019-09-05T00:00:00"/>
    <x v="1"/>
    <n v="35"/>
    <n v="130"/>
    <n v="118"/>
    <n v="3085"/>
    <n v="122"/>
  </r>
  <r>
    <x v="2"/>
    <x v="2"/>
    <d v="2019-09-09T00:00:00"/>
    <x v="1"/>
    <n v="39"/>
    <n v="130"/>
    <n v="118"/>
    <n v="3093"/>
    <n v="134"/>
  </r>
  <r>
    <x v="2"/>
    <x v="2"/>
    <d v="2019-09-09T00:00:00"/>
    <x v="1"/>
    <n v="47"/>
    <n v="130"/>
    <n v="118"/>
    <n v="3092"/>
    <n v="167"/>
  </r>
  <r>
    <x v="2"/>
    <x v="2"/>
    <d v="2019-09-09T00:00:00"/>
    <x v="0"/>
    <n v="29"/>
    <n v="110"/>
    <n v="114"/>
    <n v="3091"/>
    <n v="104"/>
  </r>
  <r>
    <x v="2"/>
    <x v="2"/>
    <d v="2019-09-09T00:00:00"/>
    <x v="2"/>
    <n v="36"/>
    <n v="145"/>
    <n v="123"/>
    <n v="3090"/>
    <n v="124"/>
  </r>
  <r>
    <x v="2"/>
    <x v="2"/>
    <d v="2019-09-09T00:00:00"/>
    <x v="0"/>
    <n v="32"/>
    <n v="110"/>
    <n v="114"/>
    <n v="3089"/>
    <n v="117"/>
  </r>
  <r>
    <x v="2"/>
    <x v="2"/>
    <d v="2019-09-09T00:00:00"/>
    <x v="0"/>
    <n v="47"/>
    <n v="110"/>
    <n v="114"/>
    <n v="3087"/>
    <n v="170"/>
  </r>
  <r>
    <x v="2"/>
    <x v="2"/>
    <d v="2019-09-09T00:00:00"/>
    <x v="0"/>
    <n v="36"/>
    <n v="110"/>
    <n v="114"/>
    <n v="3088"/>
    <n v="128"/>
  </r>
  <r>
    <x v="2"/>
    <x v="2"/>
    <d v="2019-09-10T00:00:00"/>
    <x v="1"/>
    <n v="57"/>
    <n v="130"/>
    <n v="118"/>
    <n v="3094"/>
    <n v="209"/>
  </r>
  <r>
    <x v="2"/>
    <x v="2"/>
    <d v="2019-09-10T00:00:00"/>
    <x v="0"/>
    <n v="34"/>
    <n v="110"/>
    <n v="114"/>
    <n v="3095"/>
    <n v="159"/>
  </r>
  <r>
    <x v="2"/>
    <x v="2"/>
    <d v="2019-09-11T00:00:00"/>
    <x v="0"/>
    <n v="30"/>
    <n v="110"/>
    <n v="114"/>
    <n v="3098"/>
    <n v="110"/>
  </r>
  <r>
    <x v="2"/>
    <x v="2"/>
    <d v="2019-09-11T00:00:00"/>
    <x v="0"/>
    <n v="50"/>
    <n v="110"/>
    <n v="114"/>
    <n v="3097"/>
    <n v="186"/>
  </r>
  <r>
    <x v="2"/>
    <x v="2"/>
    <d v="2019-09-11T00:00:00"/>
    <x v="2"/>
    <n v="45"/>
    <n v="145"/>
    <n v="123"/>
    <n v="3096"/>
    <n v="158"/>
  </r>
  <r>
    <x v="2"/>
    <x v="2"/>
    <d v="2019-09-11T00:00:00"/>
    <x v="0"/>
    <n v="38"/>
    <n v="110"/>
    <n v="114"/>
    <n v="3099"/>
    <n v="137"/>
  </r>
  <r>
    <x v="2"/>
    <x v="2"/>
    <d v="2019-09-12T00:00:00"/>
    <x v="0"/>
    <n v="52"/>
    <n v="110"/>
    <n v="114"/>
    <n v="3106"/>
    <n v="186"/>
  </r>
  <r>
    <x v="2"/>
    <x v="2"/>
    <d v="2019-09-12T00:00:00"/>
    <x v="1"/>
    <n v="40"/>
    <n v="130"/>
    <n v="118"/>
    <n v="3100"/>
    <n v="147"/>
  </r>
  <r>
    <x v="2"/>
    <x v="2"/>
    <d v="2019-09-12T00:00:00"/>
    <x v="2"/>
    <n v="38"/>
    <n v="145"/>
    <n v="123"/>
    <n v="3101"/>
    <n v="137"/>
  </r>
  <r>
    <x v="2"/>
    <x v="2"/>
    <d v="2019-09-12T00:00:00"/>
    <x v="0"/>
    <n v="45"/>
    <n v="110"/>
    <n v="114"/>
    <n v="3102"/>
    <n v="163"/>
  </r>
  <r>
    <x v="2"/>
    <x v="2"/>
    <d v="2019-09-12T00:00:00"/>
    <x v="1"/>
    <n v="53"/>
    <n v="130"/>
    <n v="118"/>
    <n v="3103"/>
    <n v="182"/>
  </r>
  <r>
    <x v="2"/>
    <x v="2"/>
    <d v="2019-09-12T00:00:00"/>
    <x v="2"/>
    <n v="46"/>
    <n v="145"/>
    <n v="123"/>
    <n v="3104"/>
    <n v="156"/>
  </r>
  <r>
    <x v="2"/>
    <x v="2"/>
    <d v="2019-09-12T00:00:00"/>
    <x v="0"/>
    <n v="45"/>
    <n v="110"/>
    <n v="114"/>
    <n v="3105"/>
    <n v="212"/>
  </r>
  <r>
    <x v="2"/>
    <x v="2"/>
    <d v="2019-09-13T00:00:00"/>
    <x v="1"/>
    <n v="47"/>
    <n v="130"/>
    <n v="118"/>
    <n v="3113"/>
    <n v="172"/>
  </r>
  <r>
    <x v="2"/>
    <x v="2"/>
    <d v="2019-09-13T00:00:00"/>
    <x v="1"/>
    <n v="38"/>
    <n v="130"/>
    <n v="118"/>
    <n v="3112"/>
    <n v="134"/>
  </r>
  <r>
    <x v="2"/>
    <x v="2"/>
    <d v="2019-09-13T00:00:00"/>
    <x v="1"/>
    <n v="40"/>
    <n v="130"/>
    <n v="118"/>
    <n v="3111"/>
    <n v="145"/>
  </r>
  <r>
    <x v="2"/>
    <x v="2"/>
    <d v="2019-09-13T00:00:00"/>
    <x v="1"/>
    <n v="48"/>
    <n v="130"/>
    <n v="118"/>
    <n v="3110"/>
    <n v="168"/>
  </r>
  <r>
    <x v="2"/>
    <x v="2"/>
    <d v="2019-09-13T00:00:00"/>
    <x v="1"/>
    <n v="37"/>
    <n v="130"/>
    <n v="118"/>
    <n v="3109"/>
    <n v="174"/>
  </r>
  <r>
    <x v="2"/>
    <x v="2"/>
    <d v="2019-09-13T00:00:00"/>
    <x v="1"/>
    <n v="34"/>
    <n v="130"/>
    <n v="118"/>
    <n v="3107"/>
    <n v="120"/>
  </r>
  <r>
    <x v="2"/>
    <x v="2"/>
    <d v="2019-09-13T00:00:00"/>
    <x v="0"/>
    <n v="32"/>
    <n v="110"/>
    <n v="114"/>
    <n v="3108"/>
    <n v="121"/>
  </r>
  <r>
    <x v="2"/>
    <x v="2"/>
    <d v="2019-09-16T00:00:00"/>
    <x v="0"/>
    <n v="53"/>
    <n v="110"/>
    <n v="114"/>
    <n v="3117"/>
    <n v="183"/>
  </r>
  <r>
    <x v="2"/>
    <x v="2"/>
    <d v="2019-09-16T00:00:00"/>
    <x v="2"/>
    <n v="34"/>
    <n v="145"/>
    <n v="123"/>
    <n v="3116"/>
    <n v="121"/>
  </r>
  <r>
    <x v="2"/>
    <x v="2"/>
    <d v="2019-09-16T00:00:00"/>
    <x v="0"/>
    <n v="40"/>
    <n v="110"/>
    <n v="114"/>
    <n v="3115"/>
    <n v="145"/>
  </r>
  <r>
    <x v="2"/>
    <x v="2"/>
    <d v="2019-09-16T00:00:00"/>
    <x v="1"/>
    <n v="57"/>
    <n v="130"/>
    <n v="118"/>
    <n v="3114"/>
    <n v="198"/>
  </r>
  <r>
    <x v="2"/>
    <x v="2"/>
    <d v="2019-09-16T00:00:00"/>
    <x v="0"/>
    <n v="50"/>
    <n v="110"/>
    <n v="114"/>
    <n v="3118"/>
    <n v="234"/>
  </r>
  <r>
    <x v="2"/>
    <x v="2"/>
    <d v="2019-09-17T00:00:00"/>
    <x v="2"/>
    <n v="28"/>
    <n v="145"/>
    <n v="123"/>
    <n v="3125"/>
    <n v="102"/>
  </r>
  <r>
    <x v="2"/>
    <x v="2"/>
    <d v="2019-09-17T00:00:00"/>
    <x v="2"/>
    <n v="34"/>
    <n v="145"/>
    <n v="123"/>
    <n v="3119"/>
    <n v="117"/>
  </r>
  <r>
    <x v="2"/>
    <x v="2"/>
    <d v="2019-09-17T00:00:00"/>
    <x v="1"/>
    <n v="44"/>
    <n v="130"/>
    <n v="118"/>
    <n v="3120"/>
    <n v="155"/>
  </r>
  <r>
    <x v="2"/>
    <x v="2"/>
    <d v="2019-09-17T00:00:00"/>
    <x v="2"/>
    <n v="33"/>
    <n v="145"/>
    <n v="123"/>
    <n v="3121"/>
    <n v="114"/>
  </r>
  <r>
    <x v="2"/>
    <x v="2"/>
    <d v="2019-09-17T00:00:00"/>
    <x v="2"/>
    <n v="35"/>
    <n v="145"/>
    <n v="123"/>
    <n v="3122"/>
    <n v="128"/>
  </r>
  <r>
    <x v="2"/>
    <x v="2"/>
    <d v="2019-09-17T00:00:00"/>
    <x v="2"/>
    <n v="41"/>
    <n v="145"/>
    <n v="123"/>
    <n v="3123"/>
    <n v="151"/>
  </r>
  <r>
    <x v="2"/>
    <x v="2"/>
    <d v="2019-09-17T00:00:00"/>
    <x v="0"/>
    <n v="43"/>
    <n v="110"/>
    <n v="114"/>
    <n v="3124"/>
    <n v="150"/>
  </r>
  <r>
    <x v="2"/>
    <x v="2"/>
    <d v="2019-09-18T00:00:00"/>
    <x v="0"/>
    <n v="36"/>
    <n v="110"/>
    <n v="114"/>
    <n v="3129"/>
    <n v="131"/>
  </r>
  <r>
    <x v="2"/>
    <x v="2"/>
    <d v="2019-09-18T00:00:00"/>
    <x v="0"/>
    <n v="29"/>
    <n v="110"/>
    <n v="114"/>
    <n v="3128"/>
    <n v="105"/>
  </r>
  <r>
    <x v="2"/>
    <x v="2"/>
    <d v="2019-09-18T00:00:00"/>
    <x v="2"/>
    <n v="39"/>
    <n v="145"/>
    <n v="123"/>
    <n v="3126"/>
    <n v="143"/>
  </r>
  <r>
    <x v="2"/>
    <x v="2"/>
    <d v="2019-09-18T00:00:00"/>
    <x v="2"/>
    <n v="24"/>
    <n v="145"/>
    <n v="123"/>
    <n v="3127"/>
    <n v="88"/>
  </r>
  <r>
    <x v="2"/>
    <x v="2"/>
    <d v="2019-09-19T00:00:00"/>
    <x v="2"/>
    <n v="41"/>
    <n v="145"/>
    <n v="123"/>
    <n v="3133"/>
    <n v="148"/>
  </r>
  <r>
    <x v="2"/>
    <x v="2"/>
    <d v="2019-09-19T00:00:00"/>
    <x v="2"/>
    <n v="28"/>
    <n v="145"/>
    <n v="123"/>
    <n v="3130"/>
    <n v="101"/>
  </r>
  <r>
    <x v="2"/>
    <x v="2"/>
    <d v="2019-09-19T00:00:00"/>
    <x v="0"/>
    <n v="42"/>
    <n v="110"/>
    <n v="114"/>
    <n v="3131"/>
    <n v="152"/>
  </r>
  <r>
    <x v="2"/>
    <x v="2"/>
    <d v="2019-09-19T00:00:00"/>
    <x v="0"/>
    <n v="39"/>
    <n v="110"/>
    <n v="114"/>
    <n v="3132"/>
    <n v="138"/>
  </r>
  <r>
    <x v="2"/>
    <x v="2"/>
    <d v="2019-09-20T00:00:00"/>
    <x v="2"/>
    <n v="31"/>
    <n v="145"/>
    <n v="123"/>
    <n v="3137"/>
    <n v="113"/>
  </r>
  <r>
    <x v="2"/>
    <x v="2"/>
    <d v="2019-09-20T00:00:00"/>
    <x v="2"/>
    <n v="44"/>
    <n v="145"/>
    <n v="123"/>
    <n v="3138"/>
    <n v="205"/>
  </r>
  <r>
    <x v="2"/>
    <x v="2"/>
    <d v="2019-09-20T00:00:00"/>
    <x v="1"/>
    <n v="35"/>
    <n v="130"/>
    <n v="118"/>
    <n v="3139"/>
    <n v="125"/>
  </r>
  <r>
    <x v="2"/>
    <x v="2"/>
    <d v="2019-09-20T00:00:00"/>
    <x v="0"/>
    <n v="35"/>
    <n v="110"/>
    <n v="114"/>
    <n v="3134"/>
    <n v="128"/>
  </r>
  <r>
    <x v="2"/>
    <x v="2"/>
    <d v="2019-09-20T00:00:00"/>
    <x v="0"/>
    <n v="50"/>
    <n v="110"/>
    <n v="114"/>
    <n v="3135"/>
    <n v="181"/>
  </r>
  <r>
    <x v="2"/>
    <x v="2"/>
    <d v="2019-09-20T00:00:00"/>
    <x v="1"/>
    <n v="42"/>
    <n v="130"/>
    <n v="118"/>
    <n v="3136"/>
    <n v="153"/>
  </r>
  <r>
    <x v="2"/>
    <x v="2"/>
    <d v="2019-09-23T00:00:00"/>
    <x v="1"/>
    <n v="33"/>
    <n v="130"/>
    <n v="118"/>
    <n v="3140"/>
    <n v="117"/>
  </r>
  <r>
    <x v="2"/>
    <x v="2"/>
    <d v="2019-09-23T00:00:00"/>
    <x v="1"/>
    <n v="40"/>
    <n v="130"/>
    <n v="118"/>
    <n v="3141"/>
    <n v="147"/>
  </r>
  <r>
    <x v="2"/>
    <x v="2"/>
    <d v="2019-09-24T00:00:00"/>
    <x v="0"/>
    <n v="33"/>
    <n v="110"/>
    <n v="114"/>
    <n v="3145"/>
    <n v="117"/>
  </r>
  <r>
    <x v="2"/>
    <x v="2"/>
    <d v="2019-09-24T00:00:00"/>
    <x v="1"/>
    <n v="39"/>
    <n v="130"/>
    <n v="118"/>
    <n v="3146"/>
    <n v="144"/>
  </r>
  <r>
    <x v="2"/>
    <x v="2"/>
    <d v="2019-09-24T00:00:00"/>
    <x v="0"/>
    <n v="47"/>
    <n v="110"/>
    <n v="114"/>
    <n v="3144"/>
    <n v="168"/>
  </r>
  <r>
    <x v="2"/>
    <x v="2"/>
    <d v="2019-09-24T00:00:00"/>
    <x v="0"/>
    <n v="42"/>
    <n v="110"/>
    <n v="114"/>
    <n v="3143"/>
    <n v="147"/>
  </r>
  <r>
    <x v="2"/>
    <x v="2"/>
    <d v="2019-09-24T00:00:00"/>
    <x v="0"/>
    <n v="38"/>
    <n v="110"/>
    <n v="114"/>
    <n v="3142"/>
    <n v="137"/>
  </r>
  <r>
    <x v="2"/>
    <x v="2"/>
    <d v="2019-09-25T00:00:00"/>
    <x v="0"/>
    <n v="53"/>
    <n v="110"/>
    <n v="114"/>
    <n v="3148"/>
    <n v="186"/>
  </r>
  <r>
    <x v="2"/>
    <x v="2"/>
    <d v="2019-09-25T00:00:00"/>
    <x v="2"/>
    <n v="40"/>
    <n v="145"/>
    <n v="123"/>
    <n v="3149"/>
    <n v="143"/>
  </r>
  <r>
    <x v="2"/>
    <x v="2"/>
    <d v="2019-09-25T00:00:00"/>
    <x v="0"/>
    <n v="32"/>
    <n v="110"/>
    <n v="114"/>
    <n v="3150"/>
    <n v="117"/>
  </r>
  <r>
    <x v="2"/>
    <x v="2"/>
    <d v="2019-09-25T00:00:00"/>
    <x v="2"/>
    <n v="44"/>
    <n v="145"/>
    <n v="123"/>
    <n v="3147"/>
    <n v="155"/>
  </r>
  <r>
    <x v="2"/>
    <x v="2"/>
    <d v="2019-09-27T00:00:00"/>
    <x v="2"/>
    <n v="25"/>
    <n v="145"/>
    <n v="123"/>
    <n v="3151"/>
    <n v="95"/>
  </r>
  <r>
    <x v="2"/>
    <x v="2"/>
    <d v="2019-09-27T00:00:00"/>
    <x v="1"/>
    <n v="38"/>
    <n v="130"/>
    <n v="118"/>
    <n v="3152"/>
    <n v="140"/>
  </r>
  <r>
    <x v="2"/>
    <x v="2"/>
    <d v="2019-09-30T00:00:00"/>
    <x v="0"/>
    <n v="28"/>
    <n v="110"/>
    <n v="114"/>
    <n v="3153"/>
    <n v="101"/>
  </r>
  <r>
    <x v="2"/>
    <x v="2"/>
    <d v="2019-09-30T00:00:00"/>
    <x v="1"/>
    <n v="49"/>
    <n v="130"/>
    <n v="118"/>
    <n v="3157"/>
    <n v="178"/>
  </r>
  <r>
    <x v="2"/>
    <x v="2"/>
    <d v="2019-09-30T00:00:00"/>
    <x v="1"/>
    <n v="51"/>
    <n v="130"/>
    <n v="118"/>
    <n v="3158"/>
    <n v="183"/>
  </r>
  <r>
    <x v="2"/>
    <x v="2"/>
    <d v="2019-09-30T00:00:00"/>
    <x v="2"/>
    <n v="31"/>
    <n v="145"/>
    <n v="123"/>
    <n v="3156"/>
    <n v="108"/>
  </r>
  <r>
    <x v="2"/>
    <x v="2"/>
    <d v="2019-09-30T00:00:00"/>
    <x v="1"/>
    <n v="54"/>
    <n v="130"/>
    <n v="118"/>
    <n v="3154"/>
    <n v="197"/>
  </r>
  <r>
    <x v="2"/>
    <x v="2"/>
    <d v="2019-09-30T00:00:00"/>
    <x v="0"/>
    <n v="50"/>
    <n v="110"/>
    <n v="114"/>
    <n v="3155"/>
    <n v="172"/>
  </r>
  <r>
    <x v="2"/>
    <x v="3"/>
    <d v="2019-10-01T00:00:00"/>
    <x v="0"/>
    <n v="46"/>
    <n v="110"/>
    <n v="114"/>
    <n v="3159"/>
    <n v="169"/>
  </r>
  <r>
    <x v="2"/>
    <x v="3"/>
    <d v="2019-10-01T00:00:00"/>
    <x v="0"/>
    <n v="36"/>
    <n v="110"/>
    <n v="114"/>
    <n v="3160"/>
    <n v="128"/>
  </r>
  <r>
    <x v="2"/>
    <x v="3"/>
    <d v="2019-10-01T00:00:00"/>
    <x v="0"/>
    <n v="45"/>
    <n v="110"/>
    <n v="114"/>
    <n v="3161"/>
    <n v="164"/>
  </r>
  <r>
    <x v="2"/>
    <x v="3"/>
    <d v="2019-10-01T00:00:00"/>
    <x v="2"/>
    <n v="30"/>
    <n v="145"/>
    <n v="123"/>
    <n v="3162"/>
    <n v="106"/>
  </r>
  <r>
    <x v="2"/>
    <x v="3"/>
    <d v="2019-10-01T00:00:00"/>
    <x v="0"/>
    <n v="37"/>
    <n v="110"/>
    <n v="114"/>
    <n v="3163"/>
    <n v="131"/>
  </r>
  <r>
    <x v="2"/>
    <x v="3"/>
    <d v="2019-10-01T00:00:00"/>
    <x v="2"/>
    <n v="35"/>
    <n v="145"/>
    <n v="123"/>
    <n v="3164"/>
    <n v="127"/>
  </r>
  <r>
    <x v="2"/>
    <x v="3"/>
    <d v="2019-10-02T00:00:00"/>
    <x v="1"/>
    <n v="49"/>
    <n v="130"/>
    <n v="118"/>
    <n v="3165"/>
    <n v="176"/>
  </r>
  <r>
    <x v="2"/>
    <x v="3"/>
    <d v="2019-10-02T00:00:00"/>
    <x v="1"/>
    <n v="40"/>
    <n v="130"/>
    <n v="118"/>
    <n v="3166"/>
    <n v="148"/>
  </r>
  <r>
    <x v="2"/>
    <x v="3"/>
    <d v="2019-10-03T00:00:00"/>
    <x v="2"/>
    <n v="22"/>
    <n v="145"/>
    <n v="123"/>
    <n v="3167"/>
    <n v="80"/>
  </r>
  <r>
    <x v="2"/>
    <x v="3"/>
    <d v="2019-10-04T00:00:00"/>
    <x v="2"/>
    <n v="40"/>
    <n v="145"/>
    <n v="123"/>
    <n v="3171"/>
    <n v="141"/>
  </r>
  <r>
    <x v="2"/>
    <x v="3"/>
    <d v="2019-10-04T00:00:00"/>
    <x v="1"/>
    <n v="41"/>
    <n v="130"/>
    <n v="118"/>
    <n v="3173"/>
    <n v="146"/>
  </r>
  <r>
    <x v="2"/>
    <x v="3"/>
    <d v="2019-10-04T00:00:00"/>
    <x v="1"/>
    <n v="39"/>
    <n v="130"/>
    <n v="118"/>
    <n v="3172"/>
    <n v="183"/>
  </r>
  <r>
    <x v="2"/>
    <x v="3"/>
    <d v="2019-10-04T00:00:00"/>
    <x v="0"/>
    <n v="28"/>
    <n v="110"/>
    <n v="114"/>
    <n v="3169"/>
    <n v="98"/>
  </r>
  <r>
    <x v="2"/>
    <x v="3"/>
    <d v="2019-10-04T00:00:00"/>
    <x v="2"/>
    <n v="25"/>
    <n v="145"/>
    <n v="123"/>
    <n v="3168"/>
    <n v="115"/>
  </r>
  <r>
    <x v="2"/>
    <x v="3"/>
    <d v="2019-10-04T00:00:00"/>
    <x v="1"/>
    <n v="34"/>
    <n v="130"/>
    <n v="118"/>
    <n v="3170"/>
    <n v="118"/>
  </r>
  <r>
    <x v="2"/>
    <x v="3"/>
    <d v="2019-10-07T00:00:00"/>
    <x v="1"/>
    <n v="32"/>
    <n v="130"/>
    <n v="118"/>
    <n v="3174"/>
    <n v="116"/>
  </r>
  <r>
    <x v="2"/>
    <x v="3"/>
    <d v="2019-10-07T00:00:00"/>
    <x v="2"/>
    <n v="35"/>
    <n v="145"/>
    <n v="123"/>
    <n v="3175"/>
    <n v="128"/>
  </r>
  <r>
    <x v="2"/>
    <x v="3"/>
    <d v="2019-10-08T00:00:00"/>
    <x v="2"/>
    <n v="29"/>
    <n v="145"/>
    <n v="123"/>
    <n v="3178"/>
    <n v="100"/>
  </r>
  <r>
    <x v="2"/>
    <x v="3"/>
    <d v="2019-10-08T00:00:00"/>
    <x v="2"/>
    <n v="45"/>
    <n v="145"/>
    <n v="123"/>
    <n v="3181"/>
    <n v="162"/>
  </r>
  <r>
    <x v="2"/>
    <x v="3"/>
    <d v="2019-10-08T00:00:00"/>
    <x v="1"/>
    <n v="49"/>
    <n v="130"/>
    <n v="118"/>
    <n v="3179"/>
    <n v="179"/>
  </r>
  <r>
    <x v="2"/>
    <x v="3"/>
    <d v="2019-10-08T00:00:00"/>
    <x v="0"/>
    <n v="29"/>
    <n v="110"/>
    <n v="114"/>
    <n v="3177"/>
    <n v="103"/>
  </r>
  <r>
    <x v="2"/>
    <x v="3"/>
    <d v="2019-10-08T00:00:00"/>
    <x v="2"/>
    <n v="39"/>
    <n v="145"/>
    <n v="123"/>
    <n v="3176"/>
    <n v="144"/>
  </r>
  <r>
    <x v="2"/>
    <x v="3"/>
    <d v="2019-10-08T00:00:00"/>
    <x v="1"/>
    <n v="41"/>
    <n v="130"/>
    <n v="118"/>
    <n v="3180"/>
    <n v="143"/>
  </r>
  <r>
    <x v="2"/>
    <x v="3"/>
    <d v="2019-10-09T00:00:00"/>
    <x v="1"/>
    <n v="50"/>
    <n v="130"/>
    <n v="118"/>
    <n v="3182"/>
    <n v="172"/>
  </r>
  <r>
    <x v="2"/>
    <x v="3"/>
    <d v="2019-10-09T00:00:00"/>
    <x v="2"/>
    <n v="42"/>
    <n v="145"/>
    <n v="123"/>
    <n v="3183"/>
    <n v="148"/>
  </r>
  <r>
    <x v="2"/>
    <x v="3"/>
    <d v="2019-10-09T00:00:00"/>
    <x v="1"/>
    <n v="42"/>
    <n v="130"/>
    <n v="118"/>
    <n v="3184"/>
    <n v="155"/>
  </r>
  <r>
    <x v="2"/>
    <x v="3"/>
    <d v="2019-10-09T00:00:00"/>
    <x v="0"/>
    <n v="40"/>
    <n v="110"/>
    <n v="114"/>
    <n v="3185"/>
    <n v="147"/>
  </r>
  <r>
    <x v="2"/>
    <x v="3"/>
    <d v="2019-10-10T00:00:00"/>
    <x v="0"/>
    <n v="43"/>
    <n v="110"/>
    <n v="114"/>
    <n v="3189"/>
    <n v="148"/>
  </r>
  <r>
    <x v="2"/>
    <x v="3"/>
    <d v="2019-10-10T00:00:00"/>
    <x v="2"/>
    <n v="37"/>
    <n v="145"/>
    <n v="123"/>
    <n v="3190"/>
    <n v="133"/>
  </r>
  <r>
    <x v="2"/>
    <x v="3"/>
    <d v="2019-10-10T00:00:00"/>
    <x v="1"/>
    <n v="41"/>
    <n v="130"/>
    <n v="118"/>
    <n v="3187"/>
    <n v="146"/>
  </r>
  <r>
    <x v="2"/>
    <x v="3"/>
    <d v="2019-10-10T00:00:00"/>
    <x v="1"/>
    <n v="34"/>
    <n v="130"/>
    <n v="118"/>
    <n v="3186"/>
    <n v="117"/>
  </r>
  <r>
    <x v="2"/>
    <x v="3"/>
    <d v="2019-10-10T00:00:00"/>
    <x v="2"/>
    <n v="42"/>
    <n v="145"/>
    <n v="123"/>
    <n v="3191"/>
    <n v="146"/>
  </r>
  <r>
    <x v="2"/>
    <x v="3"/>
    <d v="2019-10-10T00:00:00"/>
    <x v="1"/>
    <n v="53"/>
    <n v="130"/>
    <n v="118"/>
    <n v="3188"/>
    <n v="187"/>
  </r>
  <r>
    <x v="2"/>
    <x v="3"/>
    <d v="2019-10-11T00:00:00"/>
    <x v="1"/>
    <n v="37"/>
    <n v="130"/>
    <n v="118"/>
    <n v="3197"/>
    <n v="130"/>
  </r>
  <r>
    <x v="2"/>
    <x v="3"/>
    <d v="2019-10-11T00:00:00"/>
    <x v="2"/>
    <n v="23"/>
    <n v="145"/>
    <n v="123"/>
    <n v="3198"/>
    <n v="82"/>
  </r>
  <r>
    <x v="2"/>
    <x v="3"/>
    <d v="2019-10-11T00:00:00"/>
    <x v="1"/>
    <n v="55"/>
    <n v="130"/>
    <n v="118"/>
    <n v="3196"/>
    <n v="192"/>
  </r>
  <r>
    <x v="2"/>
    <x v="3"/>
    <d v="2019-10-11T00:00:00"/>
    <x v="0"/>
    <n v="49"/>
    <n v="110"/>
    <n v="114"/>
    <n v="3195"/>
    <n v="180"/>
  </r>
  <r>
    <x v="2"/>
    <x v="3"/>
    <d v="2019-10-11T00:00:00"/>
    <x v="0"/>
    <n v="34"/>
    <n v="110"/>
    <n v="114"/>
    <n v="3194"/>
    <n v="120"/>
  </r>
  <r>
    <x v="2"/>
    <x v="3"/>
    <d v="2019-10-11T00:00:00"/>
    <x v="0"/>
    <n v="31"/>
    <n v="110"/>
    <n v="114"/>
    <n v="3193"/>
    <n v="106"/>
  </r>
  <r>
    <x v="2"/>
    <x v="3"/>
    <d v="2019-10-11T00:00:00"/>
    <x v="1"/>
    <n v="54"/>
    <n v="130"/>
    <n v="118"/>
    <n v="3192"/>
    <n v="199"/>
  </r>
  <r>
    <x v="2"/>
    <x v="3"/>
    <d v="2019-10-14T00:00:00"/>
    <x v="1"/>
    <n v="47"/>
    <n v="130"/>
    <n v="118"/>
    <n v="3200"/>
    <n v="164"/>
  </r>
  <r>
    <x v="2"/>
    <x v="3"/>
    <d v="2019-10-14T00:00:00"/>
    <x v="2"/>
    <n v="38"/>
    <n v="145"/>
    <n v="123"/>
    <n v="3199"/>
    <n v="137"/>
  </r>
  <r>
    <x v="2"/>
    <x v="3"/>
    <d v="2019-10-15T00:00:00"/>
    <x v="2"/>
    <n v="39"/>
    <n v="145"/>
    <n v="123"/>
    <n v="3206"/>
    <n v="139"/>
  </r>
  <r>
    <x v="2"/>
    <x v="3"/>
    <d v="2019-10-15T00:00:00"/>
    <x v="2"/>
    <n v="20"/>
    <n v="145"/>
    <n v="123"/>
    <n v="3201"/>
    <n v="72"/>
  </r>
  <r>
    <x v="2"/>
    <x v="3"/>
    <d v="2019-10-15T00:00:00"/>
    <x v="1"/>
    <n v="34"/>
    <n v="130"/>
    <n v="118"/>
    <n v="3202"/>
    <n v="123"/>
  </r>
  <r>
    <x v="2"/>
    <x v="3"/>
    <d v="2019-10-15T00:00:00"/>
    <x v="1"/>
    <n v="31"/>
    <n v="130"/>
    <n v="118"/>
    <n v="3203"/>
    <n v="110"/>
  </r>
  <r>
    <x v="2"/>
    <x v="3"/>
    <d v="2019-10-15T00:00:00"/>
    <x v="2"/>
    <n v="34"/>
    <n v="145"/>
    <n v="123"/>
    <n v="3204"/>
    <n v="118"/>
  </r>
  <r>
    <x v="2"/>
    <x v="3"/>
    <d v="2019-10-15T00:00:00"/>
    <x v="2"/>
    <n v="40"/>
    <n v="145"/>
    <n v="123"/>
    <n v="3205"/>
    <n v="143"/>
  </r>
  <r>
    <x v="2"/>
    <x v="3"/>
    <d v="2019-10-17T00:00:00"/>
    <x v="2"/>
    <n v="32"/>
    <n v="145"/>
    <n v="123"/>
    <n v="3211"/>
    <n v="117"/>
  </r>
  <r>
    <x v="2"/>
    <x v="3"/>
    <d v="2019-10-17T00:00:00"/>
    <x v="2"/>
    <n v="42"/>
    <n v="145"/>
    <n v="123"/>
    <n v="3210"/>
    <n v="144"/>
  </r>
  <r>
    <x v="2"/>
    <x v="3"/>
    <d v="2019-10-17T00:00:00"/>
    <x v="1"/>
    <n v="50"/>
    <n v="130"/>
    <n v="118"/>
    <n v="3207"/>
    <n v="184"/>
  </r>
  <r>
    <x v="2"/>
    <x v="3"/>
    <d v="2019-10-17T00:00:00"/>
    <x v="1"/>
    <n v="31"/>
    <n v="130"/>
    <n v="118"/>
    <n v="3208"/>
    <n v="108"/>
  </r>
  <r>
    <x v="2"/>
    <x v="3"/>
    <d v="2019-10-17T00:00:00"/>
    <x v="1"/>
    <n v="39"/>
    <n v="130"/>
    <n v="118"/>
    <n v="3209"/>
    <n v="137"/>
  </r>
  <r>
    <x v="2"/>
    <x v="3"/>
    <d v="2019-10-18T00:00:00"/>
    <x v="0"/>
    <n v="32"/>
    <n v="110"/>
    <n v="114"/>
    <n v="3217"/>
    <n v="150"/>
  </r>
  <r>
    <x v="2"/>
    <x v="3"/>
    <d v="2019-10-18T00:00:00"/>
    <x v="1"/>
    <n v="55"/>
    <n v="130"/>
    <n v="118"/>
    <n v="3218"/>
    <n v="189"/>
  </r>
  <r>
    <x v="2"/>
    <x v="3"/>
    <d v="2019-10-18T00:00:00"/>
    <x v="1"/>
    <n v="35"/>
    <n v="130"/>
    <n v="118"/>
    <n v="3216"/>
    <n v="128"/>
  </r>
  <r>
    <x v="2"/>
    <x v="3"/>
    <d v="2019-10-18T00:00:00"/>
    <x v="0"/>
    <n v="32"/>
    <n v="110"/>
    <n v="114"/>
    <n v="3215"/>
    <n v="117"/>
  </r>
  <r>
    <x v="2"/>
    <x v="3"/>
    <d v="2019-10-18T00:00:00"/>
    <x v="1"/>
    <n v="45"/>
    <n v="130"/>
    <n v="118"/>
    <n v="3214"/>
    <n v="156"/>
  </r>
  <r>
    <x v="2"/>
    <x v="3"/>
    <d v="2019-10-18T00:00:00"/>
    <x v="2"/>
    <n v="31"/>
    <n v="145"/>
    <n v="123"/>
    <n v="3213"/>
    <n v="110"/>
  </r>
  <r>
    <x v="2"/>
    <x v="3"/>
    <d v="2019-10-18T00:00:00"/>
    <x v="0"/>
    <n v="28"/>
    <n v="110"/>
    <n v="114"/>
    <n v="3212"/>
    <n v="100"/>
  </r>
  <r>
    <x v="2"/>
    <x v="3"/>
    <d v="2019-10-21T00:00:00"/>
    <x v="2"/>
    <n v="25"/>
    <n v="145"/>
    <n v="123"/>
    <n v="3220"/>
    <n v="115"/>
  </r>
  <r>
    <x v="2"/>
    <x v="3"/>
    <d v="2019-10-21T00:00:00"/>
    <x v="0"/>
    <n v="27"/>
    <n v="110"/>
    <n v="114"/>
    <n v="3221"/>
    <n v="96"/>
  </r>
  <r>
    <x v="2"/>
    <x v="3"/>
    <d v="2019-10-21T00:00:00"/>
    <x v="2"/>
    <n v="32"/>
    <n v="145"/>
    <n v="123"/>
    <n v="3222"/>
    <n v="114"/>
  </r>
  <r>
    <x v="2"/>
    <x v="3"/>
    <d v="2019-10-21T00:00:00"/>
    <x v="0"/>
    <n v="34"/>
    <n v="110"/>
    <n v="114"/>
    <n v="3223"/>
    <n v="124"/>
  </r>
  <r>
    <x v="2"/>
    <x v="3"/>
    <d v="2019-10-21T00:00:00"/>
    <x v="2"/>
    <n v="38"/>
    <n v="145"/>
    <n v="123"/>
    <n v="3219"/>
    <n v="178"/>
  </r>
  <r>
    <x v="2"/>
    <x v="3"/>
    <d v="2019-10-22T00:00:00"/>
    <x v="2"/>
    <n v="25"/>
    <n v="145"/>
    <n v="123"/>
    <n v="3224"/>
    <n v="117"/>
  </r>
  <r>
    <x v="2"/>
    <x v="3"/>
    <d v="2019-10-23T00:00:00"/>
    <x v="2"/>
    <n v="31"/>
    <n v="145"/>
    <n v="123"/>
    <n v="3227"/>
    <n v="111"/>
  </r>
  <r>
    <x v="2"/>
    <x v="3"/>
    <d v="2019-10-23T00:00:00"/>
    <x v="1"/>
    <n v="56"/>
    <n v="130"/>
    <n v="118"/>
    <n v="3228"/>
    <n v="196"/>
  </r>
  <r>
    <x v="2"/>
    <x v="3"/>
    <d v="2019-10-23T00:00:00"/>
    <x v="2"/>
    <n v="38"/>
    <n v="145"/>
    <n v="123"/>
    <n v="3226"/>
    <n v="178"/>
  </r>
  <r>
    <x v="2"/>
    <x v="3"/>
    <d v="2019-10-23T00:00:00"/>
    <x v="0"/>
    <n v="40"/>
    <n v="110"/>
    <n v="114"/>
    <n v="3225"/>
    <n v="143"/>
  </r>
  <r>
    <x v="2"/>
    <x v="3"/>
    <d v="2019-10-24T00:00:00"/>
    <x v="1"/>
    <n v="31"/>
    <n v="130"/>
    <n v="118"/>
    <n v="3230"/>
    <n v="112"/>
  </r>
  <r>
    <x v="2"/>
    <x v="3"/>
    <d v="2019-10-24T00:00:00"/>
    <x v="1"/>
    <n v="39"/>
    <n v="130"/>
    <n v="118"/>
    <n v="3231"/>
    <n v="145"/>
  </r>
  <r>
    <x v="2"/>
    <x v="3"/>
    <d v="2019-10-24T00:00:00"/>
    <x v="0"/>
    <n v="45"/>
    <n v="110"/>
    <n v="114"/>
    <n v="3232"/>
    <n v="160"/>
  </r>
  <r>
    <x v="2"/>
    <x v="3"/>
    <d v="2019-10-24T00:00:00"/>
    <x v="1"/>
    <n v="43"/>
    <n v="130"/>
    <n v="118"/>
    <n v="3229"/>
    <n v="148"/>
  </r>
  <r>
    <x v="2"/>
    <x v="3"/>
    <d v="2019-10-25T00:00:00"/>
    <x v="0"/>
    <n v="29"/>
    <n v="110"/>
    <n v="114"/>
    <n v="3233"/>
    <n v="102"/>
  </r>
  <r>
    <x v="2"/>
    <x v="3"/>
    <d v="2019-10-25T00:00:00"/>
    <x v="1"/>
    <n v="50"/>
    <n v="130"/>
    <n v="118"/>
    <n v="3234"/>
    <n v="173"/>
  </r>
  <r>
    <x v="2"/>
    <x v="3"/>
    <d v="2019-10-25T00:00:00"/>
    <x v="0"/>
    <n v="29"/>
    <n v="110"/>
    <n v="114"/>
    <n v="3235"/>
    <n v="105"/>
  </r>
  <r>
    <x v="2"/>
    <x v="3"/>
    <d v="2019-10-28T00:00:00"/>
    <x v="1"/>
    <n v="34"/>
    <n v="130"/>
    <n v="118"/>
    <n v="3236"/>
    <n v="120"/>
  </r>
  <r>
    <x v="2"/>
    <x v="3"/>
    <d v="2019-10-29T00:00:00"/>
    <x v="1"/>
    <n v="55"/>
    <n v="130"/>
    <n v="118"/>
    <n v="3242"/>
    <n v="193"/>
  </r>
  <r>
    <x v="2"/>
    <x v="3"/>
    <d v="2019-10-29T00:00:00"/>
    <x v="2"/>
    <n v="24"/>
    <n v="145"/>
    <n v="123"/>
    <n v="3241"/>
    <n v="86"/>
  </r>
  <r>
    <x v="2"/>
    <x v="3"/>
    <d v="2019-10-29T00:00:00"/>
    <x v="2"/>
    <n v="36"/>
    <n v="145"/>
    <n v="123"/>
    <n v="3240"/>
    <n v="168"/>
  </r>
  <r>
    <x v="2"/>
    <x v="3"/>
    <d v="2019-10-29T00:00:00"/>
    <x v="1"/>
    <n v="41"/>
    <n v="130"/>
    <n v="118"/>
    <n v="3239"/>
    <n v="146"/>
  </r>
  <r>
    <x v="2"/>
    <x v="3"/>
    <d v="2019-10-29T00:00:00"/>
    <x v="2"/>
    <n v="32"/>
    <n v="145"/>
    <n v="123"/>
    <n v="3237"/>
    <n v="148"/>
  </r>
  <r>
    <x v="2"/>
    <x v="3"/>
    <d v="2019-10-29T00:00:00"/>
    <x v="1"/>
    <n v="35"/>
    <n v="130"/>
    <n v="118"/>
    <n v="3243"/>
    <n v="120"/>
  </r>
  <r>
    <x v="2"/>
    <x v="3"/>
    <d v="2019-10-29T00:00:00"/>
    <x v="0"/>
    <n v="48"/>
    <n v="110"/>
    <n v="114"/>
    <n v="3238"/>
    <n v="176"/>
  </r>
  <r>
    <x v="2"/>
    <x v="3"/>
    <d v="2019-10-30T00:00:00"/>
    <x v="2"/>
    <n v="39"/>
    <n v="145"/>
    <n v="123"/>
    <n v="3248"/>
    <n v="181"/>
  </r>
  <r>
    <x v="2"/>
    <x v="3"/>
    <d v="2019-10-30T00:00:00"/>
    <x v="2"/>
    <n v="44"/>
    <n v="145"/>
    <n v="123"/>
    <n v="3250"/>
    <n v="155"/>
  </r>
  <r>
    <x v="2"/>
    <x v="3"/>
    <d v="2019-10-30T00:00:00"/>
    <x v="1"/>
    <n v="40"/>
    <n v="130"/>
    <n v="118"/>
    <n v="3249"/>
    <n v="139"/>
  </r>
  <r>
    <x v="2"/>
    <x v="3"/>
    <d v="2019-10-30T00:00:00"/>
    <x v="1"/>
    <n v="34"/>
    <n v="130"/>
    <n v="118"/>
    <n v="3246"/>
    <n v="124"/>
  </r>
  <r>
    <x v="2"/>
    <x v="3"/>
    <d v="2019-10-30T00:00:00"/>
    <x v="1"/>
    <n v="52"/>
    <n v="130"/>
    <n v="118"/>
    <n v="3245"/>
    <n v="179"/>
  </r>
  <r>
    <x v="2"/>
    <x v="3"/>
    <d v="2019-10-30T00:00:00"/>
    <x v="1"/>
    <n v="39"/>
    <n v="130"/>
    <n v="118"/>
    <n v="3244"/>
    <n v="134"/>
  </r>
  <r>
    <x v="2"/>
    <x v="3"/>
    <d v="2019-10-30T00:00:00"/>
    <x v="0"/>
    <n v="39"/>
    <n v="110"/>
    <n v="114"/>
    <n v="3247"/>
    <n v="138"/>
  </r>
  <r>
    <x v="2"/>
    <x v="3"/>
    <d v="2019-10-31T00:00:00"/>
    <x v="1"/>
    <n v="54"/>
    <n v="130"/>
    <n v="118"/>
    <n v="3254"/>
    <n v="184"/>
  </r>
  <r>
    <x v="2"/>
    <x v="3"/>
    <d v="2019-10-31T00:00:00"/>
    <x v="1"/>
    <n v="33"/>
    <n v="130"/>
    <n v="118"/>
    <n v="3255"/>
    <n v="119"/>
  </r>
  <r>
    <x v="2"/>
    <x v="3"/>
    <d v="2019-10-31T00:00:00"/>
    <x v="2"/>
    <n v="44"/>
    <n v="145"/>
    <n v="123"/>
    <n v="3253"/>
    <n v="152"/>
  </r>
  <r>
    <x v="2"/>
    <x v="3"/>
    <d v="2019-10-31T00:00:00"/>
    <x v="2"/>
    <n v="43"/>
    <n v="145"/>
    <n v="123"/>
    <n v="3252"/>
    <n v="199"/>
  </r>
  <r>
    <x v="2"/>
    <x v="3"/>
    <d v="2019-10-31T00:00:00"/>
    <x v="1"/>
    <n v="32"/>
    <n v="130"/>
    <n v="118"/>
    <n v="3251"/>
    <n v="117"/>
  </r>
  <r>
    <x v="2"/>
    <x v="3"/>
    <d v="2019-10-31T00:00:00"/>
    <x v="1"/>
    <n v="46"/>
    <n v="130"/>
    <n v="118"/>
    <n v="3256"/>
    <n v="165"/>
  </r>
  <r>
    <x v="2"/>
    <x v="3"/>
    <d v="2019-11-01T00:00:00"/>
    <x v="1"/>
    <n v="31"/>
    <n v="130"/>
    <n v="118"/>
    <n v="3257"/>
    <n v="143"/>
  </r>
  <r>
    <x v="2"/>
    <x v="3"/>
    <d v="2019-11-04T00:00:00"/>
    <x v="2"/>
    <n v="28"/>
    <n v="145"/>
    <n v="123"/>
    <n v="3262"/>
    <n v="98"/>
  </r>
  <r>
    <x v="2"/>
    <x v="3"/>
    <d v="2019-11-04T00:00:00"/>
    <x v="1"/>
    <n v="55"/>
    <n v="130"/>
    <n v="118"/>
    <n v="3258"/>
    <n v="193"/>
  </r>
  <r>
    <x v="2"/>
    <x v="3"/>
    <d v="2019-11-04T00:00:00"/>
    <x v="1"/>
    <n v="43"/>
    <n v="130"/>
    <n v="118"/>
    <n v="3259"/>
    <n v="148"/>
  </r>
  <r>
    <x v="2"/>
    <x v="3"/>
    <d v="2019-11-04T00:00:00"/>
    <x v="2"/>
    <n v="33"/>
    <n v="145"/>
    <n v="123"/>
    <n v="3260"/>
    <n v="121"/>
  </r>
  <r>
    <x v="2"/>
    <x v="3"/>
    <d v="2019-11-04T00:00:00"/>
    <x v="2"/>
    <n v="26"/>
    <n v="145"/>
    <n v="123"/>
    <n v="3261"/>
    <n v="91"/>
  </r>
  <r>
    <x v="2"/>
    <x v="3"/>
    <d v="2019-11-05T00:00:00"/>
    <x v="0"/>
    <n v="29"/>
    <n v="110"/>
    <n v="114"/>
    <n v="3264"/>
    <n v="105"/>
  </r>
  <r>
    <x v="2"/>
    <x v="3"/>
    <d v="2019-11-05T00:00:00"/>
    <x v="0"/>
    <n v="37"/>
    <n v="110"/>
    <n v="114"/>
    <n v="3263"/>
    <n v="132"/>
  </r>
  <r>
    <x v="2"/>
    <x v="3"/>
    <d v="2019-11-06T00:00:00"/>
    <x v="2"/>
    <n v="20"/>
    <n v="145"/>
    <n v="123"/>
    <n v="3270"/>
    <n v="71"/>
  </r>
  <r>
    <x v="2"/>
    <x v="3"/>
    <d v="2019-11-06T00:00:00"/>
    <x v="2"/>
    <n v="30"/>
    <n v="145"/>
    <n v="123"/>
    <n v="3271"/>
    <n v="104"/>
  </r>
  <r>
    <x v="2"/>
    <x v="3"/>
    <d v="2019-11-06T00:00:00"/>
    <x v="2"/>
    <n v="29"/>
    <n v="145"/>
    <n v="123"/>
    <n v="3269"/>
    <n v="100"/>
  </r>
  <r>
    <x v="2"/>
    <x v="3"/>
    <d v="2019-11-06T00:00:00"/>
    <x v="2"/>
    <n v="40"/>
    <n v="145"/>
    <n v="123"/>
    <n v="3268"/>
    <n v="185"/>
  </r>
  <r>
    <x v="2"/>
    <x v="3"/>
    <d v="2019-11-06T00:00:00"/>
    <x v="0"/>
    <n v="34"/>
    <n v="110"/>
    <n v="114"/>
    <n v="3267"/>
    <n v="120"/>
  </r>
  <r>
    <x v="2"/>
    <x v="3"/>
    <d v="2019-11-06T00:00:00"/>
    <x v="1"/>
    <n v="55"/>
    <n v="130"/>
    <n v="118"/>
    <n v="3266"/>
    <n v="193"/>
  </r>
  <r>
    <x v="2"/>
    <x v="3"/>
    <d v="2019-11-06T00:00:00"/>
    <x v="1"/>
    <n v="42"/>
    <n v="130"/>
    <n v="118"/>
    <n v="3270"/>
    <n v="153"/>
  </r>
  <r>
    <x v="2"/>
    <x v="3"/>
    <d v="2019-11-08T00:00:00"/>
    <x v="1"/>
    <n v="31"/>
    <n v="130"/>
    <n v="118"/>
    <n v="3272"/>
    <n v="111"/>
  </r>
  <r>
    <x v="2"/>
    <x v="3"/>
    <d v="2019-11-11T00:00:00"/>
    <x v="0"/>
    <n v="37"/>
    <n v="110"/>
    <n v="114"/>
    <n v="3273"/>
    <n v="132"/>
  </r>
  <r>
    <x v="2"/>
    <x v="3"/>
    <d v="2019-11-11T00:00:00"/>
    <x v="0"/>
    <n v="45"/>
    <n v="110"/>
    <n v="114"/>
    <n v="3274"/>
    <n v="156"/>
  </r>
  <r>
    <x v="2"/>
    <x v="3"/>
    <d v="2019-11-11T00:00:00"/>
    <x v="0"/>
    <n v="29"/>
    <n v="110"/>
    <n v="114"/>
    <n v="3275"/>
    <n v="101"/>
  </r>
  <r>
    <x v="2"/>
    <x v="3"/>
    <d v="2019-11-11T00:00:00"/>
    <x v="0"/>
    <n v="29"/>
    <n v="110"/>
    <n v="114"/>
    <n v="3276"/>
    <n v="100"/>
  </r>
  <r>
    <x v="2"/>
    <x v="3"/>
    <d v="2019-11-12T00:00:00"/>
    <x v="1"/>
    <n v="41"/>
    <n v="130"/>
    <n v="118"/>
    <n v="3281"/>
    <n v="146"/>
  </r>
  <r>
    <x v="2"/>
    <x v="3"/>
    <d v="2019-11-12T00:00:00"/>
    <x v="1"/>
    <n v="54"/>
    <n v="130"/>
    <n v="118"/>
    <n v="3280"/>
    <n v="190"/>
  </r>
  <r>
    <x v="2"/>
    <x v="3"/>
    <d v="2019-11-12T00:00:00"/>
    <x v="0"/>
    <n v="28"/>
    <n v="110"/>
    <n v="114"/>
    <n v="3279"/>
    <n v="102"/>
  </r>
  <r>
    <x v="2"/>
    <x v="3"/>
    <d v="2019-11-12T00:00:00"/>
    <x v="2"/>
    <n v="46"/>
    <n v="145"/>
    <n v="123"/>
    <n v="3278"/>
    <n v="160"/>
  </r>
  <r>
    <x v="2"/>
    <x v="3"/>
    <d v="2019-11-12T00:00:00"/>
    <x v="2"/>
    <n v="33"/>
    <n v="145"/>
    <n v="123"/>
    <n v="3277"/>
    <n v="122"/>
  </r>
  <r>
    <x v="2"/>
    <x v="3"/>
    <d v="2019-11-14T00:00:00"/>
    <x v="2"/>
    <n v="23"/>
    <n v="145"/>
    <n v="123"/>
    <n v="3283"/>
    <n v="84"/>
  </r>
  <r>
    <x v="2"/>
    <x v="3"/>
    <d v="2019-11-14T00:00:00"/>
    <x v="2"/>
    <n v="43"/>
    <n v="145"/>
    <n v="123"/>
    <n v="3284"/>
    <n v="148"/>
  </r>
  <r>
    <x v="2"/>
    <x v="3"/>
    <d v="2019-11-14T00:00:00"/>
    <x v="0"/>
    <n v="28"/>
    <n v="110"/>
    <n v="114"/>
    <n v="3285"/>
    <n v="101"/>
  </r>
  <r>
    <x v="2"/>
    <x v="3"/>
    <d v="2019-11-14T00:00:00"/>
    <x v="1"/>
    <n v="37"/>
    <n v="130"/>
    <n v="118"/>
    <n v="3282"/>
    <n v="130"/>
  </r>
  <r>
    <x v="2"/>
    <x v="3"/>
    <d v="2019-11-15T00:00:00"/>
    <x v="1"/>
    <n v="39"/>
    <n v="130"/>
    <n v="118"/>
    <n v="3288"/>
    <n v="136"/>
  </r>
  <r>
    <x v="2"/>
    <x v="3"/>
    <d v="2019-11-15T00:00:00"/>
    <x v="1"/>
    <n v="42"/>
    <n v="130"/>
    <n v="118"/>
    <n v="3292"/>
    <n v="146"/>
  </r>
  <r>
    <x v="2"/>
    <x v="3"/>
    <d v="2019-11-15T00:00:00"/>
    <x v="1"/>
    <n v="42"/>
    <n v="130"/>
    <n v="118"/>
    <n v="3291"/>
    <n v="152"/>
  </r>
  <r>
    <x v="2"/>
    <x v="3"/>
    <d v="2019-11-15T00:00:00"/>
    <x v="1"/>
    <n v="35"/>
    <n v="130"/>
    <n v="118"/>
    <n v="3289"/>
    <n v="132"/>
  </r>
  <r>
    <x v="2"/>
    <x v="3"/>
    <d v="2019-11-15T00:00:00"/>
    <x v="1"/>
    <n v="41"/>
    <n v="130"/>
    <n v="118"/>
    <n v="3287"/>
    <n v="146"/>
  </r>
  <r>
    <x v="2"/>
    <x v="3"/>
    <d v="2019-11-15T00:00:00"/>
    <x v="1"/>
    <n v="48"/>
    <n v="130"/>
    <n v="118"/>
    <n v="3286"/>
    <n v="166"/>
  </r>
  <r>
    <x v="2"/>
    <x v="3"/>
    <d v="2019-11-15T00:00:00"/>
    <x v="2"/>
    <n v="28"/>
    <n v="145"/>
    <n v="123"/>
    <n v="3290"/>
    <n v="102"/>
  </r>
  <r>
    <x v="2"/>
    <x v="3"/>
    <d v="2019-11-18T00:00:00"/>
    <x v="1"/>
    <n v="31"/>
    <n v="130"/>
    <n v="118"/>
    <n v="3293"/>
    <n v="108"/>
  </r>
  <r>
    <x v="2"/>
    <x v="3"/>
    <d v="2019-11-18T00:00:00"/>
    <x v="2"/>
    <n v="44"/>
    <n v="145"/>
    <n v="123"/>
    <n v="3294"/>
    <n v="158"/>
  </r>
  <r>
    <x v="2"/>
    <x v="3"/>
    <d v="2019-11-18T00:00:00"/>
    <x v="2"/>
    <n v="28"/>
    <n v="145"/>
    <n v="123"/>
    <n v="3295"/>
    <n v="100"/>
  </r>
  <r>
    <x v="2"/>
    <x v="3"/>
    <d v="2019-11-18T00:00:00"/>
    <x v="2"/>
    <n v="34"/>
    <n v="145"/>
    <n v="123"/>
    <n v="3296"/>
    <n v="120"/>
  </r>
  <r>
    <x v="2"/>
    <x v="3"/>
    <d v="2019-11-19T00:00:00"/>
    <x v="1"/>
    <n v="34"/>
    <n v="130"/>
    <n v="118"/>
    <n v="3297"/>
    <n v="159"/>
  </r>
  <r>
    <x v="2"/>
    <x v="3"/>
    <d v="2019-11-19T00:00:00"/>
    <x v="0"/>
    <n v="36"/>
    <n v="110"/>
    <n v="114"/>
    <n v="3302"/>
    <n v="169"/>
  </r>
  <r>
    <x v="2"/>
    <x v="3"/>
    <d v="2019-11-19T00:00:00"/>
    <x v="0"/>
    <n v="37"/>
    <n v="110"/>
    <n v="114"/>
    <n v="3301"/>
    <n v="128"/>
  </r>
  <r>
    <x v="2"/>
    <x v="3"/>
    <d v="2019-11-19T00:00:00"/>
    <x v="0"/>
    <n v="43"/>
    <n v="110"/>
    <n v="114"/>
    <n v="3298"/>
    <n v="157"/>
  </r>
  <r>
    <x v="2"/>
    <x v="3"/>
    <d v="2019-11-19T00:00:00"/>
    <x v="1"/>
    <n v="51"/>
    <n v="130"/>
    <n v="118"/>
    <n v="3299"/>
    <n v="196"/>
  </r>
  <r>
    <x v="2"/>
    <x v="3"/>
    <d v="2019-11-19T00:00:00"/>
    <x v="0"/>
    <n v="36"/>
    <n v="110"/>
    <n v="114"/>
    <n v="3300"/>
    <n v="133"/>
  </r>
  <r>
    <x v="2"/>
    <x v="3"/>
    <d v="2019-11-20T00:00:00"/>
    <x v="0"/>
    <n v="38"/>
    <n v="110"/>
    <n v="114"/>
    <n v="3308"/>
    <n v="137"/>
  </r>
  <r>
    <x v="2"/>
    <x v="3"/>
    <d v="2019-11-20T00:00:00"/>
    <x v="1"/>
    <n v="50"/>
    <n v="130"/>
    <n v="118"/>
    <n v="3309"/>
    <n v="175"/>
  </r>
  <r>
    <x v="2"/>
    <x v="3"/>
    <d v="2019-11-20T00:00:00"/>
    <x v="1"/>
    <n v="31"/>
    <n v="130"/>
    <n v="118"/>
    <n v="3307"/>
    <n v="146"/>
  </r>
  <r>
    <x v="2"/>
    <x v="3"/>
    <d v="2019-11-20T00:00:00"/>
    <x v="0"/>
    <n v="29"/>
    <n v="110"/>
    <n v="114"/>
    <n v="3306"/>
    <n v="103"/>
  </r>
  <r>
    <x v="2"/>
    <x v="3"/>
    <d v="2019-11-20T00:00:00"/>
    <x v="0"/>
    <n v="39"/>
    <n v="110"/>
    <n v="114"/>
    <n v="3305"/>
    <n v="138"/>
  </r>
  <r>
    <x v="2"/>
    <x v="3"/>
    <d v="2019-11-20T00:00:00"/>
    <x v="2"/>
    <n v="32"/>
    <n v="145"/>
    <n v="123"/>
    <n v="3304"/>
    <n v="114"/>
  </r>
  <r>
    <x v="2"/>
    <x v="3"/>
    <d v="2019-11-20T00:00:00"/>
    <x v="1"/>
    <n v="55"/>
    <n v="130"/>
    <n v="118"/>
    <n v="3303"/>
    <n v="188"/>
  </r>
  <r>
    <x v="2"/>
    <x v="3"/>
    <d v="2019-11-21T00:00:00"/>
    <x v="1"/>
    <n v="56"/>
    <n v="130"/>
    <n v="118"/>
    <n v="3311"/>
    <n v="202"/>
  </r>
  <r>
    <x v="2"/>
    <x v="3"/>
    <d v="2019-11-21T00:00:00"/>
    <x v="0"/>
    <n v="40"/>
    <n v="110"/>
    <n v="114"/>
    <n v="3312"/>
    <n v="147"/>
  </r>
  <r>
    <x v="2"/>
    <x v="3"/>
    <d v="2019-11-21T00:00:00"/>
    <x v="2"/>
    <n v="37"/>
    <n v="145"/>
    <n v="123"/>
    <n v="3313"/>
    <n v="130"/>
  </r>
  <r>
    <x v="2"/>
    <x v="3"/>
    <d v="2019-11-21T00:00:00"/>
    <x v="1"/>
    <n v="50"/>
    <n v="130"/>
    <n v="118"/>
    <n v="3310"/>
    <n v="177"/>
  </r>
  <r>
    <x v="2"/>
    <x v="3"/>
    <d v="2019-11-22T00:00:00"/>
    <x v="2"/>
    <n v="23"/>
    <n v="145"/>
    <n v="123"/>
    <n v="3315"/>
    <n v="82"/>
  </r>
  <r>
    <x v="2"/>
    <x v="3"/>
    <d v="2019-11-22T00:00:00"/>
    <x v="2"/>
    <n v="41"/>
    <n v="145"/>
    <n v="123"/>
    <n v="3314"/>
    <n v="147"/>
  </r>
  <r>
    <x v="2"/>
    <x v="3"/>
    <d v="2019-11-25T00:00:00"/>
    <x v="0"/>
    <n v="36"/>
    <n v="110"/>
    <n v="114"/>
    <n v="3320"/>
    <n v="127"/>
  </r>
  <r>
    <x v="2"/>
    <x v="3"/>
    <d v="2019-11-25T00:00:00"/>
    <x v="0"/>
    <n v="46"/>
    <n v="110"/>
    <n v="114"/>
    <n v="3319"/>
    <n v="166"/>
  </r>
  <r>
    <x v="2"/>
    <x v="3"/>
    <d v="2019-11-25T00:00:00"/>
    <x v="2"/>
    <n v="26"/>
    <n v="145"/>
    <n v="123"/>
    <n v="3316"/>
    <n v="91"/>
  </r>
  <r>
    <x v="2"/>
    <x v="3"/>
    <d v="2019-11-25T00:00:00"/>
    <x v="1"/>
    <n v="44"/>
    <n v="130"/>
    <n v="118"/>
    <n v="3317"/>
    <n v="159"/>
  </r>
  <r>
    <x v="2"/>
    <x v="3"/>
    <d v="2019-11-25T00:00:00"/>
    <x v="2"/>
    <n v="27"/>
    <n v="145"/>
    <n v="123"/>
    <n v="3318"/>
    <n v="101"/>
  </r>
  <r>
    <x v="2"/>
    <x v="3"/>
    <d v="2019-11-27T00:00:00"/>
    <x v="2"/>
    <n v="34"/>
    <n v="145"/>
    <n v="123"/>
    <n v="3325"/>
    <n v="118"/>
  </r>
  <r>
    <x v="2"/>
    <x v="3"/>
    <d v="2019-11-27T00:00:00"/>
    <x v="2"/>
    <n v="39"/>
    <n v="145"/>
    <n v="123"/>
    <n v="3326"/>
    <n v="134"/>
  </r>
  <r>
    <x v="2"/>
    <x v="3"/>
    <d v="2019-11-27T00:00:00"/>
    <x v="0"/>
    <n v="44"/>
    <n v="110"/>
    <n v="114"/>
    <n v="3324"/>
    <n v="155"/>
  </r>
  <r>
    <x v="2"/>
    <x v="3"/>
    <d v="2019-11-27T00:00:00"/>
    <x v="1"/>
    <n v="55"/>
    <n v="130"/>
    <n v="118"/>
    <n v="3323"/>
    <n v="191"/>
  </r>
  <r>
    <x v="2"/>
    <x v="3"/>
    <d v="2019-11-27T00:00:00"/>
    <x v="1"/>
    <n v="43"/>
    <n v="130"/>
    <n v="118"/>
    <n v="3322"/>
    <n v="153"/>
  </r>
  <r>
    <x v="2"/>
    <x v="3"/>
    <d v="2019-11-27T00:00:00"/>
    <x v="1"/>
    <n v="30"/>
    <n v="130"/>
    <n v="118"/>
    <n v="3321"/>
    <n v="103"/>
  </r>
  <r>
    <x v="2"/>
    <x v="3"/>
    <d v="2019-11-27T00:00:00"/>
    <x v="1"/>
    <n v="31"/>
    <n v="130"/>
    <n v="118"/>
    <n v="3327"/>
    <n v="106"/>
  </r>
  <r>
    <x v="2"/>
    <x v="3"/>
    <d v="2019-11-28T00:00:00"/>
    <x v="1"/>
    <n v="46"/>
    <n v="130"/>
    <n v="118"/>
    <n v="3328"/>
    <n v="163"/>
  </r>
  <r>
    <x v="2"/>
    <x v="3"/>
    <d v="2019-11-28T00:00:00"/>
    <x v="0"/>
    <n v="32"/>
    <n v="110"/>
    <n v="114"/>
    <n v="3329"/>
    <n v="117"/>
  </r>
  <r>
    <x v="2"/>
    <x v="3"/>
    <d v="2019-11-29T00:00:00"/>
    <x v="1"/>
    <n v="54"/>
    <n v="130"/>
    <n v="118"/>
    <n v="3330"/>
    <n v="203"/>
  </r>
  <r>
    <x v="2"/>
    <x v="3"/>
    <d v="2019-11-29T00:00:00"/>
    <x v="0"/>
    <n v="31"/>
    <n v="110"/>
    <n v="114"/>
    <n v="3331"/>
    <n v="112"/>
  </r>
  <r>
    <x v="2"/>
    <x v="3"/>
    <d v="2019-11-29T00:00:00"/>
    <x v="2"/>
    <n v="28"/>
    <n v="145"/>
    <n v="123"/>
    <n v="3332"/>
    <n v="98"/>
  </r>
  <r>
    <x v="2"/>
    <x v="3"/>
    <d v="2019-11-29T00:00:00"/>
    <x v="1"/>
    <n v="32"/>
    <n v="130"/>
    <n v="118"/>
    <n v="3333"/>
    <n v="115"/>
  </r>
  <r>
    <x v="2"/>
    <x v="3"/>
    <d v="2019-12-02T00:00:00"/>
    <x v="2"/>
    <n v="37"/>
    <n v="145"/>
    <n v="123"/>
    <n v="3334"/>
    <n v="133"/>
  </r>
  <r>
    <x v="2"/>
    <x v="3"/>
    <d v="2019-12-02T00:00:00"/>
    <x v="0"/>
    <n v="25"/>
    <n v="110"/>
    <n v="114"/>
    <n v="3335"/>
    <n v="87"/>
  </r>
  <r>
    <x v="2"/>
    <x v="3"/>
    <d v="2019-12-02T00:00:00"/>
    <x v="1"/>
    <n v="41"/>
    <n v="130"/>
    <n v="118"/>
    <n v="3336"/>
    <n v="146"/>
  </r>
  <r>
    <x v="2"/>
    <x v="3"/>
    <d v="2019-12-04T00:00:00"/>
    <x v="0"/>
    <n v="50"/>
    <n v="110"/>
    <n v="114"/>
    <n v="3343"/>
    <n v="235"/>
  </r>
  <r>
    <x v="2"/>
    <x v="3"/>
    <d v="2019-12-04T00:00:00"/>
    <x v="2"/>
    <n v="46"/>
    <n v="145"/>
    <n v="123"/>
    <n v="3337"/>
    <n v="156"/>
  </r>
  <r>
    <x v="2"/>
    <x v="3"/>
    <d v="2019-12-04T00:00:00"/>
    <x v="0"/>
    <n v="36"/>
    <n v="110"/>
    <n v="114"/>
    <n v="3338"/>
    <n v="126"/>
  </r>
  <r>
    <x v="2"/>
    <x v="3"/>
    <d v="2019-12-04T00:00:00"/>
    <x v="2"/>
    <n v="23"/>
    <n v="145"/>
    <n v="123"/>
    <n v="3339"/>
    <n v="79"/>
  </r>
  <r>
    <x v="2"/>
    <x v="3"/>
    <d v="2019-12-04T00:00:00"/>
    <x v="1"/>
    <n v="48"/>
    <n v="130"/>
    <n v="118"/>
    <n v="3340"/>
    <n v="177"/>
  </r>
  <r>
    <x v="2"/>
    <x v="3"/>
    <d v="2019-12-04T00:00:00"/>
    <x v="2"/>
    <n v="33"/>
    <n v="145"/>
    <n v="123"/>
    <n v="3341"/>
    <n v="116"/>
  </r>
  <r>
    <x v="2"/>
    <x v="3"/>
    <d v="2019-12-04T00:00:00"/>
    <x v="1"/>
    <n v="55"/>
    <n v="130"/>
    <n v="118"/>
    <n v="3342"/>
    <n v="202"/>
  </r>
  <r>
    <x v="2"/>
    <x v="3"/>
    <d v="2019-12-05T00:00:00"/>
    <x v="2"/>
    <n v="36"/>
    <n v="145"/>
    <n v="123"/>
    <n v="3348"/>
    <n v="131"/>
  </r>
  <r>
    <x v="2"/>
    <x v="3"/>
    <d v="2019-12-05T00:00:00"/>
    <x v="2"/>
    <n v="31"/>
    <n v="145"/>
    <n v="123"/>
    <n v="3347"/>
    <n v="144"/>
  </r>
  <r>
    <x v="2"/>
    <x v="3"/>
    <d v="2019-12-05T00:00:00"/>
    <x v="0"/>
    <n v="34"/>
    <n v="110"/>
    <n v="114"/>
    <n v="3346"/>
    <n v="118"/>
  </r>
  <r>
    <x v="2"/>
    <x v="3"/>
    <d v="2019-12-05T00:00:00"/>
    <x v="0"/>
    <n v="36"/>
    <n v="110"/>
    <n v="114"/>
    <n v="3344"/>
    <n v="125"/>
  </r>
  <r>
    <x v="2"/>
    <x v="3"/>
    <d v="2019-12-05T00:00:00"/>
    <x v="0"/>
    <n v="40"/>
    <n v="110"/>
    <n v="114"/>
    <n v="3345"/>
    <n v="184"/>
  </r>
  <r>
    <x v="2"/>
    <x v="3"/>
    <d v="2019-12-06T00:00:00"/>
    <x v="0"/>
    <n v="48"/>
    <n v="110"/>
    <n v="114"/>
    <n v="3349"/>
    <n v="176"/>
  </r>
  <r>
    <x v="2"/>
    <x v="3"/>
    <d v="2019-12-09T00:00:00"/>
    <x v="1"/>
    <n v="47"/>
    <n v="130"/>
    <n v="118"/>
    <n v="3353"/>
    <n v="163"/>
  </r>
  <r>
    <x v="2"/>
    <x v="3"/>
    <d v="2019-12-09T00:00:00"/>
    <x v="2"/>
    <n v="44"/>
    <n v="145"/>
    <n v="123"/>
    <n v="3356"/>
    <n v="161"/>
  </r>
  <r>
    <x v="2"/>
    <x v="3"/>
    <d v="2019-12-09T00:00:00"/>
    <x v="0"/>
    <n v="47"/>
    <n v="110"/>
    <n v="114"/>
    <n v="3354"/>
    <n v="169"/>
  </r>
  <r>
    <x v="2"/>
    <x v="3"/>
    <d v="2019-12-09T00:00:00"/>
    <x v="2"/>
    <n v="34"/>
    <n v="145"/>
    <n v="123"/>
    <n v="3351"/>
    <n v="125"/>
  </r>
  <r>
    <x v="2"/>
    <x v="3"/>
    <d v="2019-12-09T00:00:00"/>
    <x v="2"/>
    <n v="24"/>
    <n v="145"/>
    <n v="123"/>
    <n v="3350"/>
    <n v="111"/>
  </r>
  <r>
    <x v="2"/>
    <x v="3"/>
    <d v="2019-12-09T00:00:00"/>
    <x v="1"/>
    <n v="53"/>
    <n v="130"/>
    <n v="118"/>
    <n v="3355"/>
    <n v="193"/>
  </r>
  <r>
    <x v="2"/>
    <x v="3"/>
    <d v="2019-12-09T00:00:00"/>
    <x v="0"/>
    <n v="29"/>
    <n v="110"/>
    <n v="114"/>
    <n v="3352"/>
    <n v="105"/>
  </r>
  <r>
    <x v="2"/>
    <x v="3"/>
    <d v="2019-12-10T00:00:00"/>
    <x v="2"/>
    <n v="37"/>
    <n v="145"/>
    <n v="123"/>
    <n v="3357"/>
    <n v="130"/>
  </r>
  <r>
    <x v="2"/>
    <x v="3"/>
    <d v="2019-12-11T00:00:00"/>
    <x v="2"/>
    <n v="33"/>
    <n v="145"/>
    <n v="123"/>
    <n v="3363"/>
    <n v="121"/>
  </r>
  <r>
    <x v="2"/>
    <x v="3"/>
    <d v="2019-12-11T00:00:00"/>
    <x v="1"/>
    <n v="32"/>
    <n v="130"/>
    <n v="118"/>
    <n v="3358"/>
    <n v="117"/>
  </r>
  <r>
    <x v="2"/>
    <x v="3"/>
    <d v="2019-12-11T00:00:00"/>
    <x v="0"/>
    <n v="44"/>
    <n v="110"/>
    <n v="114"/>
    <n v="3359"/>
    <n v="162"/>
  </r>
  <r>
    <x v="2"/>
    <x v="3"/>
    <d v="2019-12-11T00:00:00"/>
    <x v="1"/>
    <n v="39"/>
    <n v="130"/>
    <n v="118"/>
    <n v="3360"/>
    <n v="142"/>
  </r>
  <r>
    <x v="2"/>
    <x v="3"/>
    <d v="2019-12-11T00:00:00"/>
    <x v="1"/>
    <n v="34"/>
    <n v="130"/>
    <n v="118"/>
    <n v="3361"/>
    <n v="158"/>
  </r>
  <r>
    <x v="2"/>
    <x v="3"/>
    <d v="2019-12-11T00:00:00"/>
    <x v="0"/>
    <n v="50"/>
    <n v="110"/>
    <n v="114"/>
    <n v="3362"/>
    <n v="184"/>
  </r>
  <r>
    <x v="2"/>
    <x v="3"/>
    <d v="2019-12-12T00:00:00"/>
    <x v="2"/>
    <n v="32"/>
    <n v="145"/>
    <n v="123"/>
    <n v="3368"/>
    <n v="116"/>
  </r>
  <r>
    <x v="2"/>
    <x v="3"/>
    <d v="2019-12-12T00:00:00"/>
    <x v="1"/>
    <n v="44"/>
    <n v="130"/>
    <n v="118"/>
    <n v="3367"/>
    <n v="168"/>
  </r>
  <r>
    <x v="2"/>
    <x v="3"/>
    <d v="2019-12-12T00:00:00"/>
    <x v="0"/>
    <n v="30"/>
    <n v="110"/>
    <n v="114"/>
    <n v="3366"/>
    <n v="105"/>
  </r>
  <r>
    <x v="2"/>
    <x v="3"/>
    <d v="2019-12-12T00:00:00"/>
    <x v="1"/>
    <n v="45"/>
    <n v="130"/>
    <n v="118"/>
    <n v="3364"/>
    <n v="211"/>
  </r>
  <r>
    <x v="2"/>
    <x v="3"/>
    <d v="2019-12-12T00:00:00"/>
    <x v="1"/>
    <n v="50"/>
    <n v="130"/>
    <n v="118"/>
    <n v="3365"/>
    <n v="174"/>
  </r>
  <r>
    <x v="2"/>
    <x v="3"/>
    <d v="2019-12-13T00:00:00"/>
    <x v="0"/>
    <n v="40"/>
    <n v="110"/>
    <n v="114"/>
    <n v="3369"/>
    <n v="144"/>
  </r>
  <r>
    <x v="2"/>
    <x v="3"/>
    <d v="2019-12-13T00:00:00"/>
    <x v="1"/>
    <n v="42"/>
    <n v="130"/>
    <n v="118"/>
    <n v="3370"/>
    <n v="146"/>
  </r>
  <r>
    <x v="2"/>
    <x v="3"/>
    <d v="2019-12-17T00:00:00"/>
    <x v="0"/>
    <n v="40"/>
    <n v="110"/>
    <n v="114"/>
    <n v="3375"/>
    <n v="143"/>
  </r>
  <r>
    <x v="2"/>
    <x v="3"/>
    <d v="2019-12-17T00:00:00"/>
    <x v="0"/>
    <n v="37"/>
    <n v="110"/>
    <n v="114"/>
    <n v="3371"/>
    <n v="128"/>
  </r>
  <r>
    <x v="2"/>
    <x v="3"/>
    <d v="2019-12-17T00:00:00"/>
    <x v="2"/>
    <n v="40"/>
    <n v="145"/>
    <n v="123"/>
    <n v="3377"/>
    <n v="143"/>
  </r>
  <r>
    <x v="2"/>
    <x v="3"/>
    <d v="2019-12-17T00:00:00"/>
    <x v="2"/>
    <n v="32"/>
    <n v="145"/>
    <n v="123"/>
    <n v="3376"/>
    <n v="148"/>
  </r>
  <r>
    <x v="2"/>
    <x v="3"/>
    <d v="2019-12-17T00:00:00"/>
    <x v="1"/>
    <n v="37"/>
    <n v="130"/>
    <n v="118"/>
    <n v="3373"/>
    <n v="131"/>
  </r>
  <r>
    <x v="2"/>
    <x v="3"/>
    <d v="2019-12-17T00:00:00"/>
    <x v="0"/>
    <n v="45"/>
    <n v="110"/>
    <n v="114"/>
    <n v="3372"/>
    <n v="154"/>
  </r>
  <r>
    <x v="2"/>
    <x v="3"/>
    <d v="2019-12-17T00:00:00"/>
    <x v="0"/>
    <n v="26"/>
    <n v="110"/>
    <n v="114"/>
    <n v="3374"/>
    <n v="91"/>
  </r>
  <r>
    <x v="2"/>
    <x v="3"/>
    <d v="2019-12-18T00:00:00"/>
    <x v="0"/>
    <n v="45"/>
    <n v="110"/>
    <n v="114"/>
    <n v="3382"/>
    <n v="163"/>
  </r>
  <r>
    <x v="2"/>
    <x v="3"/>
    <d v="2019-12-18T00:00:00"/>
    <x v="2"/>
    <n v="27"/>
    <n v="145"/>
    <n v="123"/>
    <n v="3383"/>
    <n v="97"/>
  </r>
  <r>
    <x v="2"/>
    <x v="3"/>
    <d v="2019-12-18T00:00:00"/>
    <x v="2"/>
    <n v="24"/>
    <n v="145"/>
    <n v="123"/>
    <n v="3381"/>
    <n v="83"/>
  </r>
  <r>
    <x v="2"/>
    <x v="3"/>
    <d v="2019-12-18T00:00:00"/>
    <x v="0"/>
    <n v="31"/>
    <n v="110"/>
    <n v="114"/>
    <n v="3380"/>
    <n v="114"/>
  </r>
  <r>
    <x v="2"/>
    <x v="3"/>
    <d v="2019-12-18T00:00:00"/>
    <x v="2"/>
    <n v="22"/>
    <n v="145"/>
    <n v="123"/>
    <n v="3379"/>
    <n v="78"/>
  </r>
  <r>
    <x v="2"/>
    <x v="3"/>
    <d v="2019-12-18T00:00:00"/>
    <x v="1"/>
    <n v="54"/>
    <n v="130"/>
    <n v="118"/>
    <n v="3378"/>
    <n v="184"/>
  </r>
  <r>
    <x v="2"/>
    <x v="3"/>
    <d v="2019-12-19T00:00:00"/>
    <x v="2"/>
    <n v="38"/>
    <n v="145"/>
    <n v="123"/>
    <n v="3385"/>
    <n v="132"/>
  </r>
  <r>
    <x v="2"/>
    <x v="3"/>
    <d v="2019-12-19T00:00:00"/>
    <x v="0"/>
    <n v="40"/>
    <n v="110"/>
    <n v="114"/>
    <n v="3386"/>
    <n v="188"/>
  </r>
  <r>
    <x v="2"/>
    <x v="3"/>
    <d v="2019-12-19T00:00:00"/>
    <x v="1"/>
    <n v="56"/>
    <n v="130"/>
    <n v="118"/>
    <n v="3387"/>
    <n v="204"/>
  </r>
  <r>
    <x v="2"/>
    <x v="3"/>
    <d v="2019-12-19T00:00:00"/>
    <x v="0"/>
    <n v="25"/>
    <n v="110"/>
    <n v="114"/>
    <n v="3384"/>
    <n v="86"/>
  </r>
  <r>
    <x v="2"/>
    <x v="3"/>
    <d v="2019-12-20T00:00:00"/>
    <x v="2"/>
    <n v="43"/>
    <n v="145"/>
    <n v="123"/>
    <n v="3392"/>
    <n v="156"/>
  </r>
  <r>
    <x v="2"/>
    <x v="3"/>
    <d v="2019-12-20T00:00:00"/>
    <x v="1"/>
    <n v="36"/>
    <n v="130"/>
    <n v="118"/>
    <n v="3394"/>
    <n v="131"/>
  </r>
  <r>
    <x v="2"/>
    <x v="3"/>
    <d v="2019-12-20T00:00:00"/>
    <x v="1"/>
    <n v="44"/>
    <n v="130"/>
    <n v="118"/>
    <n v="3393"/>
    <n v="157"/>
  </r>
  <r>
    <x v="2"/>
    <x v="3"/>
    <d v="2019-12-20T00:00:00"/>
    <x v="2"/>
    <n v="24"/>
    <n v="145"/>
    <n v="123"/>
    <n v="3388"/>
    <n v="84"/>
  </r>
  <r>
    <x v="2"/>
    <x v="3"/>
    <d v="2019-12-20T00:00:00"/>
    <x v="2"/>
    <n v="46"/>
    <n v="145"/>
    <n v="123"/>
    <n v="3389"/>
    <n v="212"/>
  </r>
  <r>
    <x v="2"/>
    <x v="3"/>
    <d v="2019-12-20T00:00:00"/>
    <x v="1"/>
    <n v="38"/>
    <n v="130"/>
    <n v="118"/>
    <n v="3391"/>
    <n v="138"/>
  </r>
  <r>
    <x v="2"/>
    <x v="3"/>
    <d v="2019-12-20T00:00:00"/>
    <x v="2"/>
    <n v="23"/>
    <n v="145"/>
    <n v="123"/>
    <n v="3390"/>
    <n v="108"/>
  </r>
  <r>
    <x v="2"/>
    <x v="3"/>
    <d v="2019-12-23T00:00:00"/>
    <x v="1"/>
    <n v="46"/>
    <n v="130"/>
    <n v="118"/>
    <n v="3395"/>
    <n v="169"/>
  </r>
  <r>
    <x v="2"/>
    <x v="3"/>
    <d v="2019-12-23T00:00:00"/>
    <x v="1"/>
    <n v="51"/>
    <n v="130"/>
    <n v="118"/>
    <n v="3396"/>
    <n v="175"/>
  </r>
  <r>
    <x v="2"/>
    <x v="3"/>
    <d v="2019-12-23T00:00:00"/>
    <x v="1"/>
    <n v="52"/>
    <n v="130"/>
    <n v="118"/>
    <n v="3397"/>
    <n v="183"/>
  </r>
  <r>
    <x v="2"/>
    <x v="3"/>
    <d v="2019-12-23T00:00:00"/>
    <x v="1"/>
    <n v="41"/>
    <n v="130"/>
    <n v="118"/>
    <n v="3398"/>
    <n v="144"/>
  </r>
  <r>
    <x v="2"/>
    <x v="3"/>
    <d v="2019-12-24T00:00:00"/>
    <x v="2"/>
    <n v="26"/>
    <n v="145"/>
    <n v="123"/>
    <n v="3399"/>
    <n v="90"/>
  </r>
  <r>
    <x v="2"/>
    <x v="3"/>
    <d v="2019-12-24T00:00:00"/>
    <x v="0"/>
    <n v="34"/>
    <n v="110"/>
    <n v="114"/>
    <n v="3400"/>
    <n v="124"/>
  </r>
  <r>
    <x v="2"/>
    <x v="3"/>
    <d v="2019-12-25T00:00:00"/>
    <x v="2"/>
    <n v="35"/>
    <n v="145"/>
    <n v="123"/>
    <n v="3407"/>
    <n v="127"/>
  </r>
  <r>
    <x v="2"/>
    <x v="3"/>
    <d v="2019-12-25T00:00:00"/>
    <x v="2"/>
    <n v="35"/>
    <n v="145"/>
    <n v="123"/>
    <n v="3402"/>
    <n v="121"/>
  </r>
  <r>
    <x v="2"/>
    <x v="3"/>
    <d v="2019-12-25T00:00:00"/>
    <x v="1"/>
    <n v="54"/>
    <n v="130"/>
    <n v="118"/>
    <n v="3403"/>
    <n v="190"/>
  </r>
  <r>
    <x v="2"/>
    <x v="3"/>
    <d v="2019-12-25T00:00:00"/>
    <x v="2"/>
    <n v="27"/>
    <n v="145"/>
    <n v="123"/>
    <n v="3404"/>
    <n v="99"/>
  </r>
  <r>
    <x v="2"/>
    <x v="3"/>
    <d v="2019-12-25T00:00:00"/>
    <x v="2"/>
    <n v="21"/>
    <n v="145"/>
    <n v="123"/>
    <n v="3405"/>
    <n v="77"/>
  </r>
  <r>
    <x v="2"/>
    <x v="3"/>
    <d v="2019-12-25T00:00:00"/>
    <x v="1"/>
    <n v="42"/>
    <n v="130"/>
    <n v="118"/>
    <n v="3406"/>
    <n v="149"/>
  </r>
  <r>
    <x v="2"/>
    <x v="3"/>
    <d v="2019-12-25T00:00:00"/>
    <x v="2"/>
    <n v="24"/>
    <n v="145"/>
    <n v="123"/>
    <n v="3401"/>
    <n v="86"/>
  </r>
  <r>
    <x v="2"/>
    <x v="3"/>
    <d v="2019-12-26T00:00:00"/>
    <x v="1"/>
    <n v="37"/>
    <n v="130"/>
    <n v="118"/>
    <n v="3410"/>
    <n v="135"/>
  </r>
  <r>
    <x v="2"/>
    <x v="3"/>
    <d v="2019-12-26T00:00:00"/>
    <x v="2"/>
    <n v="42"/>
    <n v="145"/>
    <n v="123"/>
    <n v="3409"/>
    <n v="147"/>
  </r>
  <r>
    <x v="2"/>
    <x v="3"/>
    <d v="2019-12-26T00:00:00"/>
    <x v="2"/>
    <n v="39"/>
    <n v="145"/>
    <n v="123"/>
    <n v="3408"/>
    <n v="135"/>
  </r>
  <r>
    <x v="2"/>
    <x v="3"/>
    <d v="2019-12-27T00:00:00"/>
    <x v="0"/>
    <n v="29"/>
    <n v="110"/>
    <n v="114"/>
    <n v="3411"/>
    <n v="101"/>
  </r>
  <r>
    <x v="2"/>
    <x v="3"/>
    <d v="2019-12-27T00:00:00"/>
    <x v="0"/>
    <n v="25"/>
    <n v="110"/>
    <n v="114"/>
    <n v="3412"/>
    <n v="87"/>
  </r>
  <r>
    <x v="2"/>
    <x v="3"/>
    <d v="2019-12-27T00:00:00"/>
    <x v="1"/>
    <n v="41"/>
    <n v="130"/>
    <n v="118"/>
    <n v="3413"/>
    <n v="148"/>
  </r>
  <r>
    <x v="2"/>
    <x v="3"/>
    <d v="2019-12-30T00:00:00"/>
    <x v="1"/>
    <n v="49"/>
    <n v="130"/>
    <n v="118"/>
    <n v="3414"/>
    <n v="173"/>
  </r>
  <r>
    <x v="2"/>
    <x v="3"/>
    <d v="2019-12-30T00:00:00"/>
    <x v="1"/>
    <n v="38"/>
    <n v="130"/>
    <n v="118"/>
    <n v="3415"/>
    <n v="136"/>
  </r>
  <r>
    <x v="2"/>
    <x v="3"/>
    <d v="2019-12-31T00:00:00"/>
    <x v="2"/>
    <n v="39"/>
    <n v="145"/>
    <n v="123"/>
    <n v="3416"/>
    <n v="142"/>
  </r>
  <r>
    <x v="2"/>
    <x v="3"/>
    <d v="2019-12-31T00:00:00"/>
    <x v="2"/>
    <n v="22"/>
    <n v="145"/>
    <n v="123"/>
    <n v="3417"/>
    <n v="76"/>
  </r>
  <r>
    <x v="2"/>
    <x v="3"/>
    <d v="2019-12-31T00:00:00"/>
    <x v="2"/>
    <n v="35"/>
    <n v="145"/>
    <n v="123"/>
    <n v="3418"/>
    <n v="124"/>
  </r>
  <r>
    <x v="3"/>
    <x v="0"/>
    <d v="2020-01-03T00:00:00"/>
    <x v="1"/>
    <n v="58"/>
    <n v="120"/>
    <n v="110"/>
    <n v="3419"/>
    <n v="200"/>
  </r>
  <r>
    <x v="3"/>
    <x v="0"/>
    <d v="2020-01-03T00:00:00"/>
    <x v="1"/>
    <n v="44"/>
    <n v="120"/>
    <n v="110"/>
    <n v="3420"/>
    <n v="158"/>
  </r>
  <r>
    <x v="3"/>
    <x v="0"/>
    <d v="2020-01-06T00:00:00"/>
    <x v="1"/>
    <n v="62"/>
    <n v="120"/>
    <n v="110"/>
    <n v="3421"/>
    <n v="219"/>
  </r>
  <r>
    <x v="3"/>
    <x v="0"/>
    <d v="2020-01-06T00:00:00"/>
    <x v="2"/>
    <n v="41"/>
    <n v="135"/>
    <n v="117"/>
    <n v="3422"/>
    <n v="150"/>
  </r>
  <r>
    <x v="3"/>
    <x v="0"/>
    <d v="2020-01-08T00:00:00"/>
    <x v="0"/>
    <n v="46"/>
    <n v="110"/>
    <n v="108"/>
    <n v="3425"/>
    <n v="166"/>
  </r>
  <r>
    <x v="3"/>
    <x v="0"/>
    <d v="2020-01-08T00:00:00"/>
    <x v="0"/>
    <n v="42"/>
    <n v="110"/>
    <n v="108"/>
    <n v="3426"/>
    <n v="148"/>
  </r>
  <r>
    <x v="3"/>
    <x v="0"/>
    <d v="2020-01-08T00:00:00"/>
    <x v="1"/>
    <n v="51"/>
    <n v="120"/>
    <n v="110"/>
    <n v="3423"/>
    <n v="187"/>
  </r>
  <r>
    <x v="3"/>
    <x v="0"/>
    <d v="2020-01-08T00:00:00"/>
    <x v="1"/>
    <n v="55"/>
    <n v="120"/>
    <n v="110"/>
    <n v="3424"/>
    <n v="203"/>
  </r>
  <r>
    <x v="3"/>
    <x v="0"/>
    <d v="2020-01-08T00:00:00"/>
    <x v="0"/>
    <n v="44"/>
    <n v="110"/>
    <n v="108"/>
    <n v="3427"/>
    <n v="150"/>
  </r>
  <r>
    <x v="3"/>
    <x v="0"/>
    <d v="2020-01-09T00:00:00"/>
    <x v="1"/>
    <n v="57"/>
    <n v="120"/>
    <n v="110"/>
    <n v="3432"/>
    <n v="200"/>
  </r>
  <r>
    <x v="3"/>
    <x v="0"/>
    <d v="2020-01-09T00:00:00"/>
    <x v="2"/>
    <n v="32"/>
    <n v="135"/>
    <n v="117"/>
    <n v="3433"/>
    <n v="117"/>
  </r>
  <r>
    <x v="3"/>
    <x v="0"/>
    <d v="2020-01-09T00:00:00"/>
    <x v="2"/>
    <n v="49"/>
    <n v="135"/>
    <n v="117"/>
    <n v="3431"/>
    <n v="172"/>
  </r>
  <r>
    <x v="3"/>
    <x v="0"/>
    <d v="2020-01-09T00:00:00"/>
    <x v="1"/>
    <n v="53"/>
    <n v="120"/>
    <n v="110"/>
    <n v="3430"/>
    <n v="192"/>
  </r>
  <r>
    <x v="3"/>
    <x v="0"/>
    <d v="2020-01-09T00:00:00"/>
    <x v="1"/>
    <n v="44"/>
    <n v="120"/>
    <n v="110"/>
    <n v="3429"/>
    <n v="159"/>
  </r>
  <r>
    <x v="3"/>
    <x v="0"/>
    <d v="2020-01-09T00:00:00"/>
    <x v="0"/>
    <n v="42"/>
    <n v="110"/>
    <n v="108"/>
    <n v="3428"/>
    <n v="147"/>
  </r>
  <r>
    <x v="3"/>
    <x v="0"/>
    <d v="2020-01-10T00:00:00"/>
    <x v="1"/>
    <n v="42"/>
    <n v="120"/>
    <n v="110"/>
    <n v="3435"/>
    <n v="151"/>
  </r>
  <r>
    <x v="3"/>
    <x v="0"/>
    <d v="2020-01-10T00:00:00"/>
    <x v="2"/>
    <n v="53"/>
    <n v="135"/>
    <n v="117"/>
    <n v="3436"/>
    <n v="194"/>
  </r>
  <r>
    <x v="3"/>
    <x v="0"/>
    <d v="2020-01-10T00:00:00"/>
    <x v="0"/>
    <n v="54"/>
    <n v="110"/>
    <n v="108"/>
    <n v="3437"/>
    <n v="190"/>
  </r>
  <r>
    <x v="3"/>
    <x v="0"/>
    <d v="2020-01-10T00:00:00"/>
    <x v="2"/>
    <n v="36"/>
    <n v="135"/>
    <n v="117"/>
    <n v="3438"/>
    <n v="133"/>
  </r>
  <r>
    <x v="3"/>
    <x v="0"/>
    <d v="2020-01-10T00:00:00"/>
    <x v="0"/>
    <n v="43"/>
    <n v="110"/>
    <n v="108"/>
    <n v="3434"/>
    <n v="150"/>
  </r>
  <r>
    <x v="3"/>
    <x v="0"/>
    <d v="2020-01-13T00:00:00"/>
    <x v="0"/>
    <n v="44"/>
    <n v="110"/>
    <n v="108"/>
    <n v="3439"/>
    <n v="161"/>
  </r>
  <r>
    <x v="3"/>
    <x v="0"/>
    <d v="2020-01-14T00:00:00"/>
    <x v="2"/>
    <n v="38"/>
    <n v="135"/>
    <n v="117"/>
    <n v="3443"/>
    <n v="140"/>
  </r>
  <r>
    <x v="3"/>
    <x v="0"/>
    <d v="2020-01-14T00:00:00"/>
    <x v="1"/>
    <n v="56"/>
    <n v="120"/>
    <n v="110"/>
    <n v="3444"/>
    <n v="199"/>
  </r>
  <r>
    <x v="3"/>
    <x v="0"/>
    <d v="2020-01-14T00:00:00"/>
    <x v="2"/>
    <n v="46"/>
    <n v="135"/>
    <n v="117"/>
    <n v="3441"/>
    <n v="169"/>
  </r>
  <r>
    <x v="3"/>
    <x v="0"/>
    <d v="2020-01-14T00:00:00"/>
    <x v="2"/>
    <n v="41"/>
    <n v="135"/>
    <n v="117"/>
    <n v="3440"/>
    <n v="155"/>
  </r>
  <r>
    <x v="3"/>
    <x v="0"/>
    <d v="2020-01-14T00:00:00"/>
    <x v="2"/>
    <n v="33"/>
    <n v="135"/>
    <n v="117"/>
    <n v="3442"/>
    <n v="155"/>
  </r>
  <r>
    <x v="3"/>
    <x v="0"/>
    <d v="2020-01-16T00:00:00"/>
    <x v="1"/>
    <n v="49"/>
    <n v="120"/>
    <n v="110"/>
    <n v="3445"/>
    <n v="178"/>
  </r>
  <r>
    <x v="3"/>
    <x v="0"/>
    <d v="2020-01-16T00:00:00"/>
    <x v="2"/>
    <n v="34"/>
    <n v="135"/>
    <n v="117"/>
    <n v="3446"/>
    <n v="160"/>
  </r>
  <r>
    <x v="3"/>
    <x v="0"/>
    <d v="2020-01-16T00:00:00"/>
    <x v="1"/>
    <n v="41"/>
    <n v="120"/>
    <n v="110"/>
    <n v="3447"/>
    <n v="148"/>
  </r>
  <r>
    <x v="3"/>
    <x v="0"/>
    <d v="2020-01-16T00:00:00"/>
    <x v="0"/>
    <n v="47"/>
    <n v="110"/>
    <n v="108"/>
    <n v="3448"/>
    <n v="172"/>
  </r>
  <r>
    <x v="3"/>
    <x v="0"/>
    <d v="2020-01-16T00:00:00"/>
    <x v="2"/>
    <n v="29"/>
    <n v="135"/>
    <n v="117"/>
    <n v="3449"/>
    <n v="100"/>
  </r>
  <r>
    <x v="3"/>
    <x v="0"/>
    <d v="2020-01-16T00:00:00"/>
    <x v="0"/>
    <n v="43"/>
    <n v="110"/>
    <n v="108"/>
    <n v="3450"/>
    <n v="156"/>
  </r>
  <r>
    <x v="3"/>
    <x v="0"/>
    <d v="2020-01-17T00:00:00"/>
    <x v="1"/>
    <n v="54"/>
    <n v="120"/>
    <n v="110"/>
    <n v="3452"/>
    <n v="191"/>
  </r>
  <r>
    <x v="3"/>
    <x v="0"/>
    <d v="2020-01-17T00:00:00"/>
    <x v="2"/>
    <n v="44"/>
    <n v="135"/>
    <n v="117"/>
    <n v="3451"/>
    <n v="157"/>
  </r>
  <r>
    <x v="3"/>
    <x v="0"/>
    <d v="2020-01-21T00:00:00"/>
    <x v="1"/>
    <n v="45"/>
    <n v="120"/>
    <n v="110"/>
    <n v="3453"/>
    <n v="163"/>
  </r>
  <r>
    <x v="3"/>
    <x v="0"/>
    <d v="2020-01-22T00:00:00"/>
    <x v="1"/>
    <n v="58"/>
    <n v="120"/>
    <n v="110"/>
    <n v="3455"/>
    <n v="212"/>
  </r>
  <r>
    <x v="3"/>
    <x v="0"/>
    <d v="2020-01-22T00:00:00"/>
    <x v="0"/>
    <n v="33"/>
    <n v="110"/>
    <n v="108"/>
    <n v="3454"/>
    <n v="116"/>
  </r>
  <r>
    <x v="3"/>
    <x v="0"/>
    <d v="2020-01-23T00:00:00"/>
    <x v="1"/>
    <n v="43"/>
    <n v="120"/>
    <n v="110"/>
    <n v="3456"/>
    <n v="152"/>
  </r>
  <r>
    <x v="3"/>
    <x v="0"/>
    <d v="2020-01-23T00:00:00"/>
    <x v="2"/>
    <n v="29"/>
    <n v="135"/>
    <n v="117"/>
    <n v="3457"/>
    <n v="108"/>
  </r>
  <r>
    <x v="3"/>
    <x v="0"/>
    <d v="2020-01-23T00:00:00"/>
    <x v="0"/>
    <n v="59"/>
    <n v="110"/>
    <n v="108"/>
    <n v="3458"/>
    <n v="227"/>
  </r>
  <r>
    <x v="3"/>
    <x v="0"/>
    <d v="2020-01-23T00:00:00"/>
    <x v="2"/>
    <n v="52"/>
    <n v="135"/>
    <n v="117"/>
    <n v="3459"/>
    <n v="180"/>
  </r>
  <r>
    <x v="3"/>
    <x v="0"/>
    <d v="2020-01-23T00:00:00"/>
    <x v="0"/>
    <n v="33"/>
    <n v="110"/>
    <n v="108"/>
    <n v="3460"/>
    <n v="117"/>
  </r>
  <r>
    <x v="3"/>
    <x v="0"/>
    <d v="2020-01-24T00:00:00"/>
    <x v="0"/>
    <n v="41"/>
    <n v="110"/>
    <n v="108"/>
    <n v="3461"/>
    <n v="150"/>
  </r>
  <r>
    <x v="3"/>
    <x v="0"/>
    <d v="2020-01-24T00:00:00"/>
    <x v="0"/>
    <n v="46"/>
    <n v="110"/>
    <n v="108"/>
    <n v="3466"/>
    <n v="176"/>
  </r>
  <r>
    <x v="3"/>
    <x v="0"/>
    <d v="2020-01-24T00:00:00"/>
    <x v="1"/>
    <n v="62"/>
    <n v="120"/>
    <n v="110"/>
    <n v="3465"/>
    <n v="221"/>
  </r>
  <r>
    <x v="3"/>
    <x v="0"/>
    <d v="2020-01-24T00:00:00"/>
    <x v="2"/>
    <n v="33"/>
    <n v="135"/>
    <n v="117"/>
    <n v="3462"/>
    <n v="114"/>
  </r>
  <r>
    <x v="3"/>
    <x v="0"/>
    <d v="2020-01-24T00:00:00"/>
    <x v="1"/>
    <n v="54"/>
    <n v="120"/>
    <n v="110"/>
    <n v="3463"/>
    <n v="191"/>
  </r>
  <r>
    <x v="3"/>
    <x v="0"/>
    <d v="2020-01-24T00:00:00"/>
    <x v="2"/>
    <n v="53"/>
    <n v="135"/>
    <n v="117"/>
    <n v="3464"/>
    <n v="188"/>
  </r>
  <r>
    <x v="3"/>
    <x v="0"/>
    <d v="2020-01-27T00:00:00"/>
    <x v="0"/>
    <n v="52"/>
    <n v="110"/>
    <n v="108"/>
    <n v="3471"/>
    <n v="189"/>
  </r>
  <r>
    <x v="3"/>
    <x v="0"/>
    <d v="2020-01-27T00:00:00"/>
    <x v="2"/>
    <n v="52"/>
    <n v="135"/>
    <n v="117"/>
    <n v="3472"/>
    <n v="179"/>
  </r>
  <r>
    <x v="3"/>
    <x v="0"/>
    <d v="2020-01-27T00:00:00"/>
    <x v="1"/>
    <n v="56"/>
    <n v="120"/>
    <n v="110"/>
    <n v="3470"/>
    <n v="194"/>
  </r>
  <r>
    <x v="3"/>
    <x v="0"/>
    <d v="2020-01-27T00:00:00"/>
    <x v="0"/>
    <n v="48"/>
    <n v="110"/>
    <n v="108"/>
    <n v="3469"/>
    <n v="174"/>
  </r>
  <r>
    <x v="3"/>
    <x v="0"/>
    <d v="2020-01-27T00:00:00"/>
    <x v="2"/>
    <n v="51"/>
    <n v="135"/>
    <n v="117"/>
    <n v="3468"/>
    <n v="178"/>
  </r>
  <r>
    <x v="3"/>
    <x v="0"/>
    <d v="2020-01-27T00:00:00"/>
    <x v="2"/>
    <n v="42"/>
    <n v="135"/>
    <n v="117"/>
    <n v="3467"/>
    <n v="147"/>
  </r>
  <r>
    <x v="3"/>
    <x v="0"/>
    <d v="2020-01-28T00:00:00"/>
    <x v="0"/>
    <n v="36"/>
    <n v="110"/>
    <n v="108"/>
    <n v="3474"/>
    <n v="125"/>
  </r>
  <r>
    <x v="3"/>
    <x v="0"/>
    <d v="2020-01-28T00:00:00"/>
    <x v="0"/>
    <n v="34"/>
    <n v="110"/>
    <n v="108"/>
    <n v="3475"/>
    <n v="117"/>
  </r>
  <r>
    <x v="3"/>
    <x v="0"/>
    <d v="2020-01-28T00:00:00"/>
    <x v="1"/>
    <n v="63"/>
    <n v="120"/>
    <n v="110"/>
    <n v="3476"/>
    <n v="222"/>
  </r>
  <r>
    <x v="3"/>
    <x v="0"/>
    <d v="2020-01-28T00:00:00"/>
    <x v="1"/>
    <n v="57"/>
    <n v="120"/>
    <n v="110"/>
    <n v="3477"/>
    <n v="198"/>
  </r>
  <r>
    <x v="3"/>
    <x v="0"/>
    <d v="2020-01-28T00:00:00"/>
    <x v="1"/>
    <n v="56"/>
    <n v="120"/>
    <n v="110"/>
    <n v="3478"/>
    <n v="195"/>
  </r>
  <r>
    <x v="3"/>
    <x v="0"/>
    <d v="2020-01-28T00:00:00"/>
    <x v="1"/>
    <n v="62"/>
    <n v="120"/>
    <n v="110"/>
    <n v="3473"/>
    <n v="222"/>
  </r>
  <r>
    <x v="3"/>
    <x v="0"/>
    <d v="2020-01-29T00:00:00"/>
    <x v="2"/>
    <n v="33"/>
    <n v="135"/>
    <n v="117"/>
    <n v="3480"/>
    <n v="124"/>
  </r>
  <r>
    <x v="3"/>
    <x v="0"/>
    <d v="2020-01-29T00:00:00"/>
    <x v="1"/>
    <n v="63"/>
    <n v="120"/>
    <n v="110"/>
    <n v="3481"/>
    <n v="219"/>
  </r>
  <r>
    <x v="3"/>
    <x v="0"/>
    <d v="2020-01-29T00:00:00"/>
    <x v="2"/>
    <n v="46"/>
    <n v="135"/>
    <n v="117"/>
    <n v="3479"/>
    <n v="166"/>
  </r>
  <r>
    <x v="3"/>
    <x v="0"/>
    <d v="2020-01-30T00:00:00"/>
    <x v="1"/>
    <n v="56"/>
    <n v="120"/>
    <n v="110"/>
    <n v="3483"/>
    <n v="207"/>
  </r>
  <r>
    <x v="3"/>
    <x v="0"/>
    <d v="2020-01-30T00:00:00"/>
    <x v="1"/>
    <n v="60"/>
    <n v="120"/>
    <n v="110"/>
    <n v="3482"/>
    <n v="221"/>
  </r>
  <r>
    <x v="3"/>
    <x v="0"/>
    <d v="2020-02-03T00:00:00"/>
    <x v="1"/>
    <n v="41"/>
    <n v="120"/>
    <n v="110"/>
    <n v="3484"/>
    <n v="190"/>
  </r>
  <r>
    <x v="3"/>
    <x v="0"/>
    <d v="2020-02-03T00:00:00"/>
    <x v="0"/>
    <n v="35"/>
    <n v="110"/>
    <n v="108"/>
    <n v="3485"/>
    <n v="122"/>
  </r>
  <r>
    <x v="3"/>
    <x v="0"/>
    <d v="2020-02-03T00:00:00"/>
    <x v="1"/>
    <n v="42"/>
    <n v="120"/>
    <n v="110"/>
    <n v="3486"/>
    <n v="145"/>
  </r>
  <r>
    <x v="3"/>
    <x v="0"/>
    <d v="2020-02-03T00:00:00"/>
    <x v="2"/>
    <n v="33"/>
    <n v="135"/>
    <n v="117"/>
    <n v="3487"/>
    <n v="152"/>
  </r>
  <r>
    <x v="3"/>
    <x v="0"/>
    <d v="2020-02-03T00:00:00"/>
    <x v="0"/>
    <n v="40"/>
    <n v="110"/>
    <n v="108"/>
    <n v="3488"/>
    <n v="138"/>
  </r>
  <r>
    <x v="3"/>
    <x v="0"/>
    <d v="2020-02-05T00:00:00"/>
    <x v="2"/>
    <n v="29"/>
    <n v="135"/>
    <n v="117"/>
    <n v="3489"/>
    <n v="106"/>
  </r>
  <r>
    <x v="3"/>
    <x v="0"/>
    <d v="2020-02-05T00:00:00"/>
    <x v="2"/>
    <n v="30"/>
    <n v="135"/>
    <n v="117"/>
    <n v="3493"/>
    <n v="138"/>
  </r>
  <r>
    <x v="3"/>
    <x v="0"/>
    <d v="2020-02-05T00:00:00"/>
    <x v="0"/>
    <n v="50"/>
    <n v="110"/>
    <n v="108"/>
    <n v="3492"/>
    <n v="182"/>
  </r>
  <r>
    <x v="3"/>
    <x v="0"/>
    <d v="2020-02-05T00:00:00"/>
    <x v="2"/>
    <n v="39"/>
    <n v="135"/>
    <n v="117"/>
    <n v="3490"/>
    <n v="144"/>
  </r>
  <r>
    <x v="3"/>
    <x v="0"/>
    <d v="2020-02-05T00:00:00"/>
    <x v="1"/>
    <n v="42"/>
    <n v="120"/>
    <n v="110"/>
    <n v="3491"/>
    <n v="153"/>
  </r>
  <r>
    <x v="3"/>
    <x v="0"/>
    <d v="2020-02-06T00:00:00"/>
    <x v="1"/>
    <n v="60"/>
    <n v="120"/>
    <n v="110"/>
    <n v="3494"/>
    <n v="211"/>
  </r>
  <r>
    <x v="3"/>
    <x v="0"/>
    <d v="2020-02-07T00:00:00"/>
    <x v="2"/>
    <n v="48"/>
    <n v="135"/>
    <n v="117"/>
    <n v="3498"/>
    <n v="171"/>
  </r>
  <r>
    <x v="3"/>
    <x v="0"/>
    <d v="2020-02-07T00:00:00"/>
    <x v="1"/>
    <n v="59"/>
    <n v="120"/>
    <n v="110"/>
    <n v="3495"/>
    <n v="210"/>
  </r>
  <r>
    <x v="3"/>
    <x v="0"/>
    <d v="2020-02-07T00:00:00"/>
    <x v="1"/>
    <n v="50"/>
    <n v="120"/>
    <n v="110"/>
    <n v="3496"/>
    <n v="182"/>
  </r>
  <r>
    <x v="3"/>
    <x v="0"/>
    <d v="2020-02-07T00:00:00"/>
    <x v="0"/>
    <n v="33"/>
    <n v="110"/>
    <n v="108"/>
    <n v="3497"/>
    <n v="118"/>
  </r>
  <r>
    <x v="3"/>
    <x v="0"/>
    <d v="2020-02-10T00:00:00"/>
    <x v="1"/>
    <n v="39"/>
    <n v="120"/>
    <n v="110"/>
    <n v="3500"/>
    <n v="140"/>
  </r>
  <r>
    <x v="3"/>
    <x v="0"/>
    <d v="2020-02-10T00:00:00"/>
    <x v="2"/>
    <n v="38"/>
    <n v="135"/>
    <n v="117"/>
    <n v="3499"/>
    <n v="136"/>
  </r>
  <r>
    <x v="3"/>
    <x v="0"/>
    <d v="2020-02-11T00:00:00"/>
    <x v="0"/>
    <n v="56"/>
    <n v="110"/>
    <n v="108"/>
    <n v="3501"/>
    <n v="194"/>
  </r>
  <r>
    <x v="3"/>
    <x v="0"/>
    <d v="2020-02-11T00:00:00"/>
    <x v="2"/>
    <n v="39"/>
    <n v="135"/>
    <n v="117"/>
    <n v="3502"/>
    <n v="142"/>
  </r>
  <r>
    <x v="3"/>
    <x v="0"/>
    <d v="2020-02-13T00:00:00"/>
    <x v="2"/>
    <n v="30"/>
    <n v="135"/>
    <n v="117"/>
    <n v="3507"/>
    <n v="110"/>
  </r>
  <r>
    <x v="3"/>
    <x v="0"/>
    <d v="2020-02-13T00:00:00"/>
    <x v="1"/>
    <n v="52"/>
    <n v="120"/>
    <n v="110"/>
    <n v="3508"/>
    <n v="186"/>
  </r>
  <r>
    <x v="3"/>
    <x v="0"/>
    <d v="2020-02-13T00:00:00"/>
    <x v="1"/>
    <n v="39"/>
    <n v="120"/>
    <n v="110"/>
    <n v="3506"/>
    <n v="138"/>
  </r>
  <r>
    <x v="3"/>
    <x v="0"/>
    <d v="2020-02-13T00:00:00"/>
    <x v="0"/>
    <n v="55"/>
    <n v="110"/>
    <n v="108"/>
    <n v="3505"/>
    <n v="202"/>
  </r>
  <r>
    <x v="3"/>
    <x v="0"/>
    <d v="2020-02-13T00:00:00"/>
    <x v="2"/>
    <n v="47"/>
    <n v="135"/>
    <n v="117"/>
    <n v="3504"/>
    <n v="167"/>
  </r>
  <r>
    <x v="3"/>
    <x v="0"/>
    <d v="2020-02-13T00:00:00"/>
    <x v="1"/>
    <n v="46"/>
    <n v="120"/>
    <n v="110"/>
    <n v="3503"/>
    <n v="215"/>
  </r>
  <r>
    <x v="3"/>
    <x v="0"/>
    <d v="2020-02-18T00:00:00"/>
    <x v="0"/>
    <n v="42"/>
    <n v="110"/>
    <n v="108"/>
    <n v="3510"/>
    <n v="144"/>
  </r>
  <r>
    <x v="3"/>
    <x v="0"/>
    <d v="2020-02-18T00:00:00"/>
    <x v="1"/>
    <n v="60"/>
    <n v="120"/>
    <n v="110"/>
    <n v="3511"/>
    <n v="208"/>
  </r>
  <r>
    <x v="3"/>
    <x v="0"/>
    <d v="2020-02-18T00:00:00"/>
    <x v="0"/>
    <n v="41"/>
    <n v="110"/>
    <n v="108"/>
    <n v="3512"/>
    <n v="142"/>
  </r>
  <r>
    <x v="3"/>
    <x v="0"/>
    <d v="2020-02-18T00:00:00"/>
    <x v="0"/>
    <n v="36"/>
    <n v="110"/>
    <n v="108"/>
    <n v="3509"/>
    <n v="128"/>
  </r>
  <r>
    <x v="3"/>
    <x v="0"/>
    <d v="2020-02-19T00:00:00"/>
    <x v="0"/>
    <n v="54"/>
    <n v="110"/>
    <n v="108"/>
    <n v="3513"/>
    <n v="188"/>
  </r>
  <r>
    <x v="3"/>
    <x v="0"/>
    <d v="2020-02-20T00:00:00"/>
    <x v="0"/>
    <n v="34"/>
    <n v="110"/>
    <n v="108"/>
    <n v="3516"/>
    <n v="117"/>
  </r>
  <r>
    <x v="3"/>
    <x v="0"/>
    <d v="2020-02-20T00:00:00"/>
    <x v="1"/>
    <n v="39"/>
    <n v="120"/>
    <n v="110"/>
    <n v="3517"/>
    <n v="150"/>
  </r>
  <r>
    <x v="3"/>
    <x v="0"/>
    <d v="2020-02-20T00:00:00"/>
    <x v="1"/>
    <n v="45"/>
    <n v="120"/>
    <n v="110"/>
    <n v="3519"/>
    <n v="164"/>
  </r>
  <r>
    <x v="3"/>
    <x v="0"/>
    <d v="2020-02-20T00:00:00"/>
    <x v="2"/>
    <n v="30"/>
    <n v="135"/>
    <n v="117"/>
    <n v="3515"/>
    <n v="106"/>
  </r>
  <r>
    <x v="3"/>
    <x v="0"/>
    <d v="2020-02-20T00:00:00"/>
    <x v="0"/>
    <n v="37"/>
    <n v="110"/>
    <n v="108"/>
    <n v="3514"/>
    <n v="128"/>
  </r>
  <r>
    <x v="3"/>
    <x v="0"/>
    <d v="2020-02-20T00:00:00"/>
    <x v="1"/>
    <n v="61"/>
    <n v="120"/>
    <n v="110"/>
    <n v="3518"/>
    <n v="225"/>
  </r>
  <r>
    <x v="3"/>
    <x v="0"/>
    <d v="2020-02-21T00:00:00"/>
    <x v="0"/>
    <n v="49"/>
    <n v="110"/>
    <n v="108"/>
    <n v="3520"/>
    <n v="174"/>
  </r>
  <r>
    <x v="3"/>
    <x v="0"/>
    <d v="2020-02-21T00:00:00"/>
    <x v="0"/>
    <n v="52"/>
    <n v="110"/>
    <n v="108"/>
    <n v="3521"/>
    <n v="177"/>
  </r>
  <r>
    <x v="3"/>
    <x v="0"/>
    <d v="2020-02-21T00:00:00"/>
    <x v="2"/>
    <n v="31"/>
    <n v="135"/>
    <n v="117"/>
    <n v="3522"/>
    <n v="108"/>
  </r>
  <r>
    <x v="3"/>
    <x v="0"/>
    <d v="2020-02-21T00:00:00"/>
    <x v="1"/>
    <n v="53"/>
    <n v="120"/>
    <n v="110"/>
    <n v="3523"/>
    <n v="189"/>
  </r>
  <r>
    <x v="3"/>
    <x v="0"/>
    <d v="2020-02-21T00:00:00"/>
    <x v="2"/>
    <n v="45"/>
    <n v="135"/>
    <n v="117"/>
    <n v="3524"/>
    <n v="154"/>
  </r>
  <r>
    <x v="3"/>
    <x v="0"/>
    <d v="2020-02-24T00:00:00"/>
    <x v="2"/>
    <n v="51"/>
    <n v="135"/>
    <n v="117"/>
    <n v="3525"/>
    <n v="188"/>
  </r>
  <r>
    <x v="3"/>
    <x v="0"/>
    <d v="2020-02-24T00:00:00"/>
    <x v="0"/>
    <n v="55"/>
    <n v="110"/>
    <n v="108"/>
    <n v="3526"/>
    <n v="193"/>
  </r>
  <r>
    <x v="3"/>
    <x v="0"/>
    <d v="2020-02-24T00:00:00"/>
    <x v="1"/>
    <n v="49"/>
    <n v="120"/>
    <n v="110"/>
    <n v="3527"/>
    <n v="227"/>
  </r>
  <r>
    <x v="3"/>
    <x v="0"/>
    <d v="2020-02-25T00:00:00"/>
    <x v="0"/>
    <n v="39"/>
    <n v="110"/>
    <n v="108"/>
    <n v="3528"/>
    <n v="134"/>
  </r>
  <r>
    <x v="3"/>
    <x v="0"/>
    <d v="2020-02-25T00:00:00"/>
    <x v="2"/>
    <n v="33"/>
    <n v="135"/>
    <n v="117"/>
    <n v="3529"/>
    <n v="118"/>
  </r>
  <r>
    <x v="3"/>
    <x v="0"/>
    <d v="2020-02-25T00:00:00"/>
    <x v="1"/>
    <n v="46"/>
    <n v="120"/>
    <n v="110"/>
    <n v="3530"/>
    <n v="169"/>
  </r>
  <r>
    <x v="3"/>
    <x v="0"/>
    <d v="2020-02-25T00:00:00"/>
    <x v="1"/>
    <n v="57"/>
    <n v="120"/>
    <n v="110"/>
    <n v="3531"/>
    <n v="210"/>
  </r>
  <r>
    <x v="3"/>
    <x v="0"/>
    <d v="2020-02-25T00:00:00"/>
    <x v="2"/>
    <n v="42"/>
    <n v="135"/>
    <n v="117"/>
    <n v="3532"/>
    <n v="152"/>
  </r>
  <r>
    <x v="3"/>
    <x v="0"/>
    <d v="2020-02-26T00:00:00"/>
    <x v="1"/>
    <n v="59"/>
    <n v="120"/>
    <n v="110"/>
    <n v="3534"/>
    <n v="217"/>
  </r>
  <r>
    <x v="3"/>
    <x v="0"/>
    <d v="2020-02-26T00:00:00"/>
    <x v="0"/>
    <n v="59"/>
    <n v="110"/>
    <n v="108"/>
    <n v="3538"/>
    <n v="209"/>
  </r>
  <r>
    <x v="3"/>
    <x v="0"/>
    <d v="2020-02-26T00:00:00"/>
    <x v="0"/>
    <n v="44"/>
    <n v="110"/>
    <n v="108"/>
    <n v="3537"/>
    <n v="152"/>
  </r>
  <r>
    <x v="3"/>
    <x v="0"/>
    <d v="2020-02-26T00:00:00"/>
    <x v="2"/>
    <n v="47"/>
    <n v="135"/>
    <n v="117"/>
    <n v="3536"/>
    <n v="168"/>
  </r>
  <r>
    <x v="3"/>
    <x v="0"/>
    <d v="2020-02-26T00:00:00"/>
    <x v="2"/>
    <n v="33"/>
    <n v="135"/>
    <n v="117"/>
    <n v="3533"/>
    <n v="154"/>
  </r>
  <r>
    <x v="3"/>
    <x v="0"/>
    <d v="2020-02-26T00:00:00"/>
    <x v="0"/>
    <n v="39"/>
    <n v="110"/>
    <n v="108"/>
    <n v="3535"/>
    <n v="141"/>
  </r>
  <r>
    <x v="3"/>
    <x v="0"/>
    <d v="2020-02-27T00:00:00"/>
    <x v="1"/>
    <n v="47"/>
    <n v="120"/>
    <n v="110"/>
    <n v="3539"/>
    <n v="181"/>
  </r>
  <r>
    <x v="3"/>
    <x v="0"/>
    <d v="2020-02-27T00:00:00"/>
    <x v="2"/>
    <n v="52"/>
    <n v="135"/>
    <n v="117"/>
    <n v="3540"/>
    <n v="183"/>
  </r>
  <r>
    <x v="3"/>
    <x v="0"/>
    <d v="2020-02-27T00:00:00"/>
    <x v="2"/>
    <n v="39"/>
    <n v="135"/>
    <n v="117"/>
    <n v="3541"/>
    <n v="183"/>
  </r>
  <r>
    <x v="3"/>
    <x v="0"/>
    <d v="2020-02-27T00:00:00"/>
    <x v="0"/>
    <n v="42"/>
    <n v="110"/>
    <n v="108"/>
    <n v="3542"/>
    <n v="150"/>
  </r>
  <r>
    <x v="3"/>
    <x v="0"/>
    <d v="2020-02-28T00:00:00"/>
    <x v="1"/>
    <n v="57"/>
    <n v="120"/>
    <n v="110"/>
    <n v="3544"/>
    <n v="208"/>
  </r>
  <r>
    <x v="3"/>
    <x v="0"/>
    <d v="2020-02-28T00:00:00"/>
    <x v="0"/>
    <n v="33"/>
    <n v="110"/>
    <n v="108"/>
    <n v="3543"/>
    <n v="114"/>
  </r>
  <r>
    <x v="3"/>
    <x v="0"/>
    <d v="2020-03-02T00:00:00"/>
    <x v="1"/>
    <n v="57"/>
    <n v="120"/>
    <n v="110"/>
    <n v="3547"/>
    <n v="209"/>
  </r>
  <r>
    <x v="3"/>
    <x v="0"/>
    <d v="2020-03-02T00:00:00"/>
    <x v="2"/>
    <n v="28"/>
    <n v="135"/>
    <n v="117"/>
    <n v="3545"/>
    <n v="100"/>
  </r>
  <r>
    <x v="3"/>
    <x v="0"/>
    <d v="2020-03-02T00:00:00"/>
    <x v="0"/>
    <n v="50"/>
    <n v="110"/>
    <n v="108"/>
    <n v="3546"/>
    <n v="177"/>
  </r>
  <r>
    <x v="3"/>
    <x v="0"/>
    <d v="2020-03-03T00:00:00"/>
    <x v="2"/>
    <n v="54"/>
    <n v="135"/>
    <n v="117"/>
    <n v="3548"/>
    <n v="199"/>
  </r>
  <r>
    <x v="3"/>
    <x v="0"/>
    <d v="2020-03-03T00:00:00"/>
    <x v="0"/>
    <n v="48"/>
    <n v="110"/>
    <n v="108"/>
    <n v="3549"/>
    <n v="225"/>
  </r>
  <r>
    <x v="3"/>
    <x v="0"/>
    <d v="2020-03-04T00:00:00"/>
    <x v="0"/>
    <n v="49"/>
    <n v="110"/>
    <n v="108"/>
    <n v="3553"/>
    <n v="171"/>
  </r>
  <r>
    <x v="3"/>
    <x v="0"/>
    <d v="2020-03-04T00:00:00"/>
    <x v="1"/>
    <n v="52"/>
    <n v="120"/>
    <n v="110"/>
    <n v="3550"/>
    <n v="179"/>
  </r>
  <r>
    <x v="3"/>
    <x v="0"/>
    <d v="2020-03-04T00:00:00"/>
    <x v="2"/>
    <n v="50"/>
    <n v="135"/>
    <n v="117"/>
    <n v="3551"/>
    <n v="172"/>
  </r>
  <r>
    <x v="3"/>
    <x v="0"/>
    <d v="2020-03-04T00:00:00"/>
    <x v="1"/>
    <n v="60"/>
    <n v="120"/>
    <n v="110"/>
    <n v="3552"/>
    <n v="215"/>
  </r>
  <r>
    <x v="3"/>
    <x v="0"/>
    <d v="2020-03-05T00:00:00"/>
    <x v="0"/>
    <n v="49"/>
    <n v="110"/>
    <n v="108"/>
    <n v="3554"/>
    <n v="172"/>
  </r>
  <r>
    <x v="3"/>
    <x v="0"/>
    <d v="2020-03-06T00:00:00"/>
    <x v="2"/>
    <n v="53"/>
    <n v="135"/>
    <n v="117"/>
    <n v="3556"/>
    <n v="184"/>
  </r>
  <r>
    <x v="3"/>
    <x v="0"/>
    <d v="2020-03-06T00:00:00"/>
    <x v="0"/>
    <n v="40"/>
    <n v="110"/>
    <n v="108"/>
    <n v="3555"/>
    <n v="145"/>
  </r>
  <r>
    <x v="3"/>
    <x v="0"/>
    <d v="2020-03-09T00:00:00"/>
    <x v="2"/>
    <n v="34"/>
    <n v="135"/>
    <n v="117"/>
    <n v="3557"/>
    <n v="124"/>
  </r>
  <r>
    <x v="3"/>
    <x v="0"/>
    <d v="2020-03-09T00:00:00"/>
    <x v="1"/>
    <n v="59"/>
    <n v="120"/>
    <n v="110"/>
    <n v="3558"/>
    <n v="207"/>
  </r>
  <r>
    <x v="3"/>
    <x v="0"/>
    <d v="2020-03-09T00:00:00"/>
    <x v="2"/>
    <n v="31"/>
    <n v="135"/>
    <n v="117"/>
    <n v="3559"/>
    <n v="114"/>
  </r>
  <r>
    <x v="3"/>
    <x v="0"/>
    <d v="2020-03-10T00:00:00"/>
    <x v="1"/>
    <n v="47"/>
    <n v="120"/>
    <n v="110"/>
    <n v="3562"/>
    <n v="165"/>
  </r>
  <r>
    <x v="3"/>
    <x v="0"/>
    <d v="2020-03-10T00:00:00"/>
    <x v="1"/>
    <n v="64"/>
    <n v="120"/>
    <n v="110"/>
    <n v="3560"/>
    <n v="235"/>
  </r>
  <r>
    <x v="3"/>
    <x v="0"/>
    <d v="2020-03-10T00:00:00"/>
    <x v="1"/>
    <n v="45"/>
    <n v="120"/>
    <n v="110"/>
    <n v="3561"/>
    <n v="158"/>
  </r>
  <r>
    <x v="3"/>
    <x v="0"/>
    <d v="2020-03-11T00:00:00"/>
    <x v="0"/>
    <n v="33"/>
    <n v="110"/>
    <n v="108"/>
    <n v="3568"/>
    <n v="114"/>
  </r>
  <r>
    <x v="3"/>
    <x v="0"/>
    <d v="2020-03-11T00:00:00"/>
    <x v="2"/>
    <n v="30"/>
    <n v="135"/>
    <n v="117"/>
    <n v="3567"/>
    <n v="112"/>
  </r>
  <r>
    <x v="3"/>
    <x v="0"/>
    <d v="2020-03-11T00:00:00"/>
    <x v="0"/>
    <n v="51"/>
    <n v="110"/>
    <n v="108"/>
    <n v="3566"/>
    <n v="236"/>
  </r>
  <r>
    <x v="3"/>
    <x v="0"/>
    <d v="2020-03-11T00:00:00"/>
    <x v="1"/>
    <n v="48"/>
    <n v="120"/>
    <n v="110"/>
    <n v="3565"/>
    <n v="177"/>
  </r>
  <r>
    <x v="3"/>
    <x v="0"/>
    <d v="2020-03-11T00:00:00"/>
    <x v="1"/>
    <n v="49"/>
    <n v="120"/>
    <n v="110"/>
    <n v="3563"/>
    <n v="171"/>
  </r>
  <r>
    <x v="3"/>
    <x v="0"/>
    <d v="2020-03-11T00:00:00"/>
    <x v="2"/>
    <n v="52"/>
    <n v="135"/>
    <n v="117"/>
    <n v="3564"/>
    <n v="241"/>
  </r>
  <r>
    <x v="3"/>
    <x v="0"/>
    <d v="2020-03-12T00:00:00"/>
    <x v="0"/>
    <n v="37"/>
    <n v="110"/>
    <n v="108"/>
    <n v="3569"/>
    <n v="132"/>
  </r>
  <r>
    <x v="3"/>
    <x v="0"/>
    <d v="2020-03-12T00:00:00"/>
    <x v="0"/>
    <n v="52"/>
    <n v="110"/>
    <n v="108"/>
    <n v="3570"/>
    <n v="189"/>
  </r>
  <r>
    <x v="3"/>
    <x v="0"/>
    <d v="2020-03-13T00:00:00"/>
    <x v="0"/>
    <n v="45"/>
    <n v="110"/>
    <n v="108"/>
    <n v="3571"/>
    <n v="164"/>
  </r>
  <r>
    <x v="3"/>
    <x v="0"/>
    <d v="2020-03-13T00:00:00"/>
    <x v="2"/>
    <n v="52"/>
    <n v="135"/>
    <n v="117"/>
    <n v="3573"/>
    <n v="180"/>
  </r>
  <r>
    <x v="3"/>
    <x v="0"/>
    <d v="2020-03-13T00:00:00"/>
    <x v="0"/>
    <n v="54"/>
    <n v="110"/>
    <n v="108"/>
    <n v="3572"/>
    <n v="194"/>
  </r>
  <r>
    <x v="3"/>
    <x v="0"/>
    <d v="2020-03-17T00:00:00"/>
    <x v="2"/>
    <n v="40"/>
    <n v="135"/>
    <n v="117"/>
    <n v="3574"/>
    <n v="140"/>
  </r>
  <r>
    <x v="3"/>
    <x v="0"/>
    <d v="2020-03-17T00:00:00"/>
    <x v="1"/>
    <n v="62"/>
    <n v="120"/>
    <n v="110"/>
    <n v="3575"/>
    <n v="216"/>
  </r>
  <r>
    <x v="3"/>
    <x v="0"/>
    <d v="2020-03-18T00:00:00"/>
    <x v="1"/>
    <n v="42"/>
    <n v="120"/>
    <n v="110"/>
    <n v="3576"/>
    <n v="147"/>
  </r>
  <r>
    <x v="3"/>
    <x v="0"/>
    <d v="2020-03-18T00:00:00"/>
    <x v="0"/>
    <n v="38"/>
    <n v="110"/>
    <n v="108"/>
    <n v="3577"/>
    <n v="135"/>
  </r>
  <r>
    <x v="3"/>
    <x v="0"/>
    <d v="2020-03-18T00:00:00"/>
    <x v="0"/>
    <n v="40"/>
    <n v="110"/>
    <n v="108"/>
    <n v="3578"/>
    <n v="139"/>
  </r>
  <r>
    <x v="3"/>
    <x v="0"/>
    <d v="2020-03-19T00:00:00"/>
    <x v="2"/>
    <n v="52"/>
    <n v="135"/>
    <n v="117"/>
    <n v="3579"/>
    <n v="185"/>
  </r>
  <r>
    <x v="3"/>
    <x v="0"/>
    <d v="2020-03-19T00:00:00"/>
    <x v="1"/>
    <n v="57"/>
    <n v="120"/>
    <n v="110"/>
    <n v="3580"/>
    <n v="198"/>
  </r>
  <r>
    <x v="3"/>
    <x v="0"/>
    <d v="2020-03-19T00:00:00"/>
    <x v="1"/>
    <n v="52"/>
    <n v="120"/>
    <n v="110"/>
    <n v="3581"/>
    <n v="187"/>
  </r>
  <r>
    <x v="3"/>
    <x v="0"/>
    <d v="2020-03-19T00:00:00"/>
    <x v="0"/>
    <n v="41"/>
    <n v="110"/>
    <n v="108"/>
    <n v="3582"/>
    <n v="146"/>
  </r>
  <r>
    <x v="3"/>
    <x v="0"/>
    <d v="2020-03-19T00:00:00"/>
    <x v="0"/>
    <n v="49"/>
    <n v="110"/>
    <n v="108"/>
    <n v="3583"/>
    <n v="176"/>
  </r>
  <r>
    <x v="3"/>
    <x v="0"/>
    <d v="2020-03-20T00:00:00"/>
    <x v="0"/>
    <n v="37"/>
    <n v="110"/>
    <n v="108"/>
    <n v="3588"/>
    <n v="141"/>
  </r>
  <r>
    <x v="3"/>
    <x v="0"/>
    <d v="2020-03-20T00:00:00"/>
    <x v="2"/>
    <n v="41"/>
    <n v="135"/>
    <n v="117"/>
    <n v="3589"/>
    <n v="148"/>
  </r>
  <r>
    <x v="3"/>
    <x v="0"/>
    <d v="2020-03-20T00:00:00"/>
    <x v="1"/>
    <n v="49"/>
    <n v="120"/>
    <n v="110"/>
    <n v="3587"/>
    <n v="170"/>
  </r>
  <r>
    <x v="3"/>
    <x v="0"/>
    <d v="2020-03-20T00:00:00"/>
    <x v="1"/>
    <n v="63"/>
    <n v="120"/>
    <n v="110"/>
    <n v="3584"/>
    <n v="220"/>
  </r>
  <r>
    <x v="3"/>
    <x v="0"/>
    <d v="2020-03-20T00:00:00"/>
    <x v="1"/>
    <n v="47"/>
    <n v="120"/>
    <n v="110"/>
    <n v="3585"/>
    <n v="165"/>
  </r>
  <r>
    <x v="3"/>
    <x v="0"/>
    <d v="2020-03-20T00:00:00"/>
    <x v="1"/>
    <n v="55"/>
    <n v="120"/>
    <n v="110"/>
    <n v="3586"/>
    <n v="194"/>
  </r>
  <r>
    <x v="3"/>
    <x v="0"/>
    <d v="2020-03-23T00:00:00"/>
    <x v="1"/>
    <n v="58"/>
    <n v="120"/>
    <n v="110"/>
    <n v="3590"/>
    <n v="211"/>
  </r>
  <r>
    <x v="3"/>
    <x v="0"/>
    <d v="2020-03-23T00:00:00"/>
    <x v="2"/>
    <n v="51"/>
    <n v="135"/>
    <n v="117"/>
    <n v="3591"/>
    <n v="177"/>
  </r>
  <r>
    <x v="3"/>
    <x v="0"/>
    <d v="2020-03-23T00:00:00"/>
    <x v="1"/>
    <n v="61"/>
    <n v="120"/>
    <n v="110"/>
    <n v="3592"/>
    <n v="219"/>
  </r>
  <r>
    <x v="3"/>
    <x v="0"/>
    <d v="2020-03-23T00:00:00"/>
    <x v="1"/>
    <n v="62"/>
    <n v="120"/>
    <n v="110"/>
    <n v="3593"/>
    <n v="218"/>
  </r>
  <r>
    <x v="3"/>
    <x v="0"/>
    <d v="2020-03-23T00:00:00"/>
    <x v="2"/>
    <n v="45"/>
    <n v="135"/>
    <n v="117"/>
    <n v="3594"/>
    <n v="172"/>
  </r>
  <r>
    <x v="3"/>
    <x v="0"/>
    <d v="2020-03-24T00:00:00"/>
    <x v="2"/>
    <n v="43"/>
    <n v="135"/>
    <n v="117"/>
    <n v="3596"/>
    <n v="161"/>
  </r>
  <r>
    <x v="3"/>
    <x v="0"/>
    <d v="2020-03-24T00:00:00"/>
    <x v="0"/>
    <n v="49"/>
    <n v="110"/>
    <n v="108"/>
    <n v="3597"/>
    <n v="172"/>
  </r>
  <r>
    <x v="3"/>
    <x v="0"/>
    <d v="2020-03-24T00:00:00"/>
    <x v="0"/>
    <n v="43"/>
    <n v="110"/>
    <n v="108"/>
    <n v="3595"/>
    <n v="199"/>
  </r>
  <r>
    <x v="3"/>
    <x v="0"/>
    <d v="2020-03-26T00:00:00"/>
    <x v="2"/>
    <n v="46"/>
    <n v="135"/>
    <n v="117"/>
    <n v="3599"/>
    <n v="159"/>
  </r>
  <r>
    <x v="3"/>
    <x v="0"/>
    <d v="2020-03-26T00:00:00"/>
    <x v="1"/>
    <n v="63"/>
    <n v="120"/>
    <n v="110"/>
    <n v="3600"/>
    <n v="225"/>
  </r>
  <r>
    <x v="3"/>
    <x v="0"/>
    <d v="2020-03-26T00:00:00"/>
    <x v="2"/>
    <n v="42"/>
    <n v="135"/>
    <n v="117"/>
    <n v="3598"/>
    <n v="148"/>
  </r>
  <r>
    <x v="3"/>
    <x v="0"/>
    <d v="2020-03-27T00:00:00"/>
    <x v="1"/>
    <n v="48"/>
    <n v="120"/>
    <n v="110"/>
    <n v="3601"/>
    <n v="224"/>
  </r>
  <r>
    <x v="3"/>
    <x v="0"/>
    <d v="2020-03-27T00:00:00"/>
    <x v="1"/>
    <n v="49"/>
    <n v="120"/>
    <n v="110"/>
    <n v="3602"/>
    <n v="175"/>
  </r>
  <r>
    <x v="3"/>
    <x v="0"/>
    <d v="2020-03-27T00:00:00"/>
    <x v="1"/>
    <n v="45"/>
    <n v="120"/>
    <n v="110"/>
    <n v="3603"/>
    <n v="165"/>
  </r>
  <r>
    <x v="3"/>
    <x v="0"/>
    <d v="2020-03-30T00:00:00"/>
    <x v="1"/>
    <n v="50"/>
    <n v="120"/>
    <n v="110"/>
    <n v="3607"/>
    <n v="182"/>
  </r>
  <r>
    <x v="3"/>
    <x v="0"/>
    <d v="2020-03-30T00:00:00"/>
    <x v="1"/>
    <n v="39"/>
    <n v="120"/>
    <n v="110"/>
    <n v="3609"/>
    <n v="182"/>
  </r>
  <r>
    <x v="3"/>
    <x v="0"/>
    <d v="2020-03-30T00:00:00"/>
    <x v="0"/>
    <n v="40"/>
    <n v="110"/>
    <n v="108"/>
    <n v="3608"/>
    <n v="140"/>
  </r>
  <r>
    <x v="3"/>
    <x v="0"/>
    <d v="2020-03-30T00:00:00"/>
    <x v="1"/>
    <n v="45"/>
    <n v="120"/>
    <n v="110"/>
    <n v="3605"/>
    <n v="165"/>
  </r>
  <r>
    <x v="3"/>
    <x v="0"/>
    <d v="2020-03-30T00:00:00"/>
    <x v="1"/>
    <n v="42"/>
    <n v="120"/>
    <n v="110"/>
    <n v="3604"/>
    <n v="148"/>
  </r>
  <r>
    <x v="3"/>
    <x v="0"/>
    <d v="2020-03-30T00:00:00"/>
    <x v="1"/>
    <n v="42"/>
    <n v="120"/>
    <n v="110"/>
    <n v="3606"/>
    <n v="150"/>
  </r>
  <r>
    <x v="3"/>
    <x v="0"/>
    <d v="2020-03-31T00:00:00"/>
    <x v="0"/>
    <n v="59"/>
    <n v="110"/>
    <n v="108"/>
    <n v="3611"/>
    <n v="207"/>
  </r>
  <r>
    <x v="3"/>
    <x v="0"/>
    <d v="2020-03-31T00:00:00"/>
    <x v="0"/>
    <n v="35"/>
    <n v="110"/>
    <n v="108"/>
    <n v="3612"/>
    <n v="126"/>
  </r>
  <r>
    <x v="3"/>
    <x v="0"/>
    <d v="2020-03-31T00:00:00"/>
    <x v="2"/>
    <n v="30"/>
    <n v="135"/>
    <n v="117"/>
    <n v="3613"/>
    <n v="106"/>
  </r>
  <r>
    <x v="3"/>
    <x v="0"/>
    <d v="2020-03-31T00:00:00"/>
    <x v="1"/>
    <n v="59"/>
    <n v="120"/>
    <n v="110"/>
    <n v="3610"/>
    <n v="212"/>
  </r>
  <r>
    <x v="3"/>
    <x v="1"/>
    <d v="2020-04-01T00:00:00"/>
    <x v="2"/>
    <n v="47"/>
    <n v="135"/>
    <n v="117"/>
    <n v="3614"/>
    <n v="174"/>
  </r>
  <r>
    <x v="3"/>
    <x v="1"/>
    <d v="2020-04-02T00:00:00"/>
    <x v="2"/>
    <n v="31"/>
    <n v="135"/>
    <n v="117"/>
    <n v="3616"/>
    <n v="108"/>
  </r>
  <r>
    <x v="3"/>
    <x v="1"/>
    <d v="2020-04-02T00:00:00"/>
    <x v="2"/>
    <n v="50"/>
    <n v="135"/>
    <n v="117"/>
    <n v="3619"/>
    <n v="233"/>
  </r>
  <r>
    <x v="3"/>
    <x v="1"/>
    <d v="2020-04-02T00:00:00"/>
    <x v="1"/>
    <n v="52"/>
    <n v="120"/>
    <n v="110"/>
    <n v="3617"/>
    <n v="183"/>
  </r>
  <r>
    <x v="3"/>
    <x v="1"/>
    <d v="2020-04-02T00:00:00"/>
    <x v="1"/>
    <n v="41"/>
    <n v="120"/>
    <n v="110"/>
    <n v="3615"/>
    <n v="189"/>
  </r>
  <r>
    <x v="3"/>
    <x v="1"/>
    <d v="2020-04-02T00:00:00"/>
    <x v="0"/>
    <n v="52"/>
    <n v="110"/>
    <n v="108"/>
    <n v="3618"/>
    <n v="188"/>
  </r>
  <r>
    <x v="3"/>
    <x v="1"/>
    <d v="2020-04-03T00:00:00"/>
    <x v="2"/>
    <n v="40"/>
    <n v="135"/>
    <n v="117"/>
    <n v="3620"/>
    <n v="143"/>
  </r>
  <r>
    <x v="3"/>
    <x v="1"/>
    <d v="2020-04-03T00:00:00"/>
    <x v="1"/>
    <n v="52"/>
    <n v="120"/>
    <n v="110"/>
    <n v="3621"/>
    <n v="187"/>
  </r>
  <r>
    <x v="3"/>
    <x v="1"/>
    <d v="2020-04-03T00:00:00"/>
    <x v="0"/>
    <n v="37"/>
    <n v="110"/>
    <n v="108"/>
    <n v="3622"/>
    <n v="139"/>
  </r>
  <r>
    <x v="3"/>
    <x v="1"/>
    <d v="2020-04-03T00:00:00"/>
    <x v="1"/>
    <n v="58"/>
    <n v="120"/>
    <n v="110"/>
    <n v="3623"/>
    <n v="201"/>
  </r>
  <r>
    <x v="3"/>
    <x v="1"/>
    <d v="2020-04-06T00:00:00"/>
    <x v="2"/>
    <n v="26"/>
    <n v="135"/>
    <n v="117"/>
    <n v="3625"/>
    <n v="91"/>
  </r>
  <r>
    <x v="3"/>
    <x v="1"/>
    <d v="2020-04-06T00:00:00"/>
    <x v="1"/>
    <n v="56"/>
    <n v="120"/>
    <n v="110"/>
    <n v="3628"/>
    <n v="201"/>
  </r>
  <r>
    <x v="3"/>
    <x v="1"/>
    <d v="2020-04-06T00:00:00"/>
    <x v="2"/>
    <n v="26"/>
    <n v="135"/>
    <n v="117"/>
    <n v="3629"/>
    <n v="97"/>
  </r>
  <r>
    <x v="3"/>
    <x v="1"/>
    <d v="2020-04-06T00:00:00"/>
    <x v="0"/>
    <n v="50"/>
    <n v="110"/>
    <n v="108"/>
    <n v="3624"/>
    <n v="182"/>
  </r>
  <r>
    <x v="3"/>
    <x v="1"/>
    <d v="2020-04-06T00:00:00"/>
    <x v="0"/>
    <n v="49"/>
    <n v="110"/>
    <n v="108"/>
    <n v="3627"/>
    <n v="175"/>
  </r>
  <r>
    <x v="3"/>
    <x v="1"/>
    <d v="2020-04-06T00:00:00"/>
    <x v="0"/>
    <n v="39"/>
    <n v="110"/>
    <n v="108"/>
    <n v="3626"/>
    <n v="136"/>
  </r>
  <r>
    <x v="3"/>
    <x v="1"/>
    <d v="2020-04-07T00:00:00"/>
    <x v="2"/>
    <n v="48"/>
    <n v="135"/>
    <n v="117"/>
    <n v="3630"/>
    <n v="174"/>
  </r>
  <r>
    <x v="3"/>
    <x v="1"/>
    <d v="2020-04-08T00:00:00"/>
    <x v="1"/>
    <n v="48"/>
    <n v="120"/>
    <n v="110"/>
    <n v="3631"/>
    <n v="222"/>
  </r>
  <r>
    <x v="3"/>
    <x v="1"/>
    <d v="2020-04-08T00:00:00"/>
    <x v="0"/>
    <n v="31"/>
    <n v="110"/>
    <n v="108"/>
    <n v="3632"/>
    <n v="112"/>
  </r>
  <r>
    <x v="3"/>
    <x v="1"/>
    <d v="2020-04-08T00:00:00"/>
    <x v="0"/>
    <n v="48"/>
    <n v="110"/>
    <n v="108"/>
    <n v="3633"/>
    <n v="175"/>
  </r>
  <r>
    <x v="3"/>
    <x v="1"/>
    <d v="2020-04-08T00:00:00"/>
    <x v="1"/>
    <n v="40"/>
    <n v="120"/>
    <n v="110"/>
    <n v="3634"/>
    <n v="137"/>
  </r>
  <r>
    <x v="3"/>
    <x v="1"/>
    <d v="2020-04-09T00:00:00"/>
    <x v="1"/>
    <n v="46"/>
    <n v="120"/>
    <n v="110"/>
    <n v="3635"/>
    <n v="166"/>
  </r>
  <r>
    <x v="3"/>
    <x v="1"/>
    <d v="2020-04-09T00:00:00"/>
    <x v="0"/>
    <n v="47"/>
    <n v="110"/>
    <n v="108"/>
    <n v="3636"/>
    <n v="220"/>
  </r>
  <r>
    <x v="3"/>
    <x v="1"/>
    <d v="2020-04-09T00:00:00"/>
    <x v="1"/>
    <n v="42"/>
    <n v="120"/>
    <n v="110"/>
    <n v="3637"/>
    <n v="194"/>
  </r>
  <r>
    <x v="3"/>
    <x v="1"/>
    <d v="2020-04-10T00:00:00"/>
    <x v="1"/>
    <n v="56"/>
    <n v="120"/>
    <n v="110"/>
    <n v="3638"/>
    <n v="262"/>
  </r>
  <r>
    <x v="3"/>
    <x v="1"/>
    <d v="2020-04-10T00:00:00"/>
    <x v="1"/>
    <n v="59"/>
    <n v="120"/>
    <n v="110"/>
    <n v="3639"/>
    <n v="226"/>
  </r>
  <r>
    <x v="3"/>
    <x v="1"/>
    <d v="2020-04-10T00:00:00"/>
    <x v="2"/>
    <n v="48"/>
    <n v="135"/>
    <n v="117"/>
    <n v="3640"/>
    <n v="167"/>
  </r>
  <r>
    <x v="3"/>
    <x v="1"/>
    <d v="2020-04-10T00:00:00"/>
    <x v="1"/>
    <n v="47"/>
    <n v="120"/>
    <n v="110"/>
    <n v="3641"/>
    <n v="219"/>
  </r>
  <r>
    <x v="3"/>
    <x v="1"/>
    <d v="2020-04-10T00:00:00"/>
    <x v="1"/>
    <n v="36"/>
    <n v="120"/>
    <n v="110"/>
    <n v="3642"/>
    <n v="128"/>
  </r>
  <r>
    <x v="3"/>
    <x v="1"/>
    <d v="2020-04-10T00:00:00"/>
    <x v="2"/>
    <n v="49"/>
    <n v="135"/>
    <n v="117"/>
    <n v="3643"/>
    <n v="175"/>
  </r>
  <r>
    <x v="3"/>
    <x v="1"/>
    <d v="2020-04-13T00:00:00"/>
    <x v="2"/>
    <n v="41"/>
    <n v="135"/>
    <n v="117"/>
    <n v="3647"/>
    <n v="146"/>
  </r>
  <r>
    <x v="3"/>
    <x v="1"/>
    <d v="2020-04-13T00:00:00"/>
    <x v="0"/>
    <n v="29"/>
    <n v="110"/>
    <n v="108"/>
    <n v="3648"/>
    <n v="106"/>
  </r>
  <r>
    <x v="3"/>
    <x v="1"/>
    <d v="2020-04-13T00:00:00"/>
    <x v="2"/>
    <n v="30"/>
    <n v="135"/>
    <n v="117"/>
    <n v="3646"/>
    <n v="108"/>
  </r>
  <r>
    <x v="3"/>
    <x v="1"/>
    <d v="2020-04-13T00:00:00"/>
    <x v="2"/>
    <n v="28"/>
    <n v="135"/>
    <n v="117"/>
    <n v="3644"/>
    <n v="102"/>
  </r>
  <r>
    <x v="3"/>
    <x v="1"/>
    <d v="2020-04-13T00:00:00"/>
    <x v="1"/>
    <n v="52"/>
    <n v="120"/>
    <n v="110"/>
    <n v="3645"/>
    <n v="189"/>
  </r>
  <r>
    <x v="3"/>
    <x v="1"/>
    <d v="2020-04-14T00:00:00"/>
    <x v="0"/>
    <n v="40"/>
    <n v="110"/>
    <n v="108"/>
    <n v="3653"/>
    <n v="139"/>
  </r>
  <r>
    <x v="3"/>
    <x v="1"/>
    <d v="2020-04-14T00:00:00"/>
    <x v="0"/>
    <n v="34"/>
    <n v="110"/>
    <n v="108"/>
    <n v="3654"/>
    <n v="130"/>
  </r>
  <r>
    <x v="3"/>
    <x v="1"/>
    <d v="2020-04-14T00:00:00"/>
    <x v="1"/>
    <n v="60"/>
    <n v="120"/>
    <n v="110"/>
    <n v="3652"/>
    <n v="278"/>
  </r>
  <r>
    <x v="3"/>
    <x v="1"/>
    <d v="2020-04-14T00:00:00"/>
    <x v="2"/>
    <n v="46"/>
    <n v="135"/>
    <n v="117"/>
    <n v="3651"/>
    <n v="160"/>
  </r>
  <r>
    <x v="3"/>
    <x v="1"/>
    <d v="2020-04-14T00:00:00"/>
    <x v="0"/>
    <n v="41"/>
    <n v="110"/>
    <n v="108"/>
    <n v="3650"/>
    <n v="145"/>
  </r>
  <r>
    <x v="3"/>
    <x v="1"/>
    <d v="2020-04-14T00:00:00"/>
    <x v="2"/>
    <n v="24"/>
    <n v="135"/>
    <n v="117"/>
    <n v="3649"/>
    <n v="83"/>
  </r>
  <r>
    <x v="3"/>
    <x v="1"/>
    <d v="2020-04-16T00:00:00"/>
    <x v="0"/>
    <n v="45"/>
    <n v="110"/>
    <n v="108"/>
    <n v="3656"/>
    <n v="163"/>
  </r>
  <r>
    <x v="3"/>
    <x v="1"/>
    <d v="2020-04-16T00:00:00"/>
    <x v="1"/>
    <n v="46"/>
    <n v="120"/>
    <n v="110"/>
    <n v="3655"/>
    <n v="169"/>
  </r>
  <r>
    <x v="3"/>
    <x v="1"/>
    <d v="2020-04-17T00:00:00"/>
    <x v="2"/>
    <n v="28"/>
    <n v="135"/>
    <n v="117"/>
    <n v="3657"/>
    <n v="102"/>
  </r>
  <r>
    <x v="3"/>
    <x v="1"/>
    <d v="2020-04-17T00:00:00"/>
    <x v="0"/>
    <n v="45"/>
    <n v="110"/>
    <n v="108"/>
    <n v="3658"/>
    <n v="161"/>
  </r>
  <r>
    <x v="3"/>
    <x v="1"/>
    <d v="2020-04-17T00:00:00"/>
    <x v="2"/>
    <n v="33"/>
    <n v="135"/>
    <n v="117"/>
    <n v="3659"/>
    <n v="152"/>
  </r>
  <r>
    <x v="3"/>
    <x v="1"/>
    <d v="2020-04-20T00:00:00"/>
    <x v="2"/>
    <n v="36"/>
    <n v="135"/>
    <n v="117"/>
    <n v="3663"/>
    <n v="127"/>
  </r>
  <r>
    <x v="3"/>
    <x v="1"/>
    <d v="2020-04-20T00:00:00"/>
    <x v="2"/>
    <n v="25"/>
    <n v="135"/>
    <n v="117"/>
    <n v="3664"/>
    <n v="117"/>
  </r>
  <r>
    <x v="3"/>
    <x v="1"/>
    <d v="2020-04-20T00:00:00"/>
    <x v="0"/>
    <n v="31"/>
    <n v="110"/>
    <n v="108"/>
    <n v="3661"/>
    <n v="108"/>
  </r>
  <r>
    <x v="3"/>
    <x v="1"/>
    <d v="2020-04-20T00:00:00"/>
    <x v="0"/>
    <n v="38"/>
    <n v="110"/>
    <n v="108"/>
    <n v="3660"/>
    <n v="134"/>
  </r>
  <r>
    <x v="3"/>
    <x v="1"/>
    <d v="2020-04-20T00:00:00"/>
    <x v="2"/>
    <n v="29"/>
    <n v="135"/>
    <n v="117"/>
    <n v="3662"/>
    <n v="106"/>
  </r>
  <r>
    <x v="3"/>
    <x v="1"/>
    <d v="2020-04-21T00:00:00"/>
    <x v="2"/>
    <n v="42"/>
    <n v="135"/>
    <n v="117"/>
    <n v="3665"/>
    <n v="150"/>
  </r>
  <r>
    <x v="3"/>
    <x v="1"/>
    <d v="2020-04-21T00:00:00"/>
    <x v="0"/>
    <n v="39"/>
    <n v="110"/>
    <n v="108"/>
    <n v="3666"/>
    <n v="180"/>
  </r>
  <r>
    <x v="3"/>
    <x v="1"/>
    <d v="2020-04-22T00:00:00"/>
    <x v="1"/>
    <n v="34"/>
    <n v="120"/>
    <n v="110"/>
    <n v="3671"/>
    <n v="156"/>
  </r>
  <r>
    <x v="3"/>
    <x v="1"/>
    <d v="2020-04-22T00:00:00"/>
    <x v="1"/>
    <n v="55"/>
    <n v="120"/>
    <n v="110"/>
    <n v="3672"/>
    <n v="197"/>
  </r>
  <r>
    <x v="3"/>
    <x v="1"/>
    <d v="2020-04-22T00:00:00"/>
    <x v="2"/>
    <n v="34"/>
    <n v="135"/>
    <n v="117"/>
    <n v="3670"/>
    <n v="120"/>
  </r>
  <r>
    <x v="3"/>
    <x v="1"/>
    <d v="2020-04-22T00:00:00"/>
    <x v="1"/>
    <n v="50"/>
    <n v="120"/>
    <n v="110"/>
    <n v="3669"/>
    <n v="184"/>
  </r>
  <r>
    <x v="3"/>
    <x v="1"/>
    <d v="2020-04-22T00:00:00"/>
    <x v="1"/>
    <n v="45"/>
    <n v="120"/>
    <n v="110"/>
    <n v="3668"/>
    <n v="155"/>
  </r>
  <r>
    <x v="3"/>
    <x v="1"/>
    <d v="2020-04-22T00:00:00"/>
    <x v="2"/>
    <n v="43"/>
    <n v="135"/>
    <n v="117"/>
    <n v="3667"/>
    <n v="153"/>
  </r>
  <r>
    <x v="3"/>
    <x v="1"/>
    <d v="2020-04-23T00:00:00"/>
    <x v="1"/>
    <n v="58"/>
    <n v="120"/>
    <n v="110"/>
    <n v="3673"/>
    <n v="197"/>
  </r>
  <r>
    <x v="3"/>
    <x v="1"/>
    <d v="2020-04-24T00:00:00"/>
    <x v="1"/>
    <n v="37"/>
    <n v="120"/>
    <n v="110"/>
    <n v="3674"/>
    <n v="131"/>
  </r>
  <r>
    <x v="3"/>
    <x v="1"/>
    <d v="2020-04-24T00:00:00"/>
    <x v="0"/>
    <n v="38"/>
    <n v="110"/>
    <n v="108"/>
    <n v="3675"/>
    <n v="132"/>
  </r>
  <r>
    <x v="3"/>
    <x v="1"/>
    <d v="2020-04-24T00:00:00"/>
    <x v="2"/>
    <n v="25"/>
    <n v="135"/>
    <n v="117"/>
    <n v="3676"/>
    <n v="89"/>
  </r>
  <r>
    <x v="3"/>
    <x v="1"/>
    <d v="2020-04-27T00:00:00"/>
    <x v="1"/>
    <n v="41"/>
    <n v="120"/>
    <n v="110"/>
    <n v="3681"/>
    <n v="144"/>
  </r>
  <r>
    <x v="3"/>
    <x v="1"/>
    <d v="2020-04-27T00:00:00"/>
    <x v="0"/>
    <n v="51"/>
    <n v="110"/>
    <n v="108"/>
    <n v="3677"/>
    <n v="185"/>
  </r>
  <r>
    <x v="3"/>
    <x v="1"/>
    <d v="2020-04-27T00:00:00"/>
    <x v="1"/>
    <n v="35"/>
    <n v="120"/>
    <n v="110"/>
    <n v="3678"/>
    <n v="121"/>
  </r>
  <r>
    <x v="3"/>
    <x v="1"/>
    <d v="2020-04-27T00:00:00"/>
    <x v="1"/>
    <n v="49"/>
    <n v="120"/>
    <n v="110"/>
    <n v="3679"/>
    <n v="177"/>
  </r>
  <r>
    <x v="3"/>
    <x v="1"/>
    <d v="2020-04-27T00:00:00"/>
    <x v="2"/>
    <n v="26"/>
    <n v="135"/>
    <n v="117"/>
    <n v="3680"/>
    <n v="95"/>
  </r>
  <r>
    <x v="3"/>
    <x v="1"/>
    <d v="2020-04-29T00:00:00"/>
    <x v="2"/>
    <n v="45"/>
    <n v="135"/>
    <n v="117"/>
    <n v="3682"/>
    <n v="160"/>
  </r>
  <r>
    <x v="3"/>
    <x v="1"/>
    <d v="2020-04-30T00:00:00"/>
    <x v="1"/>
    <n v="50"/>
    <n v="120"/>
    <n v="110"/>
    <n v="3683"/>
    <n v="172"/>
  </r>
  <r>
    <x v="3"/>
    <x v="1"/>
    <d v="2020-04-30T00:00:00"/>
    <x v="1"/>
    <n v="47"/>
    <n v="120"/>
    <n v="110"/>
    <n v="3684"/>
    <n v="168"/>
  </r>
  <r>
    <x v="3"/>
    <x v="1"/>
    <d v="2020-04-30T00:00:00"/>
    <x v="1"/>
    <n v="43"/>
    <n v="120"/>
    <n v="110"/>
    <n v="3685"/>
    <n v="148"/>
  </r>
  <r>
    <x v="3"/>
    <x v="1"/>
    <d v="2020-04-30T00:00:00"/>
    <x v="0"/>
    <n v="34"/>
    <n v="110"/>
    <n v="108"/>
    <n v="3686"/>
    <n v="120"/>
  </r>
  <r>
    <x v="3"/>
    <x v="1"/>
    <d v="2020-05-01T00:00:00"/>
    <x v="1"/>
    <n v="36"/>
    <n v="120"/>
    <n v="110"/>
    <n v="3687"/>
    <n v="128"/>
  </r>
  <r>
    <x v="3"/>
    <x v="1"/>
    <d v="2020-05-01T00:00:00"/>
    <x v="1"/>
    <n v="52"/>
    <n v="120"/>
    <n v="110"/>
    <n v="3688"/>
    <n v="197"/>
  </r>
  <r>
    <x v="3"/>
    <x v="1"/>
    <d v="2020-05-04T00:00:00"/>
    <x v="1"/>
    <n v="45"/>
    <n v="120"/>
    <n v="110"/>
    <n v="3689"/>
    <n v="169"/>
  </r>
  <r>
    <x v="3"/>
    <x v="1"/>
    <d v="2020-05-05T00:00:00"/>
    <x v="1"/>
    <n v="34"/>
    <n v="120"/>
    <n v="110"/>
    <n v="3690"/>
    <n v="120"/>
  </r>
  <r>
    <x v="3"/>
    <x v="1"/>
    <d v="2020-05-05T00:00:00"/>
    <x v="1"/>
    <n v="57"/>
    <n v="120"/>
    <n v="110"/>
    <n v="3693"/>
    <n v="200"/>
  </r>
  <r>
    <x v="3"/>
    <x v="1"/>
    <d v="2020-05-05T00:00:00"/>
    <x v="1"/>
    <n v="49"/>
    <n v="120"/>
    <n v="110"/>
    <n v="3691"/>
    <n v="189"/>
  </r>
  <r>
    <x v="3"/>
    <x v="1"/>
    <d v="2020-05-05T00:00:00"/>
    <x v="0"/>
    <n v="54"/>
    <n v="110"/>
    <n v="108"/>
    <n v="3692"/>
    <n v="198"/>
  </r>
  <r>
    <x v="3"/>
    <x v="1"/>
    <d v="2020-05-06T00:00:00"/>
    <x v="2"/>
    <n v="48"/>
    <n v="135"/>
    <n v="117"/>
    <n v="3694"/>
    <n v="170"/>
  </r>
  <r>
    <x v="3"/>
    <x v="1"/>
    <d v="2020-05-06T00:00:00"/>
    <x v="0"/>
    <n v="34"/>
    <n v="110"/>
    <n v="108"/>
    <n v="3695"/>
    <n v="119"/>
  </r>
  <r>
    <x v="3"/>
    <x v="1"/>
    <d v="2020-05-06T00:00:00"/>
    <x v="2"/>
    <n v="39"/>
    <n v="135"/>
    <n v="117"/>
    <n v="3696"/>
    <n v="136"/>
  </r>
  <r>
    <x v="3"/>
    <x v="1"/>
    <d v="2020-05-06T00:00:00"/>
    <x v="0"/>
    <n v="31"/>
    <n v="110"/>
    <n v="108"/>
    <n v="3697"/>
    <n v="114"/>
  </r>
  <r>
    <x v="3"/>
    <x v="1"/>
    <d v="2020-05-07T00:00:00"/>
    <x v="1"/>
    <n v="51"/>
    <n v="120"/>
    <n v="110"/>
    <n v="3699"/>
    <n v="186"/>
  </r>
  <r>
    <x v="3"/>
    <x v="1"/>
    <d v="2020-05-07T00:00:00"/>
    <x v="2"/>
    <n v="44"/>
    <n v="135"/>
    <n v="117"/>
    <n v="3700"/>
    <n v="160"/>
  </r>
  <r>
    <x v="3"/>
    <x v="1"/>
    <d v="2020-05-07T00:00:00"/>
    <x v="1"/>
    <n v="57"/>
    <n v="120"/>
    <n v="110"/>
    <n v="3698"/>
    <n v="209"/>
  </r>
  <r>
    <x v="3"/>
    <x v="1"/>
    <d v="2020-05-08T00:00:00"/>
    <x v="1"/>
    <n v="45"/>
    <n v="120"/>
    <n v="110"/>
    <n v="3701"/>
    <n v="165"/>
  </r>
  <r>
    <x v="3"/>
    <x v="1"/>
    <d v="2020-05-08T00:00:00"/>
    <x v="2"/>
    <n v="26"/>
    <n v="135"/>
    <n v="117"/>
    <n v="3702"/>
    <n v="92"/>
  </r>
  <r>
    <x v="3"/>
    <x v="1"/>
    <d v="2020-05-08T00:00:00"/>
    <x v="1"/>
    <n v="39"/>
    <n v="120"/>
    <n v="110"/>
    <n v="3703"/>
    <n v="140"/>
  </r>
  <r>
    <x v="3"/>
    <x v="1"/>
    <d v="2020-05-08T00:00:00"/>
    <x v="1"/>
    <n v="39"/>
    <n v="120"/>
    <n v="110"/>
    <n v="3704"/>
    <n v="139"/>
  </r>
  <r>
    <x v="3"/>
    <x v="1"/>
    <d v="2020-05-11T00:00:00"/>
    <x v="2"/>
    <n v="40"/>
    <n v="135"/>
    <n v="117"/>
    <n v="3705"/>
    <n v="147"/>
  </r>
  <r>
    <x v="3"/>
    <x v="1"/>
    <d v="2020-05-11T00:00:00"/>
    <x v="0"/>
    <n v="33"/>
    <n v="110"/>
    <n v="108"/>
    <n v="3706"/>
    <n v="116"/>
  </r>
  <r>
    <x v="3"/>
    <x v="1"/>
    <d v="2020-05-12T00:00:00"/>
    <x v="0"/>
    <n v="30"/>
    <n v="110"/>
    <n v="108"/>
    <n v="3708"/>
    <n v="138"/>
  </r>
  <r>
    <x v="3"/>
    <x v="1"/>
    <d v="2020-05-12T00:00:00"/>
    <x v="2"/>
    <n v="50"/>
    <n v="135"/>
    <n v="117"/>
    <n v="3709"/>
    <n v="230"/>
  </r>
  <r>
    <x v="3"/>
    <x v="1"/>
    <d v="2020-05-12T00:00:00"/>
    <x v="1"/>
    <n v="53"/>
    <n v="120"/>
    <n v="110"/>
    <n v="3707"/>
    <n v="186"/>
  </r>
  <r>
    <x v="3"/>
    <x v="1"/>
    <d v="2020-05-12T00:00:00"/>
    <x v="1"/>
    <n v="39"/>
    <n v="120"/>
    <n v="110"/>
    <n v="3710"/>
    <n v="142"/>
  </r>
  <r>
    <x v="3"/>
    <x v="1"/>
    <d v="2020-05-13T00:00:00"/>
    <x v="0"/>
    <n v="41"/>
    <n v="110"/>
    <n v="108"/>
    <n v="3711"/>
    <n v="148"/>
  </r>
  <r>
    <x v="3"/>
    <x v="1"/>
    <d v="2020-05-13T00:00:00"/>
    <x v="2"/>
    <n v="27"/>
    <n v="135"/>
    <n v="117"/>
    <n v="3712"/>
    <n v="98"/>
  </r>
  <r>
    <x v="3"/>
    <x v="1"/>
    <d v="2020-05-13T00:00:00"/>
    <x v="1"/>
    <n v="50"/>
    <n v="120"/>
    <n v="110"/>
    <n v="3713"/>
    <n v="172"/>
  </r>
  <r>
    <x v="3"/>
    <x v="1"/>
    <d v="2020-05-14T00:00:00"/>
    <x v="2"/>
    <n v="46"/>
    <n v="135"/>
    <n v="117"/>
    <n v="3714"/>
    <n v="158"/>
  </r>
  <r>
    <x v="3"/>
    <x v="1"/>
    <d v="2020-05-14T00:00:00"/>
    <x v="2"/>
    <n v="45"/>
    <n v="135"/>
    <n v="117"/>
    <n v="3715"/>
    <n v="158"/>
  </r>
  <r>
    <x v="3"/>
    <x v="1"/>
    <d v="2020-05-15T00:00:00"/>
    <x v="0"/>
    <n v="47"/>
    <n v="110"/>
    <n v="108"/>
    <n v="3716"/>
    <n v="165"/>
  </r>
  <r>
    <x v="3"/>
    <x v="1"/>
    <d v="2020-05-15T00:00:00"/>
    <x v="0"/>
    <n v="41"/>
    <n v="110"/>
    <n v="108"/>
    <n v="3719"/>
    <n v="146"/>
  </r>
  <r>
    <x v="3"/>
    <x v="1"/>
    <d v="2020-05-15T00:00:00"/>
    <x v="1"/>
    <n v="42"/>
    <n v="120"/>
    <n v="110"/>
    <n v="3718"/>
    <n v="145"/>
  </r>
  <r>
    <x v="3"/>
    <x v="1"/>
    <d v="2020-05-15T00:00:00"/>
    <x v="2"/>
    <n v="50"/>
    <n v="135"/>
    <n v="117"/>
    <n v="3717"/>
    <n v="179"/>
  </r>
  <r>
    <x v="3"/>
    <x v="1"/>
    <d v="2020-05-18T00:00:00"/>
    <x v="1"/>
    <n v="49"/>
    <n v="120"/>
    <n v="110"/>
    <n v="3720"/>
    <n v="174"/>
  </r>
  <r>
    <x v="3"/>
    <x v="1"/>
    <d v="2020-05-18T00:00:00"/>
    <x v="2"/>
    <n v="25"/>
    <n v="135"/>
    <n v="117"/>
    <n v="3721"/>
    <n v="117"/>
  </r>
  <r>
    <x v="3"/>
    <x v="1"/>
    <d v="2020-05-18T00:00:00"/>
    <x v="1"/>
    <n v="43"/>
    <n v="120"/>
    <n v="110"/>
    <n v="3722"/>
    <n v="198"/>
  </r>
  <r>
    <x v="3"/>
    <x v="1"/>
    <d v="2020-05-18T00:00:00"/>
    <x v="2"/>
    <n v="48"/>
    <n v="135"/>
    <n v="117"/>
    <n v="3723"/>
    <n v="174"/>
  </r>
  <r>
    <x v="3"/>
    <x v="1"/>
    <d v="2020-05-18T00:00:00"/>
    <x v="1"/>
    <n v="48"/>
    <n v="120"/>
    <n v="110"/>
    <n v="3724"/>
    <n v="168"/>
  </r>
  <r>
    <x v="3"/>
    <x v="1"/>
    <d v="2020-05-18T00:00:00"/>
    <x v="2"/>
    <n v="46"/>
    <n v="135"/>
    <n v="117"/>
    <n v="3725"/>
    <n v="166"/>
  </r>
  <r>
    <x v="3"/>
    <x v="1"/>
    <d v="2020-05-19T00:00:00"/>
    <x v="2"/>
    <n v="41"/>
    <n v="135"/>
    <n v="117"/>
    <n v="3727"/>
    <n v="148"/>
  </r>
  <r>
    <x v="3"/>
    <x v="1"/>
    <d v="2020-05-19T00:00:00"/>
    <x v="2"/>
    <n v="43"/>
    <n v="135"/>
    <n v="117"/>
    <n v="3728"/>
    <n v="149"/>
  </r>
  <r>
    <x v="3"/>
    <x v="1"/>
    <d v="2020-05-19T00:00:00"/>
    <x v="2"/>
    <n v="33"/>
    <n v="135"/>
    <n v="117"/>
    <n v="3726"/>
    <n v="120"/>
  </r>
  <r>
    <x v="3"/>
    <x v="1"/>
    <d v="2020-05-21T00:00:00"/>
    <x v="0"/>
    <n v="40"/>
    <n v="110"/>
    <n v="108"/>
    <n v="3730"/>
    <n v="147"/>
  </r>
  <r>
    <x v="3"/>
    <x v="1"/>
    <d v="2020-05-21T00:00:00"/>
    <x v="2"/>
    <n v="29"/>
    <n v="135"/>
    <n v="117"/>
    <n v="3731"/>
    <n v="107"/>
  </r>
  <r>
    <x v="3"/>
    <x v="1"/>
    <d v="2020-05-21T00:00:00"/>
    <x v="2"/>
    <n v="34"/>
    <n v="135"/>
    <n v="117"/>
    <n v="3729"/>
    <n v="120"/>
  </r>
  <r>
    <x v="3"/>
    <x v="1"/>
    <d v="2020-05-22T00:00:00"/>
    <x v="2"/>
    <n v="27"/>
    <n v="135"/>
    <n v="117"/>
    <n v="3732"/>
    <n v="98"/>
  </r>
  <r>
    <x v="3"/>
    <x v="1"/>
    <d v="2020-05-22T00:00:00"/>
    <x v="1"/>
    <n v="44"/>
    <n v="120"/>
    <n v="110"/>
    <n v="3733"/>
    <n v="157"/>
  </r>
  <r>
    <x v="3"/>
    <x v="1"/>
    <d v="2020-05-22T00:00:00"/>
    <x v="1"/>
    <n v="36"/>
    <n v="120"/>
    <n v="110"/>
    <n v="3734"/>
    <n v="130"/>
  </r>
  <r>
    <x v="3"/>
    <x v="1"/>
    <d v="2020-05-25T00:00:00"/>
    <x v="1"/>
    <n v="59"/>
    <n v="120"/>
    <n v="110"/>
    <n v="3736"/>
    <n v="221"/>
  </r>
  <r>
    <x v="3"/>
    <x v="1"/>
    <d v="2020-05-25T00:00:00"/>
    <x v="1"/>
    <n v="56"/>
    <n v="120"/>
    <n v="110"/>
    <n v="3735"/>
    <n v="194"/>
  </r>
  <r>
    <x v="3"/>
    <x v="1"/>
    <d v="2020-05-26T00:00:00"/>
    <x v="0"/>
    <n v="36"/>
    <n v="110"/>
    <n v="108"/>
    <n v="3739"/>
    <n v="131"/>
  </r>
  <r>
    <x v="3"/>
    <x v="1"/>
    <d v="2020-05-26T00:00:00"/>
    <x v="1"/>
    <n v="37"/>
    <n v="120"/>
    <n v="110"/>
    <n v="3740"/>
    <n v="128"/>
  </r>
  <r>
    <x v="3"/>
    <x v="1"/>
    <d v="2020-05-26T00:00:00"/>
    <x v="2"/>
    <n v="28"/>
    <n v="135"/>
    <n v="117"/>
    <n v="3737"/>
    <n v="97"/>
  </r>
  <r>
    <x v="3"/>
    <x v="1"/>
    <d v="2020-05-26T00:00:00"/>
    <x v="0"/>
    <n v="36"/>
    <n v="110"/>
    <n v="108"/>
    <n v="3738"/>
    <n v="130"/>
  </r>
  <r>
    <x v="3"/>
    <x v="1"/>
    <d v="2020-05-27T00:00:00"/>
    <x v="2"/>
    <n v="49"/>
    <n v="135"/>
    <n v="117"/>
    <n v="3741"/>
    <n v="227"/>
  </r>
  <r>
    <x v="3"/>
    <x v="1"/>
    <d v="2020-05-27T00:00:00"/>
    <x v="2"/>
    <n v="48"/>
    <n v="135"/>
    <n v="117"/>
    <n v="3742"/>
    <n v="166"/>
  </r>
  <r>
    <x v="3"/>
    <x v="1"/>
    <d v="2020-05-27T00:00:00"/>
    <x v="1"/>
    <n v="44"/>
    <n v="120"/>
    <n v="110"/>
    <n v="3743"/>
    <n v="161"/>
  </r>
  <r>
    <x v="3"/>
    <x v="1"/>
    <d v="2020-05-27T00:00:00"/>
    <x v="1"/>
    <n v="52"/>
    <n v="120"/>
    <n v="110"/>
    <n v="3744"/>
    <n v="186"/>
  </r>
  <r>
    <x v="3"/>
    <x v="1"/>
    <d v="2020-05-27T00:00:00"/>
    <x v="1"/>
    <n v="34"/>
    <n v="120"/>
    <n v="110"/>
    <n v="3745"/>
    <n v="118"/>
  </r>
  <r>
    <x v="3"/>
    <x v="1"/>
    <d v="2020-05-28T00:00:00"/>
    <x v="2"/>
    <n v="39"/>
    <n v="135"/>
    <n v="117"/>
    <n v="3746"/>
    <n v="138"/>
  </r>
  <r>
    <x v="3"/>
    <x v="1"/>
    <d v="2020-05-28T00:00:00"/>
    <x v="0"/>
    <n v="46"/>
    <n v="110"/>
    <n v="108"/>
    <n v="3750"/>
    <n v="212"/>
  </r>
  <r>
    <x v="3"/>
    <x v="1"/>
    <d v="2020-05-28T00:00:00"/>
    <x v="0"/>
    <n v="34"/>
    <n v="110"/>
    <n v="108"/>
    <n v="3749"/>
    <n v="156"/>
  </r>
  <r>
    <x v="3"/>
    <x v="1"/>
    <d v="2020-05-28T00:00:00"/>
    <x v="0"/>
    <n v="37"/>
    <n v="110"/>
    <n v="108"/>
    <n v="3747"/>
    <n v="173"/>
  </r>
  <r>
    <x v="3"/>
    <x v="1"/>
    <d v="2020-05-28T00:00:00"/>
    <x v="1"/>
    <n v="36"/>
    <n v="120"/>
    <n v="110"/>
    <n v="3748"/>
    <n v="133"/>
  </r>
  <r>
    <x v="3"/>
    <x v="1"/>
    <d v="2020-05-29T00:00:00"/>
    <x v="1"/>
    <n v="39"/>
    <n v="120"/>
    <n v="110"/>
    <n v="3751"/>
    <n v="141"/>
  </r>
  <r>
    <x v="3"/>
    <x v="1"/>
    <d v="2020-05-29T00:00:00"/>
    <x v="0"/>
    <n v="29"/>
    <n v="110"/>
    <n v="108"/>
    <n v="3752"/>
    <n v="101"/>
  </r>
  <r>
    <x v="3"/>
    <x v="1"/>
    <d v="2020-06-01T00:00:00"/>
    <x v="0"/>
    <n v="37"/>
    <n v="110"/>
    <n v="108"/>
    <n v="3756"/>
    <n v="131"/>
  </r>
  <r>
    <x v="3"/>
    <x v="1"/>
    <d v="2020-06-01T00:00:00"/>
    <x v="2"/>
    <n v="37"/>
    <n v="135"/>
    <n v="117"/>
    <n v="3757"/>
    <n v="174"/>
  </r>
  <r>
    <x v="3"/>
    <x v="1"/>
    <d v="2020-06-01T00:00:00"/>
    <x v="0"/>
    <n v="33"/>
    <n v="110"/>
    <n v="108"/>
    <n v="3758"/>
    <n v="117"/>
  </r>
  <r>
    <x v="3"/>
    <x v="1"/>
    <d v="2020-06-01T00:00:00"/>
    <x v="1"/>
    <n v="49"/>
    <n v="120"/>
    <n v="110"/>
    <n v="3753"/>
    <n v="225"/>
  </r>
  <r>
    <x v="3"/>
    <x v="1"/>
    <d v="2020-06-01T00:00:00"/>
    <x v="1"/>
    <n v="35"/>
    <n v="120"/>
    <n v="110"/>
    <n v="3754"/>
    <n v="162"/>
  </r>
  <r>
    <x v="3"/>
    <x v="1"/>
    <d v="2020-06-01T00:00:00"/>
    <x v="2"/>
    <n v="48"/>
    <n v="135"/>
    <n v="117"/>
    <n v="3755"/>
    <n v="222"/>
  </r>
  <r>
    <x v="3"/>
    <x v="1"/>
    <d v="2020-06-03T00:00:00"/>
    <x v="1"/>
    <n v="60"/>
    <n v="120"/>
    <n v="110"/>
    <n v="3759"/>
    <n v="208"/>
  </r>
  <r>
    <x v="3"/>
    <x v="1"/>
    <d v="2020-06-03T00:00:00"/>
    <x v="0"/>
    <n v="39"/>
    <n v="110"/>
    <n v="108"/>
    <n v="3760"/>
    <n v="138"/>
  </r>
  <r>
    <x v="3"/>
    <x v="1"/>
    <d v="2020-06-03T00:00:00"/>
    <x v="1"/>
    <n v="49"/>
    <n v="120"/>
    <n v="110"/>
    <n v="3761"/>
    <n v="174"/>
  </r>
  <r>
    <x v="3"/>
    <x v="1"/>
    <d v="2020-06-04T00:00:00"/>
    <x v="1"/>
    <n v="53"/>
    <n v="120"/>
    <n v="110"/>
    <n v="3763"/>
    <n v="193"/>
  </r>
  <r>
    <x v="3"/>
    <x v="1"/>
    <d v="2020-06-04T00:00:00"/>
    <x v="2"/>
    <n v="42"/>
    <n v="135"/>
    <n v="117"/>
    <n v="3762"/>
    <n v="153"/>
  </r>
  <r>
    <x v="3"/>
    <x v="1"/>
    <d v="2020-06-05T00:00:00"/>
    <x v="1"/>
    <n v="59"/>
    <n v="120"/>
    <n v="110"/>
    <n v="3767"/>
    <n v="208"/>
  </r>
  <r>
    <x v="3"/>
    <x v="1"/>
    <d v="2020-06-05T00:00:00"/>
    <x v="1"/>
    <n v="40"/>
    <n v="120"/>
    <n v="110"/>
    <n v="3766"/>
    <n v="143"/>
  </r>
  <r>
    <x v="3"/>
    <x v="1"/>
    <d v="2020-06-05T00:00:00"/>
    <x v="0"/>
    <n v="33"/>
    <n v="110"/>
    <n v="108"/>
    <n v="3764"/>
    <n v="120"/>
  </r>
  <r>
    <x v="3"/>
    <x v="1"/>
    <d v="2020-06-05T00:00:00"/>
    <x v="0"/>
    <n v="35"/>
    <n v="110"/>
    <n v="108"/>
    <n v="3765"/>
    <n v="135"/>
  </r>
  <r>
    <x v="3"/>
    <x v="1"/>
    <d v="2020-06-08T00:00:00"/>
    <x v="2"/>
    <n v="29"/>
    <n v="135"/>
    <n v="117"/>
    <n v="3768"/>
    <n v="103"/>
  </r>
  <r>
    <x v="3"/>
    <x v="1"/>
    <d v="2020-06-09T00:00:00"/>
    <x v="0"/>
    <n v="31"/>
    <n v="110"/>
    <n v="108"/>
    <n v="3771"/>
    <n v="111"/>
  </r>
  <r>
    <x v="3"/>
    <x v="1"/>
    <d v="2020-06-09T00:00:00"/>
    <x v="2"/>
    <n v="49"/>
    <n v="135"/>
    <n v="117"/>
    <n v="3774"/>
    <n v="172"/>
  </r>
  <r>
    <x v="3"/>
    <x v="1"/>
    <d v="2020-06-09T00:00:00"/>
    <x v="1"/>
    <n v="50"/>
    <n v="120"/>
    <n v="110"/>
    <n v="3772"/>
    <n v="184"/>
  </r>
  <r>
    <x v="3"/>
    <x v="1"/>
    <d v="2020-06-09T00:00:00"/>
    <x v="2"/>
    <n v="26"/>
    <n v="135"/>
    <n v="117"/>
    <n v="3769"/>
    <n v="91"/>
  </r>
  <r>
    <x v="3"/>
    <x v="1"/>
    <d v="2020-06-09T00:00:00"/>
    <x v="0"/>
    <n v="45"/>
    <n v="110"/>
    <n v="108"/>
    <n v="3773"/>
    <n v="161"/>
  </r>
  <r>
    <x v="3"/>
    <x v="1"/>
    <d v="2020-06-09T00:00:00"/>
    <x v="2"/>
    <n v="25"/>
    <n v="135"/>
    <n v="117"/>
    <n v="3770"/>
    <n v="90"/>
  </r>
  <r>
    <x v="3"/>
    <x v="1"/>
    <d v="2020-06-10T00:00:00"/>
    <x v="1"/>
    <n v="38"/>
    <n v="120"/>
    <n v="110"/>
    <n v="3775"/>
    <n v="132"/>
  </r>
  <r>
    <x v="3"/>
    <x v="1"/>
    <d v="2020-06-11T00:00:00"/>
    <x v="1"/>
    <n v="41"/>
    <n v="120"/>
    <n v="110"/>
    <n v="3776"/>
    <n v="141"/>
  </r>
  <r>
    <x v="3"/>
    <x v="1"/>
    <d v="2020-06-11T00:00:00"/>
    <x v="1"/>
    <n v="37"/>
    <n v="120"/>
    <n v="110"/>
    <n v="3777"/>
    <n v="131"/>
  </r>
  <r>
    <x v="3"/>
    <x v="1"/>
    <d v="2020-06-11T00:00:00"/>
    <x v="2"/>
    <n v="27"/>
    <n v="135"/>
    <n v="117"/>
    <n v="3778"/>
    <n v="98"/>
  </r>
  <r>
    <x v="3"/>
    <x v="1"/>
    <d v="2020-06-15T00:00:00"/>
    <x v="2"/>
    <n v="46"/>
    <n v="135"/>
    <n v="117"/>
    <n v="3779"/>
    <n v="169"/>
  </r>
  <r>
    <x v="3"/>
    <x v="1"/>
    <d v="2020-06-15T00:00:00"/>
    <x v="2"/>
    <n v="35"/>
    <n v="135"/>
    <n v="117"/>
    <n v="3780"/>
    <n v="164"/>
  </r>
  <r>
    <x v="3"/>
    <x v="1"/>
    <d v="2020-06-15T00:00:00"/>
    <x v="0"/>
    <n v="34"/>
    <n v="110"/>
    <n v="108"/>
    <n v="3781"/>
    <n v="124"/>
  </r>
  <r>
    <x v="3"/>
    <x v="1"/>
    <d v="2020-06-16T00:00:00"/>
    <x v="0"/>
    <n v="40"/>
    <n v="110"/>
    <n v="108"/>
    <n v="3782"/>
    <n v="137"/>
  </r>
  <r>
    <x v="3"/>
    <x v="1"/>
    <d v="2020-06-16T00:00:00"/>
    <x v="0"/>
    <n v="32"/>
    <n v="110"/>
    <n v="108"/>
    <n v="3783"/>
    <n v="148"/>
  </r>
  <r>
    <x v="3"/>
    <x v="1"/>
    <d v="2020-06-16T00:00:00"/>
    <x v="1"/>
    <n v="49"/>
    <n v="120"/>
    <n v="110"/>
    <n v="3784"/>
    <n v="169"/>
  </r>
  <r>
    <x v="3"/>
    <x v="1"/>
    <d v="2020-06-16T00:00:00"/>
    <x v="1"/>
    <n v="57"/>
    <n v="120"/>
    <n v="110"/>
    <n v="3785"/>
    <n v="207"/>
  </r>
  <r>
    <x v="3"/>
    <x v="1"/>
    <d v="2020-06-17T00:00:00"/>
    <x v="0"/>
    <n v="29"/>
    <n v="110"/>
    <n v="108"/>
    <n v="3786"/>
    <n v="105"/>
  </r>
  <r>
    <x v="3"/>
    <x v="1"/>
    <d v="2020-06-18T00:00:00"/>
    <x v="0"/>
    <n v="32"/>
    <n v="110"/>
    <n v="108"/>
    <n v="3790"/>
    <n v="116"/>
  </r>
  <r>
    <x v="3"/>
    <x v="1"/>
    <d v="2020-06-18T00:00:00"/>
    <x v="0"/>
    <n v="31"/>
    <n v="110"/>
    <n v="108"/>
    <n v="3789"/>
    <n v="114"/>
  </r>
  <r>
    <x v="3"/>
    <x v="1"/>
    <d v="2020-06-18T00:00:00"/>
    <x v="0"/>
    <n v="49"/>
    <n v="110"/>
    <n v="108"/>
    <n v="3788"/>
    <n v="169"/>
  </r>
  <r>
    <x v="3"/>
    <x v="1"/>
    <d v="2020-06-18T00:00:00"/>
    <x v="1"/>
    <n v="39"/>
    <n v="120"/>
    <n v="110"/>
    <n v="3787"/>
    <n v="179"/>
  </r>
  <r>
    <x v="3"/>
    <x v="1"/>
    <d v="2020-06-18T00:00:00"/>
    <x v="2"/>
    <n v="32"/>
    <n v="135"/>
    <n v="117"/>
    <n v="3791"/>
    <n v="110"/>
  </r>
  <r>
    <x v="3"/>
    <x v="1"/>
    <d v="2020-06-22T00:00:00"/>
    <x v="2"/>
    <n v="28"/>
    <n v="135"/>
    <n v="117"/>
    <n v="3792"/>
    <n v="97"/>
  </r>
  <r>
    <x v="3"/>
    <x v="1"/>
    <d v="2020-06-22T00:00:00"/>
    <x v="1"/>
    <n v="43"/>
    <n v="120"/>
    <n v="110"/>
    <n v="3793"/>
    <n v="202"/>
  </r>
  <r>
    <x v="3"/>
    <x v="1"/>
    <d v="2020-06-22T00:00:00"/>
    <x v="2"/>
    <n v="34"/>
    <n v="135"/>
    <n v="117"/>
    <n v="3794"/>
    <n v="124"/>
  </r>
  <r>
    <x v="3"/>
    <x v="1"/>
    <d v="2020-06-22T00:00:00"/>
    <x v="2"/>
    <n v="38"/>
    <n v="135"/>
    <n v="117"/>
    <n v="3795"/>
    <n v="136"/>
  </r>
  <r>
    <x v="3"/>
    <x v="1"/>
    <d v="2020-06-24T00:00:00"/>
    <x v="2"/>
    <n v="50"/>
    <n v="135"/>
    <n v="117"/>
    <n v="3798"/>
    <n v="179"/>
  </r>
  <r>
    <x v="3"/>
    <x v="1"/>
    <d v="2020-06-24T00:00:00"/>
    <x v="0"/>
    <n v="36"/>
    <n v="110"/>
    <n v="108"/>
    <n v="3801"/>
    <n v="128"/>
  </r>
  <r>
    <x v="3"/>
    <x v="1"/>
    <d v="2020-06-24T00:00:00"/>
    <x v="2"/>
    <n v="48"/>
    <n v="135"/>
    <n v="117"/>
    <n v="3799"/>
    <n v="176"/>
  </r>
  <r>
    <x v="3"/>
    <x v="1"/>
    <d v="2020-06-24T00:00:00"/>
    <x v="2"/>
    <n v="24"/>
    <n v="135"/>
    <n v="117"/>
    <n v="3797"/>
    <n v="84"/>
  </r>
  <r>
    <x v="3"/>
    <x v="1"/>
    <d v="2020-06-24T00:00:00"/>
    <x v="0"/>
    <n v="35"/>
    <n v="110"/>
    <n v="108"/>
    <n v="3796"/>
    <n v="162"/>
  </r>
  <r>
    <x v="3"/>
    <x v="1"/>
    <d v="2020-06-24T00:00:00"/>
    <x v="2"/>
    <n v="49"/>
    <n v="135"/>
    <n v="117"/>
    <n v="3800"/>
    <n v="173"/>
  </r>
  <r>
    <x v="3"/>
    <x v="1"/>
    <d v="2020-06-25T00:00:00"/>
    <x v="2"/>
    <n v="49"/>
    <n v="135"/>
    <n v="117"/>
    <n v="3802"/>
    <n v="173"/>
  </r>
  <r>
    <x v="3"/>
    <x v="1"/>
    <d v="2020-06-25T00:00:00"/>
    <x v="0"/>
    <n v="32"/>
    <n v="110"/>
    <n v="108"/>
    <n v="3803"/>
    <n v="117"/>
  </r>
  <r>
    <x v="3"/>
    <x v="1"/>
    <d v="2020-06-26T00:00:00"/>
    <x v="1"/>
    <n v="52"/>
    <n v="120"/>
    <n v="110"/>
    <n v="3804"/>
    <n v="190"/>
  </r>
  <r>
    <x v="3"/>
    <x v="1"/>
    <d v="2020-06-26T00:00:00"/>
    <x v="1"/>
    <n v="34"/>
    <n v="120"/>
    <n v="110"/>
    <n v="3805"/>
    <n v="122"/>
  </r>
  <r>
    <x v="3"/>
    <x v="1"/>
    <d v="2020-06-30T00:00:00"/>
    <x v="1"/>
    <n v="48"/>
    <n v="120"/>
    <n v="110"/>
    <n v="3807"/>
    <n v="165"/>
  </r>
  <r>
    <x v="3"/>
    <x v="1"/>
    <d v="2020-06-30T00:00:00"/>
    <x v="1"/>
    <n v="37"/>
    <n v="120"/>
    <n v="110"/>
    <n v="3806"/>
    <n v="131"/>
  </r>
  <r>
    <x v="3"/>
    <x v="2"/>
    <d v="2020-07-01T00:00:00"/>
    <x v="1"/>
    <n v="31"/>
    <n v="120"/>
    <n v="110"/>
    <n v="3812"/>
    <n v="110"/>
  </r>
  <r>
    <x v="3"/>
    <x v="2"/>
    <d v="2020-07-01T00:00:00"/>
    <x v="1"/>
    <n v="34"/>
    <n v="120"/>
    <n v="110"/>
    <n v="3811"/>
    <n v="118"/>
  </r>
  <r>
    <x v="3"/>
    <x v="2"/>
    <d v="2020-07-01T00:00:00"/>
    <x v="0"/>
    <n v="48"/>
    <n v="105"/>
    <n v="108"/>
    <n v="3808"/>
    <n v="222"/>
  </r>
  <r>
    <x v="3"/>
    <x v="2"/>
    <d v="2020-07-01T00:00:00"/>
    <x v="2"/>
    <n v="41"/>
    <n v="135"/>
    <n v="117"/>
    <n v="3810"/>
    <n v="148"/>
  </r>
  <r>
    <x v="3"/>
    <x v="2"/>
    <d v="2020-07-01T00:00:00"/>
    <x v="2"/>
    <n v="39"/>
    <n v="135"/>
    <n v="117"/>
    <n v="3809"/>
    <n v="140"/>
  </r>
  <r>
    <x v="3"/>
    <x v="2"/>
    <d v="2020-07-02T00:00:00"/>
    <x v="1"/>
    <n v="55"/>
    <n v="120"/>
    <n v="110"/>
    <n v="3813"/>
    <n v="192"/>
  </r>
  <r>
    <x v="3"/>
    <x v="2"/>
    <d v="2020-07-02T00:00:00"/>
    <x v="0"/>
    <n v="37"/>
    <n v="105"/>
    <n v="108"/>
    <n v="3814"/>
    <n v="131"/>
  </r>
  <r>
    <x v="3"/>
    <x v="2"/>
    <d v="2020-07-02T00:00:00"/>
    <x v="0"/>
    <n v="49"/>
    <n v="105"/>
    <n v="108"/>
    <n v="3815"/>
    <n v="226"/>
  </r>
  <r>
    <x v="3"/>
    <x v="2"/>
    <d v="2020-07-02T00:00:00"/>
    <x v="2"/>
    <n v="31"/>
    <n v="135"/>
    <n v="117"/>
    <n v="3816"/>
    <n v="110"/>
  </r>
  <r>
    <x v="3"/>
    <x v="2"/>
    <d v="2020-07-02T00:00:00"/>
    <x v="2"/>
    <n v="41"/>
    <n v="135"/>
    <n v="117"/>
    <n v="3817"/>
    <n v="191"/>
  </r>
  <r>
    <x v="3"/>
    <x v="2"/>
    <d v="2020-07-03T00:00:00"/>
    <x v="2"/>
    <n v="34"/>
    <n v="135"/>
    <n v="117"/>
    <n v="3818"/>
    <n v="156"/>
  </r>
  <r>
    <x v="3"/>
    <x v="2"/>
    <d v="2020-07-03T00:00:00"/>
    <x v="0"/>
    <n v="41"/>
    <n v="105"/>
    <n v="108"/>
    <n v="3821"/>
    <n v="148"/>
  </r>
  <r>
    <x v="3"/>
    <x v="2"/>
    <d v="2020-07-03T00:00:00"/>
    <x v="2"/>
    <n v="28"/>
    <n v="135"/>
    <n v="117"/>
    <n v="3819"/>
    <n v="97"/>
  </r>
  <r>
    <x v="3"/>
    <x v="2"/>
    <d v="2020-07-03T00:00:00"/>
    <x v="0"/>
    <n v="50"/>
    <n v="105"/>
    <n v="108"/>
    <n v="3820"/>
    <n v="179"/>
  </r>
  <r>
    <x v="3"/>
    <x v="2"/>
    <d v="2020-07-06T00:00:00"/>
    <x v="0"/>
    <n v="38"/>
    <n v="105"/>
    <n v="108"/>
    <n v="3822"/>
    <n v="138"/>
  </r>
  <r>
    <x v="3"/>
    <x v="2"/>
    <d v="2020-07-06T00:00:00"/>
    <x v="1"/>
    <n v="51"/>
    <n v="120"/>
    <n v="110"/>
    <n v="3823"/>
    <n v="178"/>
  </r>
  <r>
    <x v="3"/>
    <x v="2"/>
    <d v="2020-07-06T00:00:00"/>
    <x v="2"/>
    <n v="25"/>
    <n v="135"/>
    <n v="117"/>
    <n v="3824"/>
    <n v="91"/>
  </r>
  <r>
    <x v="3"/>
    <x v="2"/>
    <d v="2020-07-07T00:00:00"/>
    <x v="2"/>
    <n v="33"/>
    <n v="135"/>
    <n v="117"/>
    <n v="3825"/>
    <n v="114"/>
  </r>
  <r>
    <x v="3"/>
    <x v="2"/>
    <d v="2020-07-07T00:00:00"/>
    <x v="1"/>
    <n v="45"/>
    <n v="120"/>
    <n v="110"/>
    <n v="3830"/>
    <n v="166"/>
  </r>
  <r>
    <x v="3"/>
    <x v="2"/>
    <d v="2020-07-07T00:00:00"/>
    <x v="0"/>
    <n v="34"/>
    <n v="105"/>
    <n v="108"/>
    <n v="3829"/>
    <n v="124"/>
  </r>
  <r>
    <x v="3"/>
    <x v="2"/>
    <d v="2020-07-07T00:00:00"/>
    <x v="0"/>
    <n v="27"/>
    <n v="105"/>
    <n v="108"/>
    <n v="3826"/>
    <n v="125"/>
  </r>
  <r>
    <x v="3"/>
    <x v="2"/>
    <d v="2020-07-07T00:00:00"/>
    <x v="0"/>
    <n v="45"/>
    <n v="105"/>
    <n v="108"/>
    <n v="3827"/>
    <n v="155"/>
  </r>
  <r>
    <x v="3"/>
    <x v="2"/>
    <d v="2020-07-07T00:00:00"/>
    <x v="2"/>
    <n v="30"/>
    <n v="135"/>
    <n v="117"/>
    <n v="3828"/>
    <n v="114"/>
  </r>
  <r>
    <x v="3"/>
    <x v="2"/>
    <d v="2020-07-08T00:00:00"/>
    <x v="1"/>
    <n v="47"/>
    <n v="120"/>
    <n v="110"/>
    <n v="3831"/>
    <n v="218"/>
  </r>
  <r>
    <x v="3"/>
    <x v="2"/>
    <d v="2020-07-08T00:00:00"/>
    <x v="2"/>
    <n v="41"/>
    <n v="135"/>
    <n v="117"/>
    <n v="3832"/>
    <n v="149"/>
  </r>
  <r>
    <x v="3"/>
    <x v="2"/>
    <d v="2020-07-09T00:00:00"/>
    <x v="1"/>
    <n v="40"/>
    <n v="120"/>
    <n v="110"/>
    <n v="3836"/>
    <n v="147"/>
  </r>
  <r>
    <x v="3"/>
    <x v="2"/>
    <d v="2020-07-09T00:00:00"/>
    <x v="1"/>
    <n v="31"/>
    <n v="120"/>
    <n v="110"/>
    <n v="3833"/>
    <n v="108"/>
  </r>
  <r>
    <x v="3"/>
    <x v="2"/>
    <d v="2020-07-09T00:00:00"/>
    <x v="2"/>
    <n v="20"/>
    <n v="135"/>
    <n v="117"/>
    <n v="3834"/>
    <n v="72"/>
  </r>
  <r>
    <x v="3"/>
    <x v="2"/>
    <d v="2020-07-09T00:00:00"/>
    <x v="1"/>
    <n v="49"/>
    <n v="120"/>
    <n v="110"/>
    <n v="3835"/>
    <n v="174"/>
  </r>
  <r>
    <x v="3"/>
    <x v="2"/>
    <d v="2020-07-10T00:00:00"/>
    <x v="0"/>
    <n v="26"/>
    <n v="105"/>
    <n v="108"/>
    <n v="3837"/>
    <n v="92"/>
  </r>
  <r>
    <x v="3"/>
    <x v="2"/>
    <d v="2020-07-10T00:00:00"/>
    <x v="1"/>
    <n v="42"/>
    <n v="120"/>
    <n v="110"/>
    <n v="3838"/>
    <n v="150"/>
  </r>
  <r>
    <x v="3"/>
    <x v="2"/>
    <d v="2020-07-15T00:00:00"/>
    <x v="1"/>
    <n v="34"/>
    <n v="120"/>
    <n v="110"/>
    <n v="3839"/>
    <n v="117"/>
  </r>
  <r>
    <x v="3"/>
    <x v="2"/>
    <d v="2020-07-15T00:00:00"/>
    <x v="2"/>
    <n v="28"/>
    <n v="135"/>
    <n v="117"/>
    <n v="3840"/>
    <n v="102"/>
  </r>
  <r>
    <x v="3"/>
    <x v="2"/>
    <d v="2020-07-16T00:00:00"/>
    <x v="0"/>
    <n v="39"/>
    <n v="105"/>
    <n v="108"/>
    <n v="3841"/>
    <n v="133"/>
  </r>
  <r>
    <x v="3"/>
    <x v="2"/>
    <d v="2020-07-16T00:00:00"/>
    <x v="2"/>
    <n v="23"/>
    <n v="135"/>
    <n v="117"/>
    <n v="3842"/>
    <n v="84"/>
  </r>
  <r>
    <x v="3"/>
    <x v="2"/>
    <d v="2020-07-16T00:00:00"/>
    <x v="0"/>
    <n v="30"/>
    <n v="105"/>
    <n v="108"/>
    <n v="3843"/>
    <n v="104"/>
  </r>
  <r>
    <x v="3"/>
    <x v="2"/>
    <d v="2020-07-16T00:00:00"/>
    <x v="1"/>
    <n v="30"/>
    <n v="120"/>
    <n v="110"/>
    <n v="3844"/>
    <n v="110"/>
  </r>
  <r>
    <x v="3"/>
    <x v="2"/>
    <d v="2020-07-17T00:00:00"/>
    <x v="1"/>
    <n v="56"/>
    <n v="120"/>
    <n v="110"/>
    <n v="3845"/>
    <n v="206"/>
  </r>
  <r>
    <x v="3"/>
    <x v="2"/>
    <d v="2020-07-20T00:00:00"/>
    <x v="1"/>
    <n v="55"/>
    <n v="120"/>
    <n v="110"/>
    <n v="3846"/>
    <n v="192"/>
  </r>
  <r>
    <x v="3"/>
    <x v="2"/>
    <d v="2020-07-23T00:00:00"/>
    <x v="1"/>
    <n v="36"/>
    <n v="120"/>
    <n v="110"/>
    <n v="3847"/>
    <n v="133"/>
  </r>
  <r>
    <x v="3"/>
    <x v="2"/>
    <d v="2020-07-24T00:00:00"/>
    <x v="2"/>
    <n v="45"/>
    <n v="135"/>
    <n v="117"/>
    <n v="3848"/>
    <n v="166"/>
  </r>
  <r>
    <x v="3"/>
    <x v="2"/>
    <d v="2020-07-24T00:00:00"/>
    <x v="2"/>
    <n v="24"/>
    <n v="135"/>
    <n v="117"/>
    <n v="3849"/>
    <n v="84"/>
  </r>
  <r>
    <x v="3"/>
    <x v="2"/>
    <d v="2020-07-24T00:00:00"/>
    <x v="1"/>
    <n v="49"/>
    <n v="120"/>
    <n v="110"/>
    <n v="3850"/>
    <n v="172"/>
  </r>
  <r>
    <x v="3"/>
    <x v="2"/>
    <d v="2020-07-24T00:00:00"/>
    <x v="0"/>
    <n v="29"/>
    <n v="105"/>
    <n v="108"/>
    <n v="3851"/>
    <n v="101"/>
  </r>
  <r>
    <x v="3"/>
    <x v="2"/>
    <d v="2020-07-24T00:00:00"/>
    <x v="1"/>
    <n v="39"/>
    <n v="120"/>
    <n v="110"/>
    <n v="3852"/>
    <n v="136"/>
  </r>
  <r>
    <x v="3"/>
    <x v="2"/>
    <d v="2020-07-28T00:00:00"/>
    <x v="1"/>
    <n v="42"/>
    <n v="120"/>
    <n v="110"/>
    <n v="3854"/>
    <n v="149"/>
  </r>
  <r>
    <x v="3"/>
    <x v="2"/>
    <d v="2020-07-28T00:00:00"/>
    <x v="2"/>
    <n v="36"/>
    <n v="135"/>
    <n v="117"/>
    <n v="3858"/>
    <n v="169"/>
  </r>
  <r>
    <x v="3"/>
    <x v="2"/>
    <d v="2020-07-28T00:00:00"/>
    <x v="1"/>
    <n v="34"/>
    <n v="120"/>
    <n v="110"/>
    <n v="3857"/>
    <n v="123"/>
  </r>
  <r>
    <x v="3"/>
    <x v="2"/>
    <d v="2020-07-28T00:00:00"/>
    <x v="2"/>
    <n v="43"/>
    <n v="135"/>
    <n v="117"/>
    <n v="3855"/>
    <n v="148"/>
  </r>
  <r>
    <x v="3"/>
    <x v="2"/>
    <d v="2020-07-28T00:00:00"/>
    <x v="2"/>
    <n v="30"/>
    <n v="135"/>
    <n v="117"/>
    <n v="3853"/>
    <n v="106"/>
  </r>
  <r>
    <x v="3"/>
    <x v="2"/>
    <d v="2020-07-28T00:00:00"/>
    <x v="2"/>
    <n v="43"/>
    <n v="135"/>
    <n v="117"/>
    <n v="3856"/>
    <n v="152"/>
  </r>
  <r>
    <x v="3"/>
    <x v="2"/>
    <d v="2020-07-30T00:00:00"/>
    <x v="0"/>
    <n v="43"/>
    <n v="105"/>
    <n v="108"/>
    <n v="3859"/>
    <n v="148"/>
  </r>
  <r>
    <x v="3"/>
    <x v="2"/>
    <d v="2020-07-31T00:00:00"/>
    <x v="1"/>
    <n v="38"/>
    <n v="120"/>
    <n v="110"/>
    <n v="3860"/>
    <n v="138"/>
  </r>
  <r>
    <x v="3"/>
    <x v="2"/>
    <d v="2020-08-03T00:00:00"/>
    <x v="0"/>
    <n v="29"/>
    <n v="105"/>
    <n v="108"/>
    <n v="3861"/>
    <n v="105"/>
  </r>
  <r>
    <x v="3"/>
    <x v="2"/>
    <d v="2020-08-03T00:00:00"/>
    <x v="1"/>
    <n v="30"/>
    <n v="120"/>
    <n v="110"/>
    <n v="3866"/>
    <n v="139"/>
  </r>
  <r>
    <x v="3"/>
    <x v="2"/>
    <d v="2020-08-03T00:00:00"/>
    <x v="0"/>
    <n v="36"/>
    <n v="105"/>
    <n v="108"/>
    <n v="3865"/>
    <n v="127"/>
  </r>
  <r>
    <x v="3"/>
    <x v="2"/>
    <d v="2020-08-03T00:00:00"/>
    <x v="0"/>
    <n v="36"/>
    <n v="105"/>
    <n v="108"/>
    <n v="3862"/>
    <n v="128"/>
  </r>
  <r>
    <x v="3"/>
    <x v="2"/>
    <d v="2020-08-03T00:00:00"/>
    <x v="1"/>
    <n v="41"/>
    <n v="120"/>
    <n v="110"/>
    <n v="3863"/>
    <n v="140"/>
  </r>
  <r>
    <x v="3"/>
    <x v="2"/>
    <d v="2020-08-03T00:00:00"/>
    <x v="1"/>
    <n v="50"/>
    <n v="120"/>
    <n v="110"/>
    <n v="3864"/>
    <n v="176"/>
  </r>
  <r>
    <x v="3"/>
    <x v="2"/>
    <d v="2020-08-05T00:00:00"/>
    <x v="2"/>
    <n v="35"/>
    <n v="135"/>
    <n v="117"/>
    <n v="3872"/>
    <n v="162"/>
  </r>
  <r>
    <x v="3"/>
    <x v="2"/>
    <d v="2020-08-05T00:00:00"/>
    <x v="0"/>
    <n v="46"/>
    <n v="105"/>
    <n v="108"/>
    <n v="3867"/>
    <n v="168"/>
  </r>
  <r>
    <x v="3"/>
    <x v="2"/>
    <d v="2020-08-05T00:00:00"/>
    <x v="1"/>
    <n v="52"/>
    <n v="120"/>
    <n v="110"/>
    <n v="3868"/>
    <n v="185"/>
  </r>
  <r>
    <x v="3"/>
    <x v="2"/>
    <d v="2020-08-05T00:00:00"/>
    <x v="1"/>
    <n v="48"/>
    <n v="120"/>
    <n v="110"/>
    <n v="3869"/>
    <n v="174"/>
  </r>
  <r>
    <x v="3"/>
    <x v="2"/>
    <d v="2020-08-05T00:00:00"/>
    <x v="0"/>
    <n v="50"/>
    <n v="105"/>
    <n v="108"/>
    <n v="3870"/>
    <n v="178"/>
  </r>
  <r>
    <x v="3"/>
    <x v="2"/>
    <d v="2020-08-05T00:00:00"/>
    <x v="2"/>
    <n v="38"/>
    <n v="135"/>
    <n v="117"/>
    <n v="3871"/>
    <n v="132"/>
  </r>
  <r>
    <x v="3"/>
    <x v="2"/>
    <d v="2020-08-06T00:00:00"/>
    <x v="0"/>
    <n v="49"/>
    <n v="105"/>
    <n v="108"/>
    <n v="3873"/>
    <n v="226"/>
  </r>
  <r>
    <x v="3"/>
    <x v="2"/>
    <d v="2020-08-06T00:00:00"/>
    <x v="0"/>
    <n v="43"/>
    <n v="105"/>
    <n v="108"/>
    <n v="3874"/>
    <n v="165"/>
  </r>
  <r>
    <x v="3"/>
    <x v="2"/>
    <d v="2020-08-07T00:00:00"/>
    <x v="0"/>
    <n v="25"/>
    <n v="105"/>
    <n v="108"/>
    <n v="3875"/>
    <n v="96"/>
  </r>
  <r>
    <x v="3"/>
    <x v="2"/>
    <d v="2020-08-10T00:00:00"/>
    <x v="0"/>
    <n v="25"/>
    <n v="105"/>
    <n v="108"/>
    <n v="3876"/>
    <n v="91"/>
  </r>
  <r>
    <x v="3"/>
    <x v="2"/>
    <d v="2020-08-10T00:00:00"/>
    <x v="2"/>
    <n v="29"/>
    <n v="135"/>
    <n v="117"/>
    <n v="3877"/>
    <n v="100"/>
  </r>
  <r>
    <x v="3"/>
    <x v="2"/>
    <d v="2020-08-10T00:00:00"/>
    <x v="0"/>
    <n v="36"/>
    <n v="105"/>
    <n v="108"/>
    <n v="3878"/>
    <n v="125"/>
  </r>
  <r>
    <x v="3"/>
    <x v="2"/>
    <d v="2020-08-11T00:00:00"/>
    <x v="1"/>
    <n v="40"/>
    <n v="120"/>
    <n v="110"/>
    <n v="3880"/>
    <n v="145"/>
  </r>
  <r>
    <x v="3"/>
    <x v="2"/>
    <d v="2020-08-11T00:00:00"/>
    <x v="2"/>
    <n v="44"/>
    <n v="135"/>
    <n v="117"/>
    <n v="3884"/>
    <n v="202"/>
  </r>
  <r>
    <x v="3"/>
    <x v="2"/>
    <d v="2020-08-11T00:00:00"/>
    <x v="1"/>
    <n v="33"/>
    <n v="120"/>
    <n v="110"/>
    <n v="3883"/>
    <n v="118"/>
  </r>
  <r>
    <x v="3"/>
    <x v="2"/>
    <d v="2020-08-11T00:00:00"/>
    <x v="1"/>
    <n v="36"/>
    <n v="120"/>
    <n v="110"/>
    <n v="3879"/>
    <n v="124"/>
  </r>
  <r>
    <x v="3"/>
    <x v="2"/>
    <d v="2020-08-11T00:00:00"/>
    <x v="1"/>
    <n v="34"/>
    <n v="120"/>
    <n v="110"/>
    <n v="3881"/>
    <n v="118"/>
  </r>
  <r>
    <x v="3"/>
    <x v="2"/>
    <d v="2020-08-11T00:00:00"/>
    <x v="1"/>
    <n v="41"/>
    <n v="120"/>
    <n v="110"/>
    <n v="3882"/>
    <n v="191"/>
  </r>
  <r>
    <x v="3"/>
    <x v="2"/>
    <d v="2020-08-12T00:00:00"/>
    <x v="1"/>
    <n v="42"/>
    <n v="120"/>
    <n v="110"/>
    <n v="3889"/>
    <n v="146"/>
  </r>
  <r>
    <x v="3"/>
    <x v="2"/>
    <d v="2020-08-12T00:00:00"/>
    <x v="1"/>
    <n v="50"/>
    <n v="120"/>
    <n v="110"/>
    <n v="3885"/>
    <n v="171"/>
  </r>
  <r>
    <x v="3"/>
    <x v="2"/>
    <d v="2020-08-12T00:00:00"/>
    <x v="0"/>
    <n v="40"/>
    <n v="105"/>
    <n v="108"/>
    <n v="3886"/>
    <n v="147"/>
  </r>
  <r>
    <x v="3"/>
    <x v="2"/>
    <d v="2020-08-12T00:00:00"/>
    <x v="2"/>
    <n v="32"/>
    <n v="135"/>
    <n v="117"/>
    <n v="3887"/>
    <n v="116"/>
  </r>
  <r>
    <x v="3"/>
    <x v="2"/>
    <d v="2020-08-12T00:00:00"/>
    <x v="2"/>
    <n v="29"/>
    <n v="135"/>
    <n v="117"/>
    <n v="3888"/>
    <n v="102"/>
  </r>
  <r>
    <x v="3"/>
    <x v="2"/>
    <d v="2020-08-13T00:00:00"/>
    <x v="2"/>
    <n v="45"/>
    <n v="135"/>
    <n v="117"/>
    <n v="3892"/>
    <n v="160"/>
  </r>
  <r>
    <x v="3"/>
    <x v="2"/>
    <d v="2020-08-13T00:00:00"/>
    <x v="2"/>
    <n v="28"/>
    <n v="135"/>
    <n v="117"/>
    <n v="3890"/>
    <n v="103"/>
  </r>
  <r>
    <x v="3"/>
    <x v="2"/>
    <d v="2020-08-13T00:00:00"/>
    <x v="2"/>
    <n v="38"/>
    <n v="135"/>
    <n v="117"/>
    <n v="3891"/>
    <n v="139"/>
  </r>
  <r>
    <x v="3"/>
    <x v="2"/>
    <d v="2020-08-14T00:00:00"/>
    <x v="1"/>
    <n v="33"/>
    <n v="120"/>
    <n v="110"/>
    <n v="3893"/>
    <n v="114"/>
  </r>
  <r>
    <x v="3"/>
    <x v="2"/>
    <d v="2020-08-14T00:00:00"/>
    <x v="0"/>
    <n v="31"/>
    <n v="105"/>
    <n v="108"/>
    <n v="3894"/>
    <n v="111"/>
  </r>
  <r>
    <x v="3"/>
    <x v="2"/>
    <d v="2020-08-14T00:00:00"/>
    <x v="0"/>
    <n v="34"/>
    <n v="105"/>
    <n v="108"/>
    <n v="3895"/>
    <n v="123"/>
  </r>
  <r>
    <x v="3"/>
    <x v="2"/>
    <d v="2020-08-14T00:00:00"/>
    <x v="1"/>
    <n v="55"/>
    <n v="120"/>
    <n v="110"/>
    <n v="3896"/>
    <n v="204"/>
  </r>
  <r>
    <x v="3"/>
    <x v="2"/>
    <d v="2020-08-17T00:00:00"/>
    <x v="1"/>
    <n v="37"/>
    <n v="120"/>
    <n v="110"/>
    <n v="3898"/>
    <n v="130"/>
  </r>
  <r>
    <x v="3"/>
    <x v="2"/>
    <d v="2020-08-17T00:00:00"/>
    <x v="1"/>
    <n v="44"/>
    <n v="120"/>
    <n v="110"/>
    <n v="3897"/>
    <n v="158"/>
  </r>
  <r>
    <x v="3"/>
    <x v="2"/>
    <d v="2020-08-18T00:00:00"/>
    <x v="2"/>
    <n v="30"/>
    <n v="135"/>
    <n v="117"/>
    <n v="3899"/>
    <n v="104"/>
  </r>
  <r>
    <x v="3"/>
    <x v="2"/>
    <d v="2020-08-18T00:00:00"/>
    <x v="1"/>
    <n v="52"/>
    <n v="120"/>
    <n v="110"/>
    <n v="3900"/>
    <n v="186"/>
  </r>
  <r>
    <x v="3"/>
    <x v="2"/>
    <d v="2020-08-19T00:00:00"/>
    <x v="1"/>
    <n v="33"/>
    <n v="120"/>
    <n v="110"/>
    <n v="3901"/>
    <n v="117"/>
  </r>
  <r>
    <x v="3"/>
    <x v="2"/>
    <d v="2020-08-20T00:00:00"/>
    <x v="2"/>
    <n v="35"/>
    <n v="135"/>
    <n v="117"/>
    <n v="3902"/>
    <n v="120"/>
  </r>
  <r>
    <x v="3"/>
    <x v="2"/>
    <d v="2020-08-20T00:00:00"/>
    <x v="2"/>
    <n v="39"/>
    <n v="135"/>
    <n v="117"/>
    <n v="3903"/>
    <n v="138"/>
  </r>
  <r>
    <x v="3"/>
    <x v="2"/>
    <d v="2020-08-20T00:00:00"/>
    <x v="1"/>
    <n v="35"/>
    <n v="120"/>
    <n v="110"/>
    <n v="3904"/>
    <n v="125"/>
  </r>
  <r>
    <x v="3"/>
    <x v="2"/>
    <d v="2020-08-20T00:00:00"/>
    <x v="1"/>
    <n v="47"/>
    <n v="120"/>
    <n v="110"/>
    <n v="3905"/>
    <n v="164"/>
  </r>
  <r>
    <x v="3"/>
    <x v="2"/>
    <d v="2020-08-20T00:00:00"/>
    <x v="2"/>
    <n v="30"/>
    <n v="135"/>
    <n v="117"/>
    <n v="3906"/>
    <n v="102"/>
  </r>
  <r>
    <x v="3"/>
    <x v="2"/>
    <d v="2020-08-20T00:00:00"/>
    <x v="2"/>
    <n v="28"/>
    <n v="135"/>
    <n v="117"/>
    <n v="3907"/>
    <n v="98"/>
  </r>
  <r>
    <x v="3"/>
    <x v="2"/>
    <d v="2020-08-21T00:00:00"/>
    <x v="1"/>
    <n v="55"/>
    <n v="120"/>
    <n v="110"/>
    <n v="3908"/>
    <n v="257"/>
  </r>
  <r>
    <x v="3"/>
    <x v="2"/>
    <d v="2020-08-21T00:00:00"/>
    <x v="0"/>
    <n v="43"/>
    <n v="105"/>
    <n v="108"/>
    <n v="3913"/>
    <n v="154"/>
  </r>
  <r>
    <x v="3"/>
    <x v="2"/>
    <d v="2020-08-21T00:00:00"/>
    <x v="1"/>
    <n v="36"/>
    <n v="120"/>
    <n v="110"/>
    <n v="3912"/>
    <n v="169"/>
  </r>
  <r>
    <x v="3"/>
    <x v="2"/>
    <d v="2020-08-21T00:00:00"/>
    <x v="1"/>
    <n v="51"/>
    <n v="120"/>
    <n v="110"/>
    <n v="3911"/>
    <n v="176"/>
  </r>
  <r>
    <x v="3"/>
    <x v="2"/>
    <d v="2020-08-21T00:00:00"/>
    <x v="2"/>
    <n v="28"/>
    <n v="135"/>
    <n v="117"/>
    <n v="3909"/>
    <n v="103"/>
  </r>
  <r>
    <x v="3"/>
    <x v="2"/>
    <d v="2020-08-21T00:00:00"/>
    <x v="0"/>
    <n v="28"/>
    <n v="105"/>
    <n v="108"/>
    <n v="3910"/>
    <n v="98"/>
  </r>
  <r>
    <x v="3"/>
    <x v="2"/>
    <d v="2020-08-24T00:00:00"/>
    <x v="0"/>
    <n v="48"/>
    <n v="105"/>
    <n v="108"/>
    <n v="3916"/>
    <n v="177"/>
  </r>
  <r>
    <x v="3"/>
    <x v="2"/>
    <d v="2020-08-24T00:00:00"/>
    <x v="2"/>
    <n v="20"/>
    <n v="135"/>
    <n v="117"/>
    <n v="3914"/>
    <n v="73"/>
  </r>
  <r>
    <x v="3"/>
    <x v="2"/>
    <d v="2020-08-24T00:00:00"/>
    <x v="2"/>
    <n v="41"/>
    <n v="135"/>
    <n v="117"/>
    <n v="3915"/>
    <n v="189"/>
  </r>
  <r>
    <x v="3"/>
    <x v="2"/>
    <d v="2020-08-25T00:00:00"/>
    <x v="1"/>
    <n v="40"/>
    <n v="120"/>
    <n v="110"/>
    <n v="3921"/>
    <n v="143"/>
  </r>
  <r>
    <x v="3"/>
    <x v="2"/>
    <d v="2020-08-25T00:00:00"/>
    <x v="1"/>
    <n v="33"/>
    <n v="120"/>
    <n v="110"/>
    <n v="3920"/>
    <n v="119"/>
  </r>
  <r>
    <x v="3"/>
    <x v="2"/>
    <d v="2020-08-25T00:00:00"/>
    <x v="1"/>
    <n v="56"/>
    <n v="120"/>
    <n v="110"/>
    <n v="3917"/>
    <n v="202"/>
  </r>
  <r>
    <x v="3"/>
    <x v="2"/>
    <d v="2020-08-25T00:00:00"/>
    <x v="1"/>
    <n v="34"/>
    <n v="120"/>
    <n v="110"/>
    <n v="3919"/>
    <n v="156"/>
  </r>
  <r>
    <x v="3"/>
    <x v="2"/>
    <d v="2020-08-25T00:00:00"/>
    <x v="1"/>
    <n v="44"/>
    <n v="120"/>
    <n v="110"/>
    <n v="3918"/>
    <n v="153"/>
  </r>
  <r>
    <x v="3"/>
    <x v="2"/>
    <d v="2020-08-27T00:00:00"/>
    <x v="2"/>
    <n v="25"/>
    <n v="135"/>
    <n v="117"/>
    <n v="3926"/>
    <n v="92"/>
  </r>
  <r>
    <x v="3"/>
    <x v="2"/>
    <d v="2020-08-27T00:00:00"/>
    <x v="1"/>
    <n v="49"/>
    <n v="120"/>
    <n v="110"/>
    <n v="3922"/>
    <n v="168"/>
  </r>
  <r>
    <x v="3"/>
    <x v="2"/>
    <d v="2020-08-27T00:00:00"/>
    <x v="1"/>
    <n v="34"/>
    <n v="120"/>
    <n v="110"/>
    <n v="3923"/>
    <n v="118"/>
  </r>
  <r>
    <x v="3"/>
    <x v="2"/>
    <d v="2020-08-27T00:00:00"/>
    <x v="1"/>
    <n v="53"/>
    <n v="120"/>
    <n v="110"/>
    <n v="3924"/>
    <n v="185"/>
  </r>
  <r>
    <x v="3"/>
    <x v="2"/>
    <d v="2020-08-27T00:00:00"/>
    <x v="0"/>
    <n v="41"/>
    <n v="105"/>
    <n v="108"/>
    <n v="3925"/>
    <n v="142"/>
  </r>
  <r>
    <x v="3"/>
    <x v="2"/>
    <d v="2020-08-28T00:00:00"/>
    <x v="2"/>
    <n v="30"/>
    <n v="135"/>
    <n v="117"/>
    <n v="3931"/>
    <n v="104"/>
  </r>
  <r>
    <x v="3"/>
    <x v="2"/>
    <d v="2020-08-28T00:00:00"/>
    <x v="1"/>
    <n v="51"/>
    <n v="120"/>
    <n v="110"/>
    <n v="3930"/>
    <n v="177"/>
  </r>
  <r>
    <x v="3"/>
    <x v="2"/>
    <d v="2020-08-28T00:00:00"/>
    <x v="2"/>
    <n v="21"/>
    <n v="135"/>
    <n v="117"/>
    <n v="3929"/>
    <n v="73"/>
  </r>
  <r>
    <x v="3"/>
    <x v="2"/>
    <d v="2020-08-28T00:00:00"/>
    <x v="2"/>
    <n v="32"/>
    <n v="135"/>
    <n v="117"/>
    <n v="3927"/>
    <n v="117"/>
  </r>
  <r>
    <x v="3"/>
    <x v="2"/>
    <d v="2020-08-28T00:00:00"/>
    <x v="0"/>
    <n v="33"/>
    <n v="105"/>
    <n v="108"/>
    <n v="3928"/>
    <n v="113"/>
  </r>
  <r>
    <x v="3"/>
    <x v="2"/>
    <d v="2020-08-31T00:00:00"/>
    <x v="1"/>
    <n v="53"/>
    <n v="120"/>
    <n v="110"/>
    <n v="3932"/>
    <n v="191"/>
  </r>
  <r>
    <x v="3"/>
    <x v="2"/>
    <d v="2020-09-01T00:00:00"/>
    <x v="0"/>
    <n v="35"/>
    <n v="105"/>
    <n v="108"/>
    <n v="3934"/>
    <n v="123"/>
  </r>
  <r>
    <x v="3"/>
    <x v="2"/>
    <d v="2020-09-01T00:00:00"/>
    <x v="2"/>
    <n v="29"/>
    <n v="135"/>
    <n v="117"/>
    <n v="3937"/>
    <n v="102"/>
  </r>
  <r>
    <x v="3"/>
    <x v="2"/>
    <d v="2020-09-01T00:00:00"/>
    <x v="0"/>
    <n v="25"/>
    <n v="105"/>
    <n v="108"/>
    <n v="3935"/>
    <n v="91"/>
  </r>
  <r>
    <x v="3"/>
    <x v="2"/>
    <d v="2020-09-01T00:00:00"/>
    <x v="2"/>
    <n v="20"/>
    <n v="135"/>
    <n v="117"/>
    <n v="3933"/>
    <n v="70"/>
  </r>
  <r>
    <x v="3"/>
    <x v="2"/>
    <d v="2020-09-01T00:00:00"/>
    <x v="0"/>
    <n v="51"/>
    <n v="105"/>
    <n v="108"/>
    <n v="3936"/>
    <n v="187"/>
  </r>
  <r>
    <x v="3"/>
    <x v="2"/>
    <d v="2020-09-02T00:00:00"/>
    <x v="1"/>
    <n v="48"/>
    <n v="120"/>
    <n v="110"/>
    <n v="3938"/>
    <n v="177"/>
  </r>
  <r>
    <x v="3"/>
    <x v="2"/>
    <d v="2020-09-02T00:00:00"/>
    <x v="2"/>
    <n v="39"/>
    <n v="135"/>
    <n v="117"/>
    <n v="3939"/>
    <n v="180"/>
  </r>
  <r>
    <x v="3"/>
    <x v="2"/>
    <d v="2020-09-02T00:00:00"/>
    <x v="1"/>
    <n v="37"/>
    <n v="120"/>
    <n v="110"/>
    <n v="3940"/>
    <n v="132"/>
  </r>
  <r>
    <x v="3"/>
    <x v="2"/>
    <d v="2020-09-03T00:00:00"/>
    <x v="1"/>
    <n v="56"/>
    <n v="120"/>
    <n v="110"/>
    <n v="3943"/>
    <n v="204"/>
  </r>
  <r>
    <x v="3"/>
    <x v="2"/>
    <d v="2020-09-03T00:00:00"/>
    <x v="0"/>
    <n v="25"/>
    <n v="105"/>
    <n v="108"/>
    <n v="3944"/>
    <n v="88"/>
  </r>
  <r>
    <x v="3"/>
    <x v="2"/>
    <d v="2020-09-03T00:00:00"/>
    <x v="0"/>
    <n v="39"/>
    <n v="105"/>
    <n v="108"/>
    <n v="3942"/>
    <n v="134"/>
  </r>
  <r>
    <x v="3"/>
    <x v="2"/>
    <d v="2020-09-03T00:00:00"/>
    <x v="2"/>
    <n v="28"/>
    <n v="135"/>
    <n v="117"/>
    <n v="3941"/>
    <n v="98"/>
  </r>
  <r>
    <x v="3"/>
    <x v="2"/>
    <d v="2020-09-03T00:00:00"/>
    <x v="1"/>
    <n v="43"/>
    <n v="120"/>
    <n v="110"/>
    <n v="3945"/>
    <n v="158"/>
  </r>
  <r>
    <x v="3"/>
    <x v="2"/>
    <d v="2020-09-04T00:00:00"/>
    <x v="1"/>
    <n v="52"/>
    <n v="120"/>
    <n v="110"/>
    <n v="3946"/>
    <n v="179"/>
  </r>
  <r>
    <x v="3"/>
    <x v="2"/>
    <d v="2020-09-04T00:00:00"/>
    <x v="0"/>
    <n v="25"/>
    <n v="105"/>
    <n v="108"/>
    <n v="3947"/>
    <n v="90"/>
  </r>
  <r>
    <x v="3"/>
    <x v="2"/>
    <d v="2020-09-04T00:00:00"/>
    <x v="0"/>
    <n v="36"/>
    <n v="105"/>
    <n v="108"/>
    <n v="3948"/>
    <n v="122"/>
  </r>
  <r>
    <x v="3"/>
    <x v="2"/>
    <d v="2020-09-04T00:00:00"/>
    <x v="1"/>
    <n v="35"/>
    <n v="120"/>
    <n v="110"/>
    <n v="3949"/>
    <n v="127"/>
  </r>
  <r>
    <x v="3"/>
    <x v="2"/>
    <d v="2020-09-04T00:00:00"/>
    <x v="1"/>
    <n v="34"/>
    <n v="120"/>
    <n v="110"/>
    <n v="3950"/>
    <n v="117"/>
  </r>
  <r>
    <x v="3"/>
    <x v="2"/>
    <d v="2020-09-04T00:00:00"/>
    <x v="1"/>
    <n v="39"/>
    <n v="120"/>
    <n v="110"/>
    <n v="3951"/>
    <n v="144"/>
  </r>
  <r>
    <x v="3"/>
    <x v="2"/>
    <d v="2020-09-07T00:00:00"/>
    <x v="2"/>
    <n v="22"/>
    <n v="135"/>
    <n v="117"/>
    <n v="3953"/>
    <n v="79"/>
  </r>
  <r>
    <x v="3"/>
    <x v="2"/>
    <d v="2020-09-07T00:00:00"/>
    <x v="0"/>
    <n v="43"/>
    <n v="105"/>
    <n v="108"/>
    <n v="3954"/>
    <n v="161"/>
  </r>
  <r>
    <x v="3"/>
    <x v="2"/>
    <d v="2020-09-07T00:00:00"/>
    <x v="2"/>
    <n v="36"/>
    <n v="135"/>
    <n v="117"/>
    <n v="3952"/>
    <n v="131"/>
  </r>
  <r>
    <x v="3"/>
    <x v="2"/>
    <d v="2020-09-08T00:00:00"/>
    <x v="2"/>
    <n v="39"/>
    <n v="135"/>
    <n v="117"/>
    <n v="3955"/>
    <n v="141"/>
  </r>
  <r>
    <x v="3"/>
    <x v="2"/>
    <d v="2020-09-09T00:00:00"/>
    <x v="2"/>
    <n v="31"/>
    <n v="135"/>
    <n v="117"/>
    <n v="3956"/>
    <n v="113"/>
  </r>
  <r>
    <x v="3"/>
    <x v="2"/>
    <d v="2020-09-09T00:00:00"/>
    <x v="1"/>
    <n v="51"/>
    <n v="120"/>
    <n v="110"/>
    <n v="3957"/>
    <n v="178"/>
  </r>
  <r>
    <x v="3"/>
    <x v="2"/>
    <d v="2020-09-16T00:00:00"/>
    <x v="2"/>
    <n v="29"/>
    <n v="135"/>
    <n v="117"/>
    <n v="3962"/>
    <n v="101"/>
  </r>
  <r>
    <x v="3"/>
    <x v="2"/>
    <d v="2020-09-16T00:00:00"/>
    <x v="2"/>
    <n v="22"/>
    <n v="135"/>
    <n v="117"/>
    <n v="3958"/>
    <n v="76"/>
  </r>
  <r>
    <x v="3"/>
    <x v="2"/>
    <d v="2020-09-16T00:00:00"/>
    <x v="2"/>
    <n v="32"/>
    <n v="135"/>
    <n v="117"/>
    <n v="3959"/>
    <n v="115"/>
  </r>
  <r>
    <x v="3"/>
    <x v="2"/>
    <d v="2020-09-16T00:00:00"/>
    <x v="0"/>
    <n v="37"/>
    <n v="105"/>
    <n v="108"/>
    <n v="3960"/>
    <n v="133"/>
  </r>
  <r>
    <x v="3"/>
    <x v="2"/>
    <d v="2020-09-16T00:00:00"/>
    <x v="0"/>
    <n v="28"/>
    <n v="105"/>
    <n v="108"/>
    <n v="3961"/>
    <n v="129"/>
  </r>
  <r>
    <x v="3"/>
    <x v="2"/>
    <d v="2020-09-17T00:00:00"/>
    <x v="0"/>
    <n v="44"/>
    <n v="105"/>
    <n v="108"/>
    <n v="3968"/>
    <n v="152"/>
  </r>
  <r>
    <x v="3"/>
    <x v="2"/>
    <d v="2020-09-17T00:00:00"/>
    <x v="2"/>
    <n v="24"/>
    <n v="135"/>
    <n v="117"/>
    <n v="3967"/>
    <n v="86"/>
  </r>
  <r>
    <x v="3"/>
    <x v="2"/>
    <d v="2020-09-17T00:00:00"/>
    <x v="2"/>
    <n v="40"/>
    <n v="135"/>
    <n v="117"/>
    <n v="3966"/>
    <n v="147"/>
  </r>
  <r>
    <x v="3"/>
    <x v="2"/>
    <d v="2020-09-17T00:00:00"/>
    <x v="0"/>
    <n v="46"/>
    <n v="105"/>
    <n v="108"/>
    <n v="3965"/>
    <n v="169"/>
  </r>
  <r>
    <x v="3"/>
    <x v="2"/>
    <d v="2020-09-17T00:00:00"/>
    <x v="1"/>
    <n v="55"/>
    <n v="120"/>
    <n v="110"/>
    <n v="3963"/>
    <n v="192"/>
  </r>
  <r>
    <x v="3"/>
    <x v="2"/>
    <d v="2020-09-17T00:00:00"/>
    <x v="0"/>
    <n v="49"/>
    <n v="105"/>
    <n v="108"/>
    <n v="3964"/>
    <n v="172"/>
  </r>
  <r>
    <x v="3"/>
    <x v="2"/>
    <d v="2020-09-18T00:00:00"/>
    <x v="1"/>
    <n v="45"/>
    <n v="120"/>
    <n v="110"/>
    <n v="3969"/>
    <n v="162"/>
  </r>
  <r>
    <x v="3"/>
    <x v="2"/>
    <d v="2020-09-21T00:00:00"/>
    <x v="0"/>
    <n v="43"/>
    <n v="105"/>
    <n v="108"/>
    <n v="3971"/>
    <n v="148"/>
  </r>
  <r>
    <x v="3"/>
    <x v="2"/>
    <d v="2020-09-21T00:00:00"/>
    <x v="2"/>
    <n v="43"/>
    <n v="135"/>
    <n v="117"/>
    <n v="3975"/>
    <n v="161"/>
  </r>
  <r>
    <x v="3"/>
    <x v="2"/>
    <d v="2020-09-21T00:00:00"/>
    <x v="0"/>
    <n v="47"/>
    <n v="105"/>
    <n v="108"/>
    <n v="3974"/>
    <n v="173"/>
  </r>
  <r>
    <x v="3"/>
    <x v="2"/>
    <d v="2020-09-21T00:00:00"/>
    <x v="2"/>
    <n v="35"/>
    <n v="135"/>
    <n v="117"/>
    <n v="3972"/>
    <n v="164"/>
  </r>
  <r>
    <x v="3"/>
    <x v="2"/>
    <d v="2020-09-21T00:00:00"/>
    <x v="0"/>
    <n v="25"/>
    <n v="105"/>
    <n v="108"/>
    <n v="3970"/>
    <n v="91"/>
  </r>
  <r>
    <x v="3"/>
    <x v="2"/>
    <d v="2020-09-21T00:00:00"/>
    <x v="1"/>
    <n v="34"/>
    <n v="120"/>
    <n v="110"/>
    <n v="3973"/>
    <n v="120"/>
  </r>
  <r>
    <x v="3"/>
    <x v="2"/>
    <d v="2020-09-22T00:00:00"/>
    <x v="2"/>
    <n v="26"/>
    <n v="135"/>
    <n v="117"/>
    <n v="3981"/>
    <n v="95"/>
  </r>
  <r>
    <x v="3"/>
    <x v="2"/>
    <d v="2020-09-22T00:00:00"/>
    <x v="1"/>
    <n v="49"/>
    <n v="120"/>
    <n v="110"/>
    <n v="3976"/>
    <n v="176"/>
  </r>
  <r>
    <x v="3"/>
    <x v="2"/>
    <d v="2020-09-22T00:00:00"/>
    <x v="1"/>
    <n v="49"/>
    <n v="120"/>
    <n v="110"/>
    <n v="3977"/>
    <n v="180"/>
  </r>
  <r>
    <x v="3"/>
    <x v="2"/>
    <d v="2020-09-22T00:00:00"/>
    <x v="0"/>
    <n v="29"/>
    <n v="105"/>
    <n v="108"/>
    <n v="3978"/>
    <n v="102"/>
  </r>
  <r>
    <x v="3"/>
    <x v="2"/>
    <d v="2020-09-22T00:00:00"/>
    <x v="0"/>
    <n v="29"/>
    <n v="105"/>
    <n v="108"/>
    <n v="3979"/>
    <n v="107"/>
  </r>
  <r>
    <x v="3"/>
    <x v="2"/>
    <d v="2020-09-22T00:00:00"/>
    <x v="0"/>
    <n v="43"/>
    <n v="105"/>
    <n v="108"/>
    <n v="3980"/>
    <n v="158"/>
  </r>
  <r>
    <x v="3"/>
    <x v="2"/>
    <d v="2020-09-23T00:00:00"/>
    <x v="0"/>
    <n v="43"/>
    <n v="105"/>
    <n v="108"/>
    <n v="3984"/>
    <n v="201"/>
  </r>
  <r>
    <x v="3"/>
    <x v="2"/>
    <d v="2020-09-23T00:00:00"/>
    <x v="0"/>
    <n v="32"/>
    <n v="105"/>
    <n v="108"/>
    <n v="3982"/>
    <n v="115"/>
  </r>
  <r>
    <x v="3"/>
    <x v="2"/>
    <d v="2020-09-23T00:00:00"/>
    <x v="2"/>
    <n v="27"/>
    <n v="135"/>
    <n v="117"/>
    <n v="3983"/>
    <n v="94"/>
  </r>
  <r>
    <x v="3"/>
    <x v="2"/>
    <d v="2020-09-24T00:00:00"/>
    <x v="0"/>
    <n v="33"/>
    <n v="105"/>
    <n v="108"/>
    <n v="3985"/>
    <n v="119"/>
  </r>
  <r>
    <x v="3"/>
    <x v="2"/>
    <d v="2020-09-24T00:00:00"/>
    <x v="2"/>
    <n v="26"/>
    <n v="135"/>
    <n v="117"/>
    <n v="3986"/>
    <n v="120"/>
  </r>
  <r>
    <x v="3"/>
    <x v="2"/>
    <d v="2020-09-24T00:00:00"/>
    <x v="1"/>
    <n v="31"/>
    <n v="120"/>
    <n v="110"/>
    <n v="3987"/>
    <n v="114"/>
  </r>
  <r>
    <x v="3"/>
    <x v="2"/>
    <d v="2020-09-24T00:00:00"/>
    <x v="1"/>
    <n v="34"/>
    <n v="120"/>
    <n v="110"/>
    <n v="3988"/>
    <n v="121"/>
  </r>
  <r>
    <x v="3"/>
    <x v="2"/>
    <d v="2020-09-24T00:00:00"/>
    <x v="0"/>
    <n v="48"/>
    <n v="105"/>
    <n v="108"/>
    <n v="3989"/>
    <n v="176"/>
  </r>
  <r>
    <x v="3"/>
    <x v="2"/>
    <d v="2020-09-25T00:00:00"/>
    <x v="2"/>
    <n v="46"/>
    <n v="135"/>
    <n v="117"/>
    <n v="3990"/>
    <n v="165"/>
  </r>
  <r>
    <x v="3"/>
    <x v="2"/>
    <d v="2020-09-25T00:00:00"/>
    <x v="1"/>
    <n v="51"/>
    <n v="120"/>
    <n v="110"/>
    <n v="3993"/>
    <n v="177"/>
  </r>
  <r>
    <x v="3"/>
    <x v="2"/>
    <d v="2020-09-25T00:00:00"/>
    <x v="2"/>
    <n v="30"/>
    <n v="135"/>
    <n v="117"/>
    <n v="3992"/>
    <n v="140"/>
  </r>
  <r>
    <x v="3"/>
    <x v="2"/>
    <d v="2020-09-25T00:00:00"/>
    <x v="2"/>
    <n v="37"/>
    <n v="135"/>
    <n v="117"/>
    <n v="3991"/>
    <n v="142"/>
  </r>
  <r>
    <x v="3"/>
    <x v="2"/>
    <d v="2020-09-28T00:00:00"/>
    <x v="2"/>
    <n v="23"/>
    <n v="135"/>
    <n v="117"/>
    <n v="3994"/>
    <n v="85"/>
  </r>
  <r>
    <x v="3"/>
    <x v="2"/>
    <d v="2020-09-28T00:00:00"/>
    <x v="2"/>
    <n v="25"/>
    <n v="135"/>
    <n v="117"/>
    <n v="3995"/>
    <n v="86"/>
  </r>
  <r>
    <x v="3"/>
    <x v="2"/>
    <d v="2020-09-29T00:00:00"/>
    <x v="0"/>
    <n v="25"/>
    <n v="105"/>
    <n v="108"/>
    <n v="3996"/>
    <n v="117"/>
  </r>
  <r>
    <x v="3"/>
    <x v="3"/>
    <d v="2020-10-01T00:00:00"/>
    <x v="1"/>
    <n v="27"/>
    <n v="120"/>
    <n v="110"/>
    <n v="4000"/>
    <n v="99"/>
  </r>
  <r>
    <x v="3"/>
    <x v="3"/>
    <d v="2020-10-01T00:00:00"/>
    <x v="0"/>
    <n v="27"/>
    <n v="105"/>
    <n v="108"/>
    <n v="3997"/>
    <n v="99"/>
  </r>
  <r>
    <x v="3"/>
    <x v="3"/>
    <d v="2020-10-01T00:00:00"/>
    <x v="2"/>
    <n v="41"/>
    <n v="135"/>
    <n v="117"/>
    <n v="3998"/>
    <n v="144"/>
  </r>
  <r>
    <x v="3"/>
    <x v="3"/>
    <d v="2020-10-01T00:00:00"/>
    <x v="0"/>
    <n v="22"/>
    <n v="105"/>
    <n v="108"/>
    <n v="3999"/>
    <n v="76"/>
  </r>
  <r>
    <x v="3"/>
    <x v="3"/>
    <d v="2020-10-02T00:00:00"/>
    <x v="0"/>
    <n v="42"/>
    <n v="105"/>
    <n v="108"/>
    <n v="4001"/>
    <n v="194"/>
  </r>
  <r>
    <x v="3"/>
    <x v="3"/>
    <d v="2020-10-05T00:00:00"/>
    <x v="0"/>
    <n v="38"/>
    <n v="105"/>
    <n v="108"/>
    <n v="4003"/>
    <n v="136"/>
  </r>
  <r>
    <x v="3"/>
    <x v="3"/>
    <d v="2020-10-05T00:00:00"/>
    <x v="0"/>
    <n v="33"/>
    <n v="105"/>
    <n v="108"/>
    <n v="4004"/>
    <n v="114"/>
  </r>
  <r>
    <x v="3"/>
    <x v="3"/>
    <d v="2020-10-05T00:00:00"/>
    <x v="2"/>
    <n v="29"/>
    <n v="135"/>
    <n v="117"/>
    <n v="4005"/>
    <n v="106"/>
  </r>
  <r>
    <x v="3"/>
    <x v="3"/>
    <d v="2020-10-05T00:00:00"/>
    <x v="1"/>
    <n v="37"/>
    <n v="120"/>
    <n v="110"/>
    <n v="4006"/>
    <n v="132"/>
  </r>
  <r>
    <x v="3"/>
    <x v="3"/>
    <d v="2020-10-05T00:00:00"/>
    <x v="1"/>
    <n v="28"/>
    <n v="120"/>
    <n v="110"/>
    <n v="4002"/>
    <n v="98"/>
  </r>
  <r>
    <x v="3"/>
    <x v="3"/>
    <d v="2020-10-06T00:00:00"/>
    <x v="1"/>
    <n v="27"/>
    <n v="120"/>
    <n v="110"/>
    <n v="4007"/>
    <n v="96"/>
  </r>
  <r>
    <x v="3"/>
    <x v="3"/>
    <d v="2020-10-06T00:00:00"/>
    <x v="0"/>
    <n v="45"/>
    <n v="105"/>
    <n v="108"/>
    <n v="4012"/>
    <n v="158"/>
  </r>
  <r>
    <x v="3"/>
    <x v="3"/>
    <d v="2020-10-06T00:00:00"/>
    <x v="1"/>
    <n v="46"/>
    <n v="120"/>
    <n v="110"/>
    <n v="4011"/>
    <n v="169"/>
  </r>
  <r>
    <x v="3"/>
    <x v="3"/>
    <d v="2020-10-06T00:00:00"/>
    <x v="1"/>
    <n v="32"/>
    <n v="120"/>
    <n v="110"/>
    <n v="4008"/>
    <n v="111"/>
  </r>
  <r>
    <x v="3"/>
    <x v="3"/>
    <d v="2020-10-06T00:00:00"/>
    <x v="2"/>
    <n v="17"/>
    <n v="135"/>
    <n v="117"/>
    <n v="4009"/>
    <n v="61"/>
  </r>
  <r>
    <x v="3"/>
    <x v="3"/>
    <d v="2020-10-06T00:00:00"/>
    <x v="0"/>
    <n v="33"/>
    <n v="105"/>
    <n v="108"/>
    <n v="4010"/>
    <n v="118"/>
  </r>
  <r>
    <x v="3"/>
    <x v="3"/>
    <d v="2020-10-07T00:00:00"/>
    <x v="2"/>
    <n v="36"/>
    <n v="135"/>
    <n v="117"/>
    <n v="4013"/>
    <n v="133"/>
  </r>
  <r>
    <x v="3"/>
    <x v="3"/>
    <d v="2020-10-08T00:00:00"/>
    <x v="2"/>
    <n v="23"/>
    <n v="135"/>
    <n v="117"/>
    <n v="4017"/>
    <n v="81"/>
  </r>
  <r>
    <x v="3"/>
    <x v="3"/>
    <d v="2020-10-08T00:00:00"/>
    <x v="2"/>
    <n v="31"/>
    <n v="135"/>
    <n v="117"/>
    <n v="4014"/>
    <n v="110"/>
  </r>
  <r>
    <x v="3"/>
    <x v="3"/>
    <d v="2020-10-08T00:00:00"/>
    <x v="1"/>
    <n v="32"/>
    <n v="120"/>
    <n v="110"/>
    <n v="4015"/>
    <n v="110"/>
  </r>
  <r>
    <x v="3"/>
    <x v="3"/>
    <d v="2020-10-08T00:00:00"/>
    <x v="2"/>
    <n v="24"/>
    <n v="135"/>
    <n v="117"/>
    <n v="4016"/>
    <n v="84"/>
  </r>
  <r>
    <x v="3"/>
    <x v="3"/>
    <d v="2020-10-09T00:00:00"/>
    <x v="0"/>
    <n v="47"/>
    <n v="105"/>
    <n v="108"/>
    <n v="4018"/>
    <n v="168"/>
  </r>
  <r>
    <x v="3"/>
    <x v="3"/>
    <d v="2020-10-16T00:00:00"/>
    <x v="2"/>
    <n v="16"/>
    <n v="135"/>
    <n v="117"/>
    <n v="4020"/>
    <n v="56"/>
  </r>
  <r>
    <x v="3"/>
    <x v="3"/>
    <d v="2020-10-16T00:00:00"/>
    <x v="1"/>
    <n v="30"/>
    <n v="120"/>
    <n v="110"/>
    <n v="4019"/>
    <n v="108"/>
  </r>
  <r>
    <x v="3"/>
    <x v="3"/>
    <d v="2020-10-19T00:00:00"/>
    <x v="1"/>
    <n v="47"/>
    <n v="120"/>
    <n v="110"/>
    <n v="4021"/>
    <n v="177"/>
  </r>
  <r>
    <x v="3"/>
    <x v="3"/>
    <d v="2020-10-19T00:00:00"/>
    <x v="1"/>
    <n v="37"/>
    <n v="120"/>
    <n v="110"/>
    <n v="4022"/>
    <n v="127"/>
  </r>
  <r>
    <x v="3"/>
    <x v="3"/>
    <d v="2020-10-20T00:00:00"/>
    <x v="0"/>
    <n v="31"/>
    <n v="105"/>
    <n v="108"/>
    <n v="4023"/>
    <n v="110"/>
  </r>
  <r>
    <x v="3"/>
    <x v="3"/>
    <d v="2020-10-20T00:00:00"/>
    <x v="0"/>
    <n v="29"/>
    <n v="105"/>
    <n v="108"/>
    <n v="4024"/>
    <n v="100"/>
  </r>
  <r>
    <x v="3"/>
    <x v="3"/>
    <d v="2020-10-21T00:00:00"/>
    <x v="1"/>
    <n v="28"/>
    <n v="120"/>
    <n v="110"/>
    <n v="4027"/>
    <n v="99"/>
  </r>
  <r>
    <x v="3"/>
    <x v="3"/>
    <d v="2020-10-21T00:00:00"/>
    <x v="0"/>
    <n v="41"/>
    <n v="105"/>
    <n v="108"/>
    <n v="4026"/>
    <n v="140"/>
  </r>
  <r>
    <x v="3"/>
    <x v="3"/>
    <d v="2020-10-21T00:00:00"/>
    <x v="2"/>
    <n v="25"/>
    <n v="135"/>
    <n v="117"/>
    <n v="4025"/>
    <n v="89"/>
  </r>
  <r>
    <x v="3"/>
    <x v="3"/>
    <d v="2020-10-21T00:00:00"/>
    <x v="2"/>
    <n v="32"/>
    <n v="135"/>
    <n v="117"/>
    <n v="4028"/>
    <n v="117"/>
  </r>
  <r>
    <x v="3"/>
    <x v="3"/>
    <d v="2020-10-22T00:00:00"/>
    <x v="2"/>
    <n v="42"/>
    <n v="135"/>
    <n v="117"/>
    <n v="4029"/>
    <n v="153"/>
  </r>
  <r>
    <x v="3"/>
    <x v="3"/>
    <d v="2020-10-22T00:00:00"/>
    <x v="2"/>
    <n v="39"/>
    <n v="135"/>
    <n v="117"/>
    <n v="4030"/>
    <n v="140"/>
  </r>
  <r>
    <x v="3"/>
    <x v="3"/>
    <d v="2020-10-23T00:00:00"/>
    <x v="1"/>
    <n v="34"/>
    <n v="120"/>
    <n v="110"/>
    <n v="4035"/>
    <n v="118"/>
  </r>
  <r>
    <x v="3"/>
    <x v="3"/>
    <d v="2020-10-23T00:00:00"/>
    <x v="0"/>
    <n v="34"/>
    <n v="105"/>
    <n v="108"/>
    <n v="4036"/>
    <n v="119"/>
  </r>
  <r>
    <x v="3"/>
    <x v="3"/>
    <d v="2020-10-23T00:00:00"/>
    <x v="1"/>
    <n v="48"/>
    <n v="120"/>
    <n v="110"/>
    <n v="4034"/>
    <n v="181"/>
  </r>
  <r>
    <x v="3"/>
    <x v="3"/>
    <d v="2020-10-23T00:00:00"/>
    <x v="2"/>
    <n v="34"/>
    <n v="135"/>
    <n v="117"/>
    <n v="4033"/>
    <n v="118"/>
  </r>
  <r>
    <x v="3"/>
    <x v="3"/>
    <d v="2020-10-23T00:00:00"/>
    <x v="1"/>
    <n v="34"/>
    <n v="120"/>
    <n v="110"/>
    <n v="4032"/>
    <n v="122"/>
  </r>
  <r>
    <x v="3"/>
    <x v="3"/>
    <d v="2020-10-23T00:00:00"/>
    <x v="1"/>
    <n v="32"/>
    <n v="120"/>
    <n v="110"/>
    <n v="4031"/>
    <n v="115"/>
  </r>
  <r>
    <x v="3"/>
    <x v="3"/>
    <d v="2020-10-26T00:00:00"/>
    <x v="1"/>
    <n v="29"/>
    <n v="120"/>
    <n v="110"/>
    <n v="4038"/>
    <n v="102"/>
  </r>
  <r>
    <x v="3"/>
    <x v="3"/>
    <d v="2020-10-26T00:00:00"/>
    <x v="0"/>
    <n v="34"/>
    <n v="105"/>
    <n v="108"/>
    <n v="4039"/>
    <n v="117"/>
  </r>
  <r>
    <x v="3"/>
    <x v="3"/>
    <d v="2020-10-26T00:00:00"/>
    <x v="0"/>
    <n v="46"/>
    <n v="105"/>
    <n v="108"/>
    <n v="4040"/>
    <n v="160"/>
  </r>
  <r>
    <x v="3"/>
    <x v="3"/>
    <d v="2020-10-26T00:00:00"/>
    <x v="2"/>
    <n v="29"/>
    <n v="135"/>
    <n v="117"/>
    <n v="4041"/>
    <n v="101"/>
  </r>
  <r>
    <x v="3"/>
    <x v="3"/>
    <d v="2020-10-26T00:00:00"/>
    <x v="1"/>
    <n v="34"/>
    <n v="120"/>
    <n v="110"/>
    <n v="4037"/>
    <n v="117"/>
  </r>
  <r>
    <x v="3"/>
    <x v="3"/>
    <d v="2020-10-27T00:00:00"/>
    <x v="2"/>
    <n v="34"/>
    <n v="135"/>
    <n v="117"/>
    <n v="4042"/>
    <n v="125"/>
  </r>
  <r>
    <x v="3"/>
    <x v="3"/>
    <d v="2020-10-28T00:00:00"/>
    <x v="0"/>
    <n v="37"/>
    <n v="105"/>
    <n v="108"/>
    <n v="4045"/>
    <n v="133"/>
  </r>
  <r>
    <x v="3"/>
    <x v="3"/>
    <d v="2020-10-28T00:00:00"/>
    <x v="1"/>
    <n v="29"/>
    <n v="120"/>
    <n v="110"/>
    <n v="4046"/>
    <n v="103"/>
  </r>
  <r>
    <x v="3"/>
    <x v="3"/>
    <d v="2020-10-28T00:00:00"/>
    <x v="0"/>
    <n v="26"/>
    <n v="105"/>
    <n v="108"/>
    <n v="4043"/>
    <n v="94"/>
  </r>
  <r>
    <x v="3"/>
    <x v="3"/>
    <d v="2020-10-28T00:00:00"/>
    <x v="1"/>
    <n v="32"/>
    <n v="120"/>
    <n v="110"/>
    <n v="4044"/>
    <n v="114"/>
  </r>
  <r>
    <x v="3"/>
    <x v="3"/>
    <d v="2020-10-29T00:00:00"/>
    <x v="2"/>
    <n v="25"/>
    <n v="135"/>
    <n v="117"/>
    <n v="4047"/>
    <n v="88"/>
  </r>
  <r>
    <x v="3"/>
    <x v="3"/>
    <d v="2020-10-29T00:00:00"/>
    <x v="2"/>
    <n v="29"/>
    <n v="135"/>
    <n v="117"/>
    <n v="4048"/>
    <n v="135"/>
  </r>
  <r>
    <x v="3"/>
    <x v="3"/>
    <d v="2020-10-29T00:00:00"/>
    <x v="1"/>
    <n v="43"/>
    <n v="120"/>
    <n v="110"/>
    <n v="4049"/>
    <n v="152"/>
  </r>
  <r>
    <x v="3"/>
    <x v="3"/>
    <d v="2020-10-29T00:00:00"/>
    <x v="2"/>
    <n v="29"/>
    <n v="135"/>
    <n v="117"/>
    <n v="4050"/>
    <n v="101"/>
  </r>
  <r>
    <x v="3"/>
    <x v="3"/>
    <d v="2020-10-30T00:00:00"/>
    <x v="2"/>
    <n v="17"/>
    <n v="135"/>
    <n v="117"/>
    <n v="4054"/>
    <n v="62"/>
  </r>
  <r>
    <x v="3"/>
    <x v="3"/>
    <d v="2020-10-30T00:00:00"/>
    <x v="1"/>
    <n v="29"/>
    <n v="120"/>
    <n v="110"/>
    <n v="4055"/>
    <n v="102"/>
  </r>
  <r>
    <x v="3"/>
    <x v="3"/>
    <d v="2020-10-30T00:00:00"/>
    <x v="2"/>
    <n v="32"/>
    <n v="135"/>
    <n v="117"/>
    <n v="4053"/>
    <n v="111"/>
  </r>
  <r>
    <x v="3"/>
    <x v="3"/>
    <d v="2020-10-30T00:00:00"/>
    <x v="1"/>
    <n v="36"/>
    <n v="120"/>
    <n v="110"/>
    <n v="4052"/>
    <n v="169"/>
  </r>
  <r>
    <x v="3"/>
    <x v="3"/>
    <d v="2020-10-30T00:00:00"/>
    <x v="0"/>
    <n v="26"/>
    <n v="105"/>
    <n v="108"/>
    <n v="4051"/>
    <n v="91"/>
  </r>
  <r>
    <x v="3"/>
    <x v="3"/>
    <d v="2020-10-30T00:00:00"/>
    <x v="1"/>
    <n v="27"/>
    <n v="120"/>
    <n v="110"/>
    <n v="4056"/>
    <n v="97"/>
  </r>
  <r>
    <x v="3"/>
    <x v="3"/>
    <d v="2020-11-02T00:00:00"/>
    <x v="0"/>
    <n v="25"/>
    <n v="105"/>
    <n v="108"/>
    <n v="4062"/>
    <n v="92"/>
  </r>
  <r>
    <x v="3"/>
    <x v="3"/>
    <d v="2020-11-02T00:00:00"/>
    <x v="2"/>
    <n v="21"/>
    <n v="135"/>
    <n v="117"/>
    <n v="4057"/>
    <n v="98"/>
  </r>
  <r>
    <x v="3"/>
    <x v="3"/>
    <d v="2020-11-02T00:00:00"/>
    <x v="0"/>
    <n v="42"/>
    <n v="105"/>
    <n v="108"/>
    <n v="4058"/>
    <n v="148"/>
  </r>
  <r>
    <x v="3"/>
    <x v="3"/>
    <d v="2020-11-02T00:00:00"/>
    <x v="0"/>
    <n v="21"/>
    <n v="105"/>
    <n v="108"/>
    <n v="4059"/>
    <n v="74"/>
  </r>
  <r>
    <x v="3"/>
    <x v="3"/>
    <d v="2020-11-02T00:00:00"/>
    <x v="2"/>
    <n v="18"/>
    <n v="135"/>
    <n v="117"/>
    <n v="4062"/>
    <n v="83"/>
  </r>
  <r>
    <x v="3"/>
    <x v="3"/>
    <d v="2020-11-02T00:00:00"/>
    <x v="1"/>
    <n v="40"/>
    <n v="120"/>
    <n v="110"/>
    <n v="4061"/>
    <n v="185"/>
  </r>
  <r>
    <x v="3"/>
    <x v="3"/>
    <d v="2020-11-03T00:00:00"/>
    <x v="0"/>
    <n v="39"/>
    <n v="105"/>
    <n v="108"/>
    <n v="4066"/>
    <n v="139"/>
  </r>
  <r>
    <x v="3"/>
    <x v="3"/>
    <d v="2020-11-03T00:00:00"/>
    <x v="1"/>
    <n v="39"/>
    <n v="120"/>
    <n v="110"/>
    <n v="4067"/>
    <n v="140"/>
  </r>
  <r>
    <x v="3"/>
    <x v="3"/>
    <d v="2020-11-03T00:00:00"/>
    <x v="0"/>
    <n v="22"/>
    <n v="105"/>
    <n v="108"/>
    <n v="4068"/>
    <n v="81"/>
  </r>
  <r>
    <x v="3"/>
    <x v="3"/>
    <d v="2020-11-03T00:00:00"/>
    <x v="1"/>
    <n v="33"/>
    <n v="120"/>
    <n v="110"/>
    <n v="4063"/>
    <n v="120"/>
  </r>
  <r>
    <x v="3"/>
    <x v="3"/>
    <d v="2020-11-03T00:00:00"/>
    <x v="0"/>
    <n v="40"/>
    <n v="105"/>
    <n v="108"/>
    <n v="4064"/>
    <n v="146"/>
  </r>
  <r>
    <x v="3"/>
    <x v="3"/>
    <d v="2020-11-03T00:00:00"/>
    <x v="0"/>
    <n v="42"/>
    <n v="105"/>
    <n v="108"/>
    <n v="4065"/>
    <n v="146"/>
  </r>
  <r>
    <x v="3"/>
    <x v="3"/>
    <d v="2020-11-04T00:00:00"/>
    <x v="1"/>
    <n v="50"/>
    <n v="120"/>
    <n v="110"/>
    <n v="4069"/>
    <n v="234"/>
  </r>
  <r>
    <x v="3"/>
    <x v="3"/>
    <d v="2020-11-04T00:00:00"/>
    <x v="0"/>
    <n v="25"/>
    <n v="105"/>
    <n v="108"/>
    <n v="4070"/>
    <n v="88"/>
  </r>
  <r>
    <x v="3"/>
    <x v="3"/>
    <d v="2020-11-04T00:00:00"/>
    <x v="1"/>
    <n v="35"/>
    <n v="120"/>
    <n v="110"/>
    <n v="4071"/>
    <n v="162"/>
  </r>
  <r>
    <x v="3"/>
    <x v="3"/>
    <d v="2020-11-04T00:00:00"/>
    <x v="1"/>
    <n v="51"/>
    <n v="120"/>
    <n v="110"/>
    <n v="4072"/>
    <n v="178"/>
  </r>
  <r>
    <x v="3"/>
    <x v="3"/>
    <d v="2020-11-06T00:00:00"/>
    <x v="2"/>
    <n v="22"/>
    <n v="135"/>
    <n v="117"/>
    <n v="4073"/>
    <n v="103"/>
  </r>
  <r>
    <x v="3"/>
    <x v="3"/>
    <d v="2020-11-06T00:00:00"/>
    <x v="0"/>
    <n v="45"/>
    <n v="105"/>
    <n v="108"/>
    <n v="4074"/>
    <n v="208"/>
  </r>
  <r>
    <x v="3"/>
    <x v="3"/>
    <d v="2020-11-06T00:00:00"/>
    <x v="1"/>
    <n v="46"/>
    <n v="120"/>
    <n v="110"/>
    <n v="4075"/>
    <n v="167"/>
  </r>
  <r>
    <x v="3"/>
    <x v="3"/>
    <d v="2020-11-09T00:00:00"/>
    <x v="0"/>
    <n v="30"/>
    <n v="105"/>
    <n v="108"/>
    <n v="4076"/>
    <n v="102"/>
  </r>
  <r>
    <x v="3"/>
    <x v="3"/>
    <d v="2020-11-09T00:00:00"/>
    <x v="1"/>
    <n v="51"/>
    <n v="120"/>
    <n v="110"/>
    <n v="4077"/>
    <n v="178"/>
  </r>
  <r>
    <x v="3"/>
    <x v="3"/>
    <d v="2020-11-09T00:00:00"/>
    <x v="1"/>
    <n v="41"/>
    <n v="120"/>
    <n v="110"/>
    <n v="4078"/>
    <n v="143"/>
  </r>
  <r>
    <x v="3"/>
    <x v="3"/>
    <d v="2020-11-09T00:00:00"/>
    <x v="2"/>
    <n v="35"/>
    <n v="135"/>
    <n v="117"/>
    <n v="4079"/>
    <n v="127"/>
  </r>
  <r>
    <x v="3"/>
    <x v="3"/>
    <d v="2020-11-11T00:00:00"/>
    <x v="2"/>
    <n v="30"/>
    <n v="135"/>
    <n v="117"/>
    <n v="4081"/>
    <n v="106"/>
  </r>
  <r>
    <x v="3"/>
    <x v="3"/>
    <d v="2020-11-11T00:00:00"/>
    <x v="1"/>
    <n v="34"/>
    <n v="120"/>
    <n v="110"/>
    <n v="4080"/>
    <n v="120"/>
  </r>
  <r>
    <x v="3"/>
    <x v="3"/>
    <d v="2020-11-12T00:00:00"/>
    <x v="0"/>
    <n v="28"/>
    <n v="105"/>
    <n v="108"/>
    <n v="4082"/>
    <n v="101"/>
  </r>
  <r>
    <x v="3"/>
    <x v="3"/>
    <d v="2020-11-17T00:00:00"/>
    <x v="0"/>
    <n v="42"/>
    <n v="105"/>
    <n v="108"/>
    <n v="4083"/>
    <n v="149"/>
  </r>
  <r>
    <x v="3"/>
    <x v="3"/>
    <d v="2020-11-17T00:00:00"/>
    <x v="0"/>
    <n v="36"/>
    <n v="105"/>
    <n v="108"/>
    <n v="4084"/>
    <n v="125"/>
  </r>
  <r>
    <x v="3"/>
    <x v="3"/>
    <d v="2020-11-17T00:00:00"/>
    <x v="0"/>
    <n v="34"/>
    <n v="105"/>
    <n v="108"/>
    <n v="4085"/>
    <n v="120"/>
  </r>
  <r>
    <x v="3"/>
    <x v="3"/>
    <d v="2020-11-17T00:00:00"/>
    <x v="2"/>
    <n v="16"/>
    <n v="135"/>
    <n v="117"/>
    <n v="4086"/>
    <n v="59"/>
  </r>
  <r>
    <x v="3"/>
    <x v="3"/>
    <d v="2020-11-17T00:00:00"/>
    <x v="2"/>
    <n v="33"/>
    <n v="135"/>
    <n v="117"/>
    <n v="4087"/>
    <n v="116"/>
  </r>
  <r>
    <x v="3"/>
    <x v="3"/>
    <d v="2020-11-17T00:00:00"/>
    <x v="0"/>
    <n v="35"/>
    <n v="105"/>
    <n v="108"/>
    <n v="4088"/>
    <n v="127"/>
  </r>
  <r>
    <x v="3"/>
    <x v="3"/>
    <d v="2020-11-18T00:00:00"/>
    <x v="2"/>
    <n v="39"/>
    <n v="135"/>
    <n v="117"/>
    <n v="4091"/>
    <n v="135"/>
  </r>
  <r>
    <x v="3"/>
    <x v="3"/>
    <d v="2020-11-18T00:00:00"/>
    <x v="0"/>
    <n v="23"/>
    <n v="105"/>
    <n v="108"/>
    <n v="4092"/>
    <n v="80"/>
  </r>
  <r>
    <x v="3"/>
    <x v="3"/>
    <d v="2020-11-18T00:00:00"/>
    <x v="0"/>
    <n v="33"/>
    <n v="105"/>
    <n v="108"/>
    <n v="4090"/>
    <n v="116"/>
  </r>
  <r>
    <x v="3"/>
    <x v="3"/>
    <d v="2020-11-18T00:00:00"/>
    <x v="1"/>
    <n v="27"/>
    <n v="120"/>
    <n v="110"/>
    <n v="4089"/>
    <n v="97"/>
  </r>
  <r>
    <x v="3"/>
    <x v="3"/>
    <d v="2020-11-19T00:00:00"/>
    <x v="0"/>
    <n v="43"/>
    <n v="105"/>
    <n v="108"/>
    <n v="4094"/>
    <n v="199"/>
  </r>
  <r>
    <x v="3"/>
    <x v="3"/>
    <d v="2020-11-19T00:00:00"/>
    <x v="0"/>
    <n v="45"/>
    <n v="105"/>
    <n v="108"/>
    <n v="4095"/>
    <n v="166"/>
  </r>
  <r>
    <x v="3"/>
    <x v="3"/>
    <d v="2020-11-19T00:00:00"/>
    <x v="2"/>
    <n v="39"/>
    <n v="135"/>
    <n v="117"/>
    <n v="4096"/>
    <n v="140"/>
  </r>
  <r>
    <x v="3"/>
    <x v="3"/>
    <d v="2020-11-19T00:00:00"/>
    <x v="0"/>
    <n v="36"/>
    <n v="105"/>
    <n v="108"/>
    <n v="4097"/>
    <n v="125"/>
  </r>
  <r>
    <x v="3"/>
    <x v="3"/>
    <d v="2020-11-19T00:00:00"/>
    <x v="2"/>
    <n v="21"/>
    <n v="135"/>
    <n v="117"/>
    <n v="4098"/>
    <n v="97"/>
  </r>
  <r>
    <x v="3"/>
    <x v="3"/>
    <d v="2020-11-19T00:00:00"/>
    <x v="2"/>
    <n v="36"/>
    <n v="135"/>
    <n v="117"/>
    <n v="4093"/>
    <n v="124"/>
  </r>
  <r>
    <x v="3"/>
    <x v="3"/>
    <d v="2020-11-20T00:00:00"/>
    <x v="0"/>
    <n v="32"/>
    <n v="105"/>
    <n v="108"/>
    <n v="4099"/>
    <n v="110"/>
  </r>
  <r>
    <x v="3"/>
    <x v="3"/>
    <d v="2020-11-23T00:00:00"/>
    <x v="2"/>
    <n v="25"/>
    <n v="135"/>
    <n v="117"/>
    <n v="4103"/>
    <n v="90"/>
  </r>
  <r>
    <x v="3"/>
    <x v="3"/>
    <d v="2020-11-23T00:00:00"/>
    <x v="2"/>
    <n v="24"/>
    <n v="135"/>
    <n v="117"/>
    <n v="4105"/>
    <n v="87"/>
  </r>
  <r>
    <x v="3"/>
    <x v="3"/>
    <d v="2020-11-23T00:00:00"/>
    <x v="1"/>
    <n v="40"/>
    <n v="120"/>
    <n v="110"/>
    <n v="4104"/>
    <n v="138"/>
  </r>
  <r>
    <x v="3"/>
    <x v="3"/>
    <d v="2020-11-23T00:00:00"/>
    <x v="0"/>
    <n v="42"/>
    <n v="105"/>
    <n v="108"/>
    <n v="4100"/>
    <n v="144"/>
  </r>
  <r>
    <x v="3"/>
    <x v="3"/>
    <d v="2020-11-23T00:00:00"/>
    <x v="2"/>
    <n v="25"/>
    <n v="135"/>
    <n v="117"/>
    <n v="4101"/>
    <n v="88"/>
  </r>
  <r>
    <x v="3"/>
    <x v="3"/>
    <d v="2020-11-23T00:00:00"/>
    <x v="1"/>
    <n v="47"/>
    <n v="120"/>
    <n v="110"/>
    <n v="4102"/>
    <n v="168"/>
  </r>
  <r>
    <x v="3"/>
    <x v="3"/>
    <d v="2020-11-25T00:00:00"/>
    <x v="0"/>
    <n v="34"/>
    <n v="105"/>
    <n v="108"/>
    <n v="4106"/>
    <n v="125"/>
  </r>
  <r>
    <x v="3"/>
    <x v="3"/>
    <d v="2020-11-25T00:00:00"/>
    <x v="0"/>
    <n v="36"/>
    <n v="105"/>
    <n v="108"/>
    <n v="4107"/>
    <n v="127"/>
  </r>
  <r>
    <x v="3"/>
    <x v="3"/>
    <d v="2020-11-26T00:00:00"/>
    <x v="0"/>
    <n v="35"/>
    <n v="105"/>
    <n v="108"/>
    <n v="4110"/>
    <n v="126"/>
  </r>
  <r>
    <x v="3"/>
    <x v="3"/>
    <d v="2020-11-26T00:00:00"/>
    <x v="1"/>
    <n v="42"/>
    <n v="120"/>
    <n v="110"/>
    <n v="4113"/>
    <n v="160"/>
  </r>
  <r>
    <x v="3"/>
    <x v="3"/>
    <d v="2020-11-26T00:00:00"/>
    <x v="0"/>
    <n v="36"/>
    <n v="105"/>
    <n v="108"/>
    <n v="4111"/>
    <n v="130"/>
  </r>
  <r>
    <x v="3"/>
    <x v="3"/>
    <d v="2020-11-26T00:00:00"/>
    <x v="1"/>
    <n v="52"/>
    <n v="120"/>
    <n v="110"/>
    <n v="4109"/>
    <n v="244"/>
  </r>
  <r>
    <x v="3"/>
    <x v="3"/>
    <d v="2020-11-26T00:00:00"/>
    <x v="0"/>
    <n v="27"/>
    <n v="105"/>
    <n v="108"/>
    <n v="4108"/>
    <n v="94"/>
  </r>
  <r>
    <x v="3"/>
    <x v="3"/>
    <d v="2020-11-26T00:00:00"/>
    <x v="2"/>
    <n v="38"/>
    <n v="135"/>
    <n v="117"/>
    <n v="4112"/>
    <n v="175"/>
  </r>
  <r>
    <x v="3"/>
    <x v="3"/>
    <d v="2020-11-27T00:00:00"/>
    <x v="2"/>
    <n v="21"/>
    <n v="135"/>
    <n v="117"/>
    <n v="4114"/>
    <n v="77"/>
  </r>
  <r>
    <x v="3"/>
    <x v="3"/>
    <d v="2020-11-27T00:00:00"/>
    <x v="0"/>
    <n v="46"/>
    <n v="105"/>
    <n v="108"/>
    <n v="4115"/>
    <n v="169"/>
  </r>
  <r>
    <x v="3"/>
    <x v="3"/>
    <d v="2020-11-27T00:00:00"/>
    <x v="0"/>
    <n v="38"/>
    <n v="105"/>
    <n v="108"/>
    <n v="4116"/>
    <n v="134"/>
  </r>
  <r>
    <x v="3"/>
    <x v="3"/>
    <d v="2020-11-30T00:00:00"/>
    <x v="2"/>
    <n v="35"/>
    <n v="135"/>
    <n v="117"/>
    <n v="4119"/>
    <n v="121"/>
  </r>
  <r>
    <x v="3"/>
    <x v="3"/>
    <d v="2020-11-30T00:00:00"/>
    <x v="2"/>
    <n v="30"/>
    <n v="135"/>
    <n v="117"/>
    <n v="4118"/>
    <n v="106"/>
  </r>
  <r>
    <x v="3"/>
    <x v="3"/>
    <d v="2020-11-30T00:00:00"/>
    <x v="2"/>
    <n v="39"/>
    <n v="135"/>
    <n v="117"/>
    <n v="4117"/>
    <n v="141"/>
  </r>
  <r>
    <x v="3"/>
    <x v="3"/>
    <d v="2020-12-01T00:00:00"/>
    <x v="2"/>
    <n v="18"/>
    <n v="135"/>
    <n v="117"/>
    <n v="4121"/>
    <n v="62"/>
  </r>
  <r>
    <x v="3"/>
    <x v="3"/>
    <d v="2020-12-01T00:00:00"/>
    <x v="1"/>
    <n v="45"/>
    <n v="120"/>
    <n v="110"/>
    <n v="4122"/>
    <n v="159"/>
  </r>
  <r>
    <x v="3"/>
    <x v="3"/>
    <d v="2020-12-01T00:00:00"/>
    <x v="2"/>
    <n v="36"/>
    <n v="135"/>
    <n v="117"/>
    <n v="4123"/>
    <n v="125"/>
  </r>
  <r>
    <x v="3"/>
    <x v="3"/>
    <d v="2020-12-01T00:00:00"/>
    <x v="1"/>
    <n v="46"/>
    <n v="120"/>
    <n v="110"/>
    <n v="4124"/>
    <n v="213"/>
  </r>
  <r>
    <x v="3"/>
    <x v="3"/>
    <d v="2020-12-01T00:00:00"/>
    <x v="0"/>
    <n v="24"/>
    <n v="105"/>
    <n v="108"/>
    <n v="4125"/>
    <n v="85"/>
  </r>
  <r>
    <x v="3"/>
    <x v="3"/>
    <d v="2020-12-01T00:00:00"/>
    <x v="2"/>
    <n v="18"/>
    <n v="135"/>
    <n v="117"/>
    <n v="4120"/>
    <n v="85"/>
  </r>
  <r>
    <x v="3"/>
    <x v="3"/>
    <d v="2020-12-02T00:00:00"/>
    <x v="0"/>
    <n v="34"/>
    <n v="105"/>
    <n v="108"/>
    <n v="4127"/>
    <n v="118"/>
  </r>
  <r>
    <x v="3"/>
    <x v="3"/>
    <d v="2020-12-02T00:00:00"/>
    <x v="1"/>
    <n v="39"/>
    <n v="120"/>
    <n v="110"/>
    <n v="4128"/>
    <n v="143"/>
  </r>
  <r>
    <x v="3"/>
    <x v="3"/>
    <d v="2020-12-02T00:00:00"/>
    <x v="0"/>
    <n v="32"/>
    <n v="105"/>
    <n v="108"/>
    <n v="4126"/>
    <n v="117"/>
  </r>
  <r>
    <x v="3"/>
    <x v="3"/>
    <d v="2020-12-03T00:00:00"/>
    <x v="2"/>
    <n v="29"/>
    <n v="135"/>
    <n v="117"/>
    <n v="4130"/>
    <n v="102"/>
  </r>
  <r>
    <x v="3"/>
    <x v="3"/>
    <d v="2020-12-03T00:00:00"/>
    <x v="0"/>
    <n v="38"/>
    <n v="105"/>
    <n v="108"/>
    <n v="4131"/>
    <n v="131"/>
  </r>
  <r>
    <x v="3"/>
    <x v="3"/>
    <d v="2020-12-03T00:00:00"/>
    <x v="0"/>
    <n v="43"/>
    <n v="105"/>
    <n v="108"/>
    <n v="4132"/>
    <n v="150"/>
  </r>
  <r>
    <x v="3"/>
    <x v="3"/>
    <d v="2020-12-03T00:00:00"/>
    <x v="1"/>
    <n v="50"/>
    <n v="120"/>
    <n v="110"/>
    <n v="4133"/>
    <n v="175"/>
  </r>
  <r>
    <x v="3"/>
    <x v="3"/>
    <d v="2020-12-03T00:00:00"/>
    <x v="2"/>
    <n v="35"/>
    <n v="135"/>
    <n v="117"/>
    <n v="4134"/>
    <n v="122"/>
  </r>
  <r>
    <x v="3"/>
    <x v="3"/>
    <d v="2020-12-03T00:00:00"/>
    <x v="0"/>
    <n v="43"/>
    <n v="105"/>
    <n v="108"/>
    <n v="4129"/>
    <n v="158"/>
  </r>
  <r>
    <x v="3"/>
    <x v="3"/>
    <d v="2020-12-04T00:00:00"/>
    <x v="1"/>
    <n v="40"/>
    <n v="120"/>
    <n v="110"/>
    <n v="4136"/>
    <n v="146"/>
  </r>
  <r>
    <x v="3"/>
    <x v="3"/>
    <d v="2020-12-04T00:00:00"/>
    <x v="2"/>
    <n v="23"/>
    <n v="135"/>
    <n v="117"/>
    <n v="4137"/>
    <n v="82"/>
  </r>
  <r>
    <x v="3"/>
    <x v="3"/>
    <d v="2020-12-04T00:00:00"/>
    <x v="0"/>
    <n v="47"/>
    <n v="105"/>
    <n v="108"/>
    <n v="4135"/>
    <n v="220"/>
  </r>
  <r>
    <x v="3"/>
    <x v="3"/>
    <d v="2020-12-08T00:00:00"/>
    <x v="0"/>
    <n v="43"/>
    <n v="105"/>
    <n v="108"/>
    <n v="4139"/>
    <n v="198"/>
  </r>
  <r>
    <x v="3"/>
    <x v="3"/>
    <d v="2020-12-08T00:00:00"/>
    <x v="1"/>
    <n v="44"/>
    <n v="120"/>
    <n v="110"/>
    <n v="4140"/>
    <n v="157"/>
  </r>
  <r>
    <x v="3"/>
    <x v="3"/>
    <d v="2020-12-08T00:00:00"/>
    <x v="1"/>
    <n v="52"/>
    <n v="120"/>
    <n v="110"/>
    <n v="4141"/>
    <n v="181"/>
  </r>
  <r>
    <x v="3"/>
    <x v="3"/>
    <d v="2020-12-08T00:00:00"/>
    <x v="2"/>
    <n v="26"/>
    <n v="135"/>
    <n v="117"/>
    <n v="4142"/>
    <n v="93"/>
  </r>
  <r>
    <x v="3"/>
    <x v="3"/>
    <d v="2020-12-08T00:00:00"/>
    <x v="2"/>
    <n v="40"/>
    <n v="135"/>
    <n v="117"/>
    <n v="4143"/>
    <n v="187"/>
  </r>
  <r>
    <x v="3"/>
    <x v="3"/>
    <d v="2020-12-08T00:00:00"/>
    <x v="1"/>
    <n v="37"/>
    <n v="120"/>
    <n v="110"/>
    <n v="4138"/>
    <n v="133"/>
  </r>
  <r>
    <x v="3"/>
    <x v="3"/>
    <d v="2020-12-09T00:00:00"/>
    <x v="1"/>
    <n v="30"/>
    <n v="120"/>
    <n v="110"/>
    <n v="4144"/>
    <n v="110"/>
  </r>
  <r>
    <x v="3"/>
    <x v="3"/>
    <d v="2020-12-10T00:00:00"/>
    <x v="0"/>
    <n v="29"/>
    <n v="105"/>
    <n v="108"/>
    <n v="4145"/>
    <n v="106"/>
  </r>
  <r>
    <x v="3"/>
    <x v="3"/>
    <d v="2020-12-10T00:00:00"/>
    <x v="1"/>
    <n v="30"/>
    <n v="120"/>
    <n v="110"/>
    <n v="4148"/>
    <n v="140"/>
  </r>
  <r>
    <x v="3"/>
    <x v="3"/>
    <d v="2020-12-10T00:00:00"/>
    <x v="1"/>
    <n v="30"/>
    <n v="120"/>
    <n v="110"/>
    <n v="4146"/>
    <n v="109"/>
  </r>
  <r>
    <x v="3"/>
    <x v="3"/>
    <d v="2020-12-10T00:00:00"/>
    <x v="0"/>
    <n v="29"/>
    <n v="105"/>
    <n v="108"/>
    <n v="4147"/>
    <n v="110"/>
  </r>
  <r>
    <x v="3"/>
    <x v="3"/>
    <d v="2020-12-11T00:00:00"/>
    <x v="2"/>
    <n v="39"/>
    <n v="135"/>
    <n v="117"/>
    <n v="4149"/>
    <n v="138"/>
  </r>
  <r>
    <x v="3"/>
    <x v="3"/>
    <d v="2020-12-11T00:00:00"/>
    <x v="0"/>
    <n v="32"/>
    <n v="105"/>
    <n v="108"/>
    <n v="4150"/>
    <n v="117"/>
  </r>
  <r>
    <x v="3"/>
    <x v="3"/>
    <d v="2020-12-11T00:00:00"/>
    <x v="2"/>
    <n v="21"/>
    <n v="135"/>
    <n v="117"/>
    <n v="4151"/>
    <n v="76"/>
  </r>
  <r>
    <x v="3"/>
    <x v="3"/>
    <d v="2020-12-14T00:00:00"/>
    <x v="2"/>
    <n v="33"/>
    <n v="135"/>
    <n v="117"/>
    <n v="4152"/>
    <n v="119"/>
  </r>
  <r>
    <x v="3"/>
    <x v="3"/>
    <d v="2020-12-16T00:00:00"/>
    <x v="0"/>
    <n v="22"/>
    <n v="105"/>
    <n v="108"/>
    <n v="4153"/>
    <n v="76"/>
  </r>
  <r>
    <x v="3"/>
    <x v="3"/>
    <d v="2020-12-16T00:00:00"/>
    <x v="1"/>
    <n v="34"/>
    <n v="120"/>
    <n v="110"/>
    <n v="4156"/>
    <n v="121"/>
  </r>
  <r>
    <x v="3"/>
    <x v="3"/>
    <d v="2020-12-16T00:00:00"/>
    <x v="2"/>
    <n v="24"/>
    <n v="135"/>
    <n v="117"/>
    <n v="4157"/>
    <n v="86"/>
  </r>
  <r>
    <x v="3"/>
    <x v="3"/>
    <d v="2020-12-16T00:00:00"/>
    <x v="2"/>
    <n v="23"/>
    <n v="135"/>
    <n v="117"/>
    <n v="4154"/>
    <n v="82"/>
  </r>
  <r>
    <x v="3"/>
    <x v="3"/>
    <d v="2020-12-16T00:00:00"/>
    <x v="2"/>
    <n v="36"/>
    <n v="135"/>
    <n v="117"/>
    <n v="4155"/>
    <n v="124"/>
  </r>
  <r>
    <x v="3"/>
    <x v="3"/>
    <d v="2020-12-17T00:00:00"/>
    <x v="2"/>
    <n v="18"/>
    <n v="135"/>
    <n v="117"/>
    <n v="4158"/>
    <n v="83"/>
  </r>
  <r>
    <x v="3"/>
    <x v="3"/>
    <d v="2020-12-17T00:00:00"/>
    <x v="2"/>
    <n v="33"/>
    <n v="135"/>
    <n v="117"/>
    <n v="4159"/>
    <n v="115"/>
  </r>
  <r>
    <x v="3"/>
    <x v="3"/>
    <d v="2020-12-18T00:00:00"/>
    <x v="2"/>
    <n v="18"/>
    <n v="135"/>
    <n v="117"/>
    <n v="4160"/>
    <n v="65"/>
  </r>
  <r>
    <x v="3"/>
    <x v="3"/>
    <d v="2020-12-18T00:00:00"/>
    <x v="2"/>
    <n v="35"/>
    <n v="135"/>
    <n v="117"/>
    <n v="4161"/>
    <n v="163"/>
  </r>
  <r>
    <x v="3"/>
    <x v="3"/>
    <d v="2020-12-18T00:00:00"/>
    <x v="0"/>
    <n v="44"/>
    <n v="105"/>
    <n v="108"/>
    <n v="4162"/>
    <n v="158"/>
  </r>
  <r>
    <x v="3"/>
    <x v="3"/>
    <d v="2020-12-18T00:00:00"/>
    <x v="2"/>
    <n v="19"/>
    <n v="135"/>
    <n v="117"/>
    <n v="4163"/>
    <n v="68"/>
  </r>
  <r>
    <x v="3"/>
    <x v="3"/>
    <d v="2020-12-21T00:00:00"/>
    <x v="0"/>
    <n v="22"/>
    <n v="105"/>
    <n v="108"/>
    <n v="4164"/>
    <n v="78"/>
  </r>
  <r>
    <x v="3"/>
    <x v="3"/>
    <d v="2020-12-21T00:00:00"/>
    <x v="0"/>
    <n v="29"/>
    <n v="105"/>
    <n v="108"/>
    <n v="4168"/>
    <n v="110"/>
  </r>
  <r>
    <x v="3"/>
    <x v="3"/>
    <d v="2020-12-21T00:00:00"/>
    <x v="1"/>
    <n v="39"/>
    <n v="120"/>
    <n v="110"/>
    <n v="4167"/>
    <n v="144"/>
  </r>
  <r>
    <x v="3"/>
    <x v="3"/>
    <d v="2020-12-21T00:00:00"/>
    <x v="1"/>
    <n v="32"/>
    <n v="120"/>
    <n v="110"/>
    <n v="4165"/>
    <n v="116"/>
  </r>
  <r>
    <x v="3"/>
    <x v="3"/>
    <d v="2020-12-21T00:00:00"/>
    <x v="2"/>
    <n v="27"/>
    <n v="135"/>
    <n v="117"/>
    <n v="4166"/>
    <n v="99"/>
  </r>
  <r>
    <x v="3"/>
    <x v="3"/>
    <d v="2020-12-22T00:00:00"/>
    <x v="1"/>
    <n v="51"/>
    <n v="120"/>
    <n v="110"/>
    <n v="4169"/>
    <n v="176"/>
  </r>
  <r>
    <x v="3"/>
    <x v="3"/>
    <d v="2020-12-24T00:00:00"/>
    <x v="0"/>
    <n v="36"/>
    <n v="105"/>
    <n v="108"/>
    <n v="4172"/>
    <n v="125"/>
  </r>
  <r>
    <x v="3"/>
    <x v="3"/>
    <d v="2020-12-24T00:00:00"/>
    <x v="2"/>
    <n v="16"/>
    <n v="135"/>
    <n v="117"/>
    <n v="4170"/>
    <n v="75"/>
  </r>
  <r>
    <x v="3"/>
    <x v="3"/>
    <d v="2020-12-24T00:00:00"/>
    <x v="1"/>
    <n v="28"/>
    <n v="120"/>
    <n v="110"/>
    <n v="4171"/>
    <n v="101"/>
  </r>
  <r>
    <x v="3"/>
    <x v="3"/>
    <d v="2020-12-25T00:00:00"/>
    <x v="1"/>
    <n v="51"/>
    <n v="120"/>
    <n v="110"/>
    <n v="4175"/>
    <n v="175"/>
  </r>
  <r>
    <x v="3"/>
    <x v="3"/>
    <d v="2020-12-25T00:00:00"/>
    <x v="0"/>
    <n v="37"/>
    <n v="105"/>
    <n v="108"/>
    <n v="4173"/>
    <n v="128"/>
  </r>
  <r>
    <x v="3"/>
    <x v="3"/>
    <d v="2020-12-25T00:00:00"/>
    <x v="1"/>
    <n v="28"/>
    <n v="120"/>
    <n v="110"/>
    <n v="4175"/>
    <n v="96"/>
  </r>
  <r>
    <x v="3"/>
    <x v="3"/>
    <d v="2020-12-28T00:00:00"/>
    <x v="2"/>
    <n v="41"/>
    <n v="135"/>
    <n v="117"/>
    <n v="4176"/>
    <n v="151"/>
  </r>
  <r>
    <x v="3"/>
    <x v="3"/>
    <d v="2020-12-29T00:00:00"/>
    <x v="1"/>
    <n v="36"/>
    <n v="120"/>
    <n v="110"/>
    <n v="4177"/>
    <n v="128"/>
  </r>
  <r>
    <x v="3"/>
    <x v="3"/>
    <d v="2020-12-29T00:00:00"/>
    <x v="0"/>
    <n v="35"/>
    <n v="105"/>
    <n v="108"/>
    <n v="4178"/>
    <n v="124"/>
  </r>
  <r>
    <x v="3"/>
    <x v="3"/>
    <d v="2020-12-29T00:00:00"/>
    <x v="1"/>
    <n v="48"/>
    <n v="120"/>
    <n v="110"/>
    <n v="4179"/>
    <n v="174"/>
  </r>
  <r>
    <x v="3"/>
    <x v="3"/>
    <d v="2020-12-29T00:00:00"/>
    <x v="2"/>
    <n v="16"/>
    <n v="135"/>
    <n v="117"/>
    <n v="4180"/>
    <n v="57"/>
  </r>
  <r>
    <x v="3"/>
    <x v="3"/>
    <d v="2020-12-30T00:00:00"/>
    <x v="0"/>
    <n v="38"/>
    <n v="105"/>
    <n v="108"/>
    <n v="4181"/>
    <n v="140"/>
  </r>
  <r>
    <x v="3"/>
    <x v="3"/>
    <d v="2020-12-30T00:00:00"/>
    <x v="2"/>
    <n v="40"/>
    <n v="135"/>
    <n v="117"/>
    <n v="4184"/>
    <n v="143"/>
  </r>
  <r>
    <x v="3"/>
    <x v="3"/>
    <d v="2020-12-30T00:00:00"/>
    <x v="2"/>
    <n v="27"/>
    <n v="135"/>
    <n v="117"/>
    <n v="4182"/>
    <n v="93"/>
  </r>
  <r>
    <x v="3"/>
    <x v="3"/>
    <d v="2020-12-30T00:00:00"/>
    <x v="1"/>
    <n v="40"/>
    <n v="120"/>
    <n v="110"/>
    <n v="4183"/>
    <n v="138"/>
  </r>
  <r>
    <x v="4"/>
    <x v="0"/>
    <d v="2021-01-01T00:00:00"/>
    <x v="0"/>
    <n v="49"/>
    <n v="105"/>
    <n v="108"/>
    <n v="4185"/>
    <n v="179"/>
  </r>
  <r>
    <x v="4"/>
    <x v="0"/>
    <d v="2021-01-01T00:00:00"/>
    <x v="2"/>
    <n v="53"/>
    <n v="135"/>
    <n v="117"/>
    <n v="4186"/>
    <n v="187"/>
  </r>
  <r>
    <x v="4"/>
    <x v="0"/>
    <d v="2021-01-01T00:00:00"/>
    <x v="0"/>
    <n v="45"/>
    <n v="105"/>
    <n v="108"/>
    <n v="4187"/>
    <n v="157"/>
  </r>
  <r>
    <x v="4"/>
    <x v="0"/>
    <d v="2021-01-01T00:00:00"/>
    <x v="2"/>
    <n v="36"/>
    <n v="135"/>
    <n v="117"/>
    <n v="4188"/>
    <n v="132"/>
  </r>
  <r>
    <x v="4"/>
    <x v="0"/>
    <d v="2021-01-05T00:00:00"/>
    <x v="1"/>
    <n v="37"/>
    <n v="110"/>
    <n v="110"/>
    <n v="4190"/>
    <n v="128"/>
  </r>
  <r>
    <x v="4"/>
    <x v="0"/>
    <d v="2021-01-05T00:00:00"/>
    <x v="1"/>
    <n v="43"/>
    <n v="110"/>
    <n v="110"/>
    <n v="4193"/>
    <n v="150"/>
  </r>
  <r>
    <x v="4"/>
    <x v="0"/>
    <d v="2021-01-05T00:00:00"/>
    <x v="1"/>
    <n v="59"/>
    <n v="110"/>
    <n v="110"/>
    <n v="4192"/>
    <n v="220"/>
  </r>
  <r>
    <x v="4"/>
    <x v="0"/>
    <d v="2021-01-05T00:00:00"/>
    <x v="2"/>
    <n v="36"/>
    <n v="135"/>
    <n v="117"/>
    <n v="4189"/>
    <n v="127"/>
  </r>
  <r>
    <x v="4"/>
    <x v="0"/>
    <d v="2021-01-05T00:00:00"/>
    <x v="0"/>
    <n v="37"/>
    <n v="105"/>
    <n v="108"/>
    <n v="4191"/>
    <n v="129"/>
  </r>
  <r>
    <x v="4"/>
    <x v="0"/>
    <d v="2021-01-07T00:00:00"/>
    <x v="1"/>
    <n v="49"/>
    <n v="110"/>
    <n v="110"/>
    <n v="4194"/>
    <n v="176"/>
  </r>
  <r>
    <x v="4"/>
    <x v="0"/>
    <d v="2021-01-08T00:00:00"/>
    <x v="1"/>
    <n v="37"/>
    <n v="110"/>
    <n v="110"/>
    <n v="4195"/>
    <n v="130"/>
  </r>
  <r>
    <x v="4"/>
    <x v="0"/>
    <d v="2021-01-11T00:00:00"/>
    <x v="1"/>
    <n v="37"/>
    <n v="110"/>
    <n v="110"/>
    <n v="4198"/>
    <n v="136"/>
  </r>
  <r>
    <x v="4"/>
    <x v="0"/>
    <d v="2021-01-11T00:00:00"/>
    <x v="0"/>
    <n v="42"/>
    <n v="105"/>
    <n v="108"/>
    <n v="4196"/>
    <n v="144"/>
  </r>
  <r>
    <x v="4"/>
    <x v="0"/>
    <d v="2021-01-11T00:00:00"/>
    <x v="0"/>
    <n v="57"/>
    <n v="105"/>
    <n v="108"/>
    <n v="4197"/>
    <n v="200"/>
  </r>
  <r>
    <x v="4"/>
    <x v="0"/>
    <d v="2021-01-12T00:00:00"/>
    <x v="2"/>
    <n v="37"/>
    <n v="135"/>
    <n v="117"/>
    <n v="4201"/>
    <n v="132"/>
  </r>
  <r>
    <x v="4"/>
    <x v="0"/>
    <d v="2021-01-12T00:00:00"/>
    <x v="0"/>
    <n v="49"/>
    <n v="105"/>
    <n v="108"/>
    <n v="4199"/>
    <n v="180"/>
  </r>
  <r>
    <x v="4"/>
    <x v="0"/>
    <d v="2021-01-12T00:00:00"/>
    <x v="2"/>
    <n v="32"/>
    <n v="135"/>
    <n v="117"/>
    <n v="4200"/>
    <n v="112"/>
  </r>
  <r>
    <x v="4"/>
    <x v="0"/>
    <d v="2021-01-18T00:00:00"/>
    <x v="1"/>
    <n v="61"/>
    <n v="110"/>
    <n v="110"/>
    <n v="4202"/>
    <n v="224"/>
  </r>
  <r>
    <x v="4"/>
    <x v="0"/>
    <d v="2021-01-18T00:00:00"/>
    <x v="1"/>
    <n v="57"/>
    <n v="110"/>
    <n v="110"/>
    <n v="4203"/>
    <n v="208"/>
  </r>
  <r>
    <x v="4"/>
    <x v="0"/>
    <d v="2021-01-20T00:00:00"/>
    <x v="2"/>
    <n v="40"/>
    <n v="135"/>
    <n v="117"/>
    <n v="4204"/>
    <n v="141"/>
  </r>
  <r>
    <x v="4"/>
    <x v="0"/>
    <d v="2021-01-20T00:00:00"/>
    <x v="0"/>
    <n v="48"/>
    <n v="105"/>
    <n v="108"/>
    <n v="4205"/>
    <n v="169"/>
  </r>
  <r>
    <x v="4"/>
    <x v="0"/>
    <d v="2021-01-21T00:00:00"/>
    <x v="1"/>
    <n v="39"/>
    <n v="110"/>
    <n v="110"/>
    <n v="4208"/>
    <n v="141"/>
  </r>
  <r>
    <x v="4"/>
    <x v="0"/>
    <d v="2021-01-21T00:00:00"/>
    <x v="0"/>
    <n v="53"/>
    <n v="105"/>
    <n v="108"/>
    <n v="4209"/>
    <n v="247"/>
  </r>
  <r>
    <x v="4"/>
    <x v="0"/>
    <d v="2021-01-21T00:00:00"/>
    <x v="1"/>
    <n v="50"/>
    <n v="110"/>
    <n v="110"/>
    <n v="4206"/>
    <n v="176"/>
  </r>
  <r>
    <x v="4"/>
    <x v="0"/>
    <d v="2021-01-21T00:00:00"/>
    <x v="1"/>
    <n v="43"/>
    <n v="110"/>
    <n v="110"/>
    <n v="4207"/>
    <n v="199"/>
  </r>
  <r>
    <x v="4"/>
    <x v="0"/>
    <d v="2021-01-21T00:00:00"/>
    <x v="0"/>
    <n v="43"/>
    <n v="105"/>
    <n v="108"/>
    <n v="4210"/>
    <n v="155"/>
  </r>
  <r>
    <x v="4"/>
    <x v="0"/>
    <d v="2021-01-22T00:00:00"/>
    <x v="2"/>
    <n v="38"/>
    <n v="135"/>
    <n v="117"/>
    <n v="4211"/>
    <n v="134"/>
  </r>
  <r>
    <x v="4"/>
    <x v="0"/>
    <d v="2021-01-25T00:00:00"/>
    <x v="2"/>
    <n v="44"/>
    <n v="135"/>
    <n v="117"/>
    <n v="4216"/>
    <n v="159"/>
  </r>
  <r>
    <x v="4"/>
    <x v="0"/>
    <d v="2021-01-25T00:00:00"/>
    <x v="2"/>
    <n v="31"/>
    <n v="135"/>
    <n v="117"/>
    <n v="4212"/>
    <n v="112"/>
  </r>
  <r>
    <x v="4"/>
    <x v="0"/>
    <d v="2021-01-25T00:00:00"/>
    <x v="2"/>
    <n v="53"/>
    <n v="135"/>
    <n v="117"/>
    <n v="4213"/>
    <n v="187"/>
  </r>
  <r>
    <x v="4"/>
    <x v="0"/>
    <d v="2021-01-25T00:00:00"/>
    <x v="0"/>
    <n v="55"/>
    <n v="105"/>
    <n v="108"/>
    <n v="4214"/>
    <n v="202"/>
  </r>
  <r>
    <x v="4"/>
    <x v="0"/>
    <d v="2021-01-25T00:00:00"/>
    <x v="1"/>
    <n v="62"/>
    <n v="110"/>
    <n v="110"/>
    <n v="4215"/>
    <n v="215"/>
  </r>
  <r>
    <x v="4"/>
    <x v="0"/>
    <d v="2021-01-28T00:00:00"/>
    <x v="1"/>
    <n v="58"/>
    <n v="110"/>
    <n v="110"/>
    <n v="4219"/>
    <n v="212"/>
  </r>
  <r>
    <x v="4"/>
    <x v="0"/>
    <d v="2021-01-28T00:00:00"/>
    <x v="0"/>
    <n v="37"/>
    <n v="105"/>
    <n v="108"/>
    <n v="4217"/>
    <n v="136"/>
  </r>
  <r>
    <x v="4"/>
    <x v="0"/>
    <d v="2021-01-28T00:00:00"/>
    <x v="1"/>
    <n v="45"/>
    <n v="110"/>
    <n v="110"/>
    <n v="4218"/>
    <n v="158"/>
  </r>
  <r>
    <x v="4"/>
    <x v="0"/>
    <d v="2021-01-29T00:00:00"/>
    <x v="2"/>
    <n v="40"/>
    <n v="135"/>
    <n v="117"/>
    <n v="4220"/>
    <n v="139"/>
  </r>
  <r>
    <x v="4"/>
    <x v="0"/>
    <d v="2021-02-01T00:00:00"/>
    <x v="2"/>
    <n v="33"/>
    <n v="135"/>
    <n v="117"/>
    <n v="4221"/>
    <n v="114"/>
  </r>
  <r>
    <x v="4"/>
    <x v="0"/>
    <d v="2021-02-01T00:00:00"/>
    <x v="0"/>
    <n v="57"/>
    <n v="105"/>
    <n v="108"/>
    <n v="4222"/>
    <n v="206"/>
  </r>
  <r>
    <x v="4"/>
    <x v="0"/>
    <d v="2021-02-01T00:00:00"/>
    <x v="1"/>
    <n v="48"/>
    <n v="110"/>
    <n v="110"/>
    <n v="4223"/>
    <n v="166"/>
  </r>
  <r>
    <x v="4"/>
    <x v="0"/>
    <d v="2021-02-01T00:00:00"/>
    <x v="1"/>
    <n v="61"/>
    <n v="110"/>
    <n v="110"/>
    <n v="4224"/>
    <n v="216"/>
  </r>
  <r>
    <x v="4"/>
    <x v="0"/>
    <d v="2021-02-02T00:00:00"/>
    <x v="2"/>
    <n v="48"/>
    <n v="135"/>
    <n v="117"/>
    <n v="4228"/>
    <n v="222"/>
  </r>
  <r>
    <x v="4"/>
    <x v="0"/>
    <d v="2021-02-02T00:00:00"/>
    <x v="2"/>
    <n v="35"/>
    <n v="135"/>
    <n v="117"/>
    <n v="4227"/>
    <n v="130"/>
  </r>
  <r>
    <x v="4"/>
    <x v="0"/>
    <d v="2021-02-02T00:00:00"/>
    <x v="2"/>
    <n v="37"/>
    <n v="135"/>
    <n v="117"/>
    <n v="4226"/>
    <n v="131"/>
  </r>
  <r>
    <x v="4"/>
    <x v="0"/>
    <d v="2021-02-02T00:00:00"/>
    <x v="0"/>
    <n v="41"/>
    <n v="105"/>
    <n v="108"/>
    <n v="4225"/>
    <n v="150"/>
  </r>
  <r>
    <x v="4"/>
    <x v="0"/>
    <d v="2021-02-09T00:00:00"/>
    <x v="2"/>
    <n v="48"/>
    <n v="135"/>
    <n v="117"/>
    <n v="4230"/>
    <n v="174"/>
  </r>
  <r>
    <x v="4"/>
    <x v="0"/>
    <d v="2021-02-09T00:00:00"/>
    <x v="0"/>
    <n v="58"/>
    <n v="105"/>
    <n v="108"/>
    <n v="4231"/>
    <n v="212"/>
  </r>
  <r>
    <x v="4"/>
    <x v="0"/>
    <d v="2021-02-09T00:00:00"/>
    <x v="1"/>
    <n v="60"/>
    <n v="110"/>
    <n v="110"/>
    <n v="4229"/>
    <n v="209"/>
  </r>
  <r>
    <x v="4"/>
    <x v="0"/>
    <d v="2021-02-11T00:00:00"/>
    <x v="1"/>
    <n v="40"/>
    <n v="110"/>
    <n v="110"/>
    <n v="4232"/>
    <n v="139"/>
  </r>
  <r>
    <x v="4"/>
    <x v="0"/>
    <d v="2021-02-11T00:00:00"/>
    <x v="1"/>
    <n v="61"/>
    <n v="110"/>
    <n v="110"/>
    <n v="4233"/>
    <n v="226"/>
  </r>
  <r>
    <x v="4"/>
    <x v="0"/>
    <d v="2021-02-12T00:00:00"/>
    <x v="0"/>
    <n v="36"/>
    <n v="105"/>
    <n v="108"/>
    <n v="4235"/>
    <n v="124"/>
  </r>
  <r>
    <x v="4"/>
    <x v="0"/>
    <d v="2021-02-12T00:00:00"/>
    <x v="0"/>
    <n v="44"/>
    <n v="105"/>
    <n v="108"/>
    <n v="4236"/>
    <n v="153"/>
  </r>
  <r>
    <x v="4"/>
    <x v="0"/>
    <d v="2021-02-12T00:00:00"/>
    <x v="2"/>
    <n v="30"/>
    <n v="135"/>
    <n v="117"/>
    <n v="4234"/>
    <n v="109"/>
  </r>
  <r>
    <x v="4"/>
    <x v="0"/>
    <d v="2021-02-12T00:00:00"/>
    <x v="0"/>
    <n v="44"/>
    <n v="105"/>
    <n v="108"/>
    <n v="4237"/>
    <n v="160"/>
  </r>
  <r>
    <x v="4"/>
    <x v="0"/>
    <d v="2021-02-15T00:00:00"/>
    <x v="1"/>
    <n v="60"/>
    <n v="110"/>
    <n v="110"/>
    <n v="4238"/>
    <n v="216"/>
  </r>
  <r>
    <x v="4"/>
    <x v="0"/>
    <d v="2021-02-15T00:00:00"/>
    <x v="1"/>
    <n v="41"/>
    <n v="110"/>
    <n v="110"/>
    <n v="4239"/>
    <n v="147"/>
  </r>
  <r>
    <x v="4"/>
    <x v="0"/>
    <d v="2021-02-15T00:00:00"/>
    <x v="1"/>
    <n v="59"/>
    <n v="110"/>
    <n v="110"/>
    <n v="4240"/>
    <n v="203"/>
  </r>
  <r>
    <x v="4"/>
    <x v="0"/>
    <d v="2021-02-15T00:00:00"/>
    <x v="0"/>
    <n v="42"/>
    <n v="105"/>
    <n v="108"/>
    <n v="4241"/>
    <n v="154"/>
  </r>
  <r>
    <x v="4"/>
    <x v="0"/>
    <d v="2021-02-15T00:00:00"/>
    <x v="1"/>
    <n v="53"/>
    <n v="110"/>
    <n v="110"/>
    <n v="4242"/>
    <n v="186"/>
  </r>
  <r>
    <x v="4"/>
    <x v="0"/>
    <d v="2021-02-19T00:00:00"/>
    <x v="0"/>
    <n v="44"/>
    <n v="105"/>
    <n v="108"/>
    <n v="4244"/>
    <n v="153"/>
  </r>
  <r>
    <x v="4"/>
    <x v="0"/>
    <d v="2021-02-19T00:00:00"/>
    <x v="0"/>
    <n v="33"/>
    <n v="105"/>
    <n v="108"/>
    <n v="4247"/>
    <n v="116"/>
  </r>
  <r>
    <x v="4"/>
    <x v="0"/>
    <d v="2021-02-19T00:00:00"/>
    <x v="0"/>
    <n v="48"/>
    <n v="105"/>
    <n v="108"/>
    <n v="4246"/>
    <n v="174"/>
  </r>
  <r>
    <x v="4"/>
    <x v="0"/>
    <d v="2021-02-19T00:00:00"/>
    <x v="2"/>
    <n v="27"/>
    <n v="135"/>
    <n v="117"/>
    <n v="4243"/>
    <n v="95"/>
  </r>
  <r>
    <x v="4"/>
    <x v="0"/>
    <d v="2021-02-19T00:00:00"/>
    <x v="1"/>
    <n v="63"/>
    <n v="110"/>
    <n v="110"/>
    <n v="4245"/>
    <n v="230"/>
  </r>
  <r>
    <x v="4"/>
    <x v="0"/>
    <d v="2021-02-22T00:00:00"/>
    <x v="1"/>
    <n v="37"/>
    <n v="110"/>
    <n v="110"/>
    <n v="4248"/>
    <n v="173"/>
  </r>
  <r>
    <x v="4"/>
    <x v="0"/>
    <d v="2021-02-25T00:00:00"/>
    <x v="0"/>
    <n v="41"/>
    <n v="105"/>
    <n v="108"/>
    <n v="4249"/>
    <n v="149"/>
  </r>
  <r>
    <x v="4"/>
    <x v="0"/>
    <d v="2021-03-04T00:00:00"/>
    <x v="0"/>
    <n v="49"/>
    <n v="105"/>
    <n v="108"/>
    <n v="4250"/>
    <n v="180"/>
  </r>
  <r>
    <x v="4"/>
    <x v="0"/>
    <d v="2021-03-04T00:00:00"/>
    <x v="2"/>
    <n v="34"/>
    <n v="135"/>
    <n v="117"/>
    <n v="4251"/>
    <n v="119"/>
  </r>
  <r>
    <x v="4"/>
    <x v="0"/>
    <d v="2021-03-05T00:00:00"/>
    <x v="0"/>
    <n v="33"/>
    <n v="105"/>
    <n v="108"/>
    <n v="4253"/>
    <n v="118"/>
  </r>
  <r>
    <x v="4"/>
    <x v="0"/>
    <d v="2021-03-05T00:00:00"/>
    <x v="1"/>
    <n v="37"/>
    <n v="110"/>
    <n v="110"/>
    <n v="4254"/>
    <n v="136"/>
  </r>
  <r>
    <x v="4"/>
    <x v="0"/>
    <d v="2021-03-05T00:00:00"/>
    <x v="0"/>
    <n v="50"/>
    <n v="105"/>
    <n v="108"/>
    <n v="4252"/>
    <n v="181"/>
  </r>
  <r>
    <x v="4"/>
    <x v="0"/>
    <d v="2021-03-09T00:00:00"/>
    <x v="2"/>
    <n v="52"/>
    <n v="135"/>
    <n v="117"/>
    <n v="4256"/>
    <n v="187"/>
  </r>
  <r>
    <x v="4"/>
    <x v="0"/>
    <d v="2021-03-09T00:00:00"/>
    <x v="1"/>
    <n v="45"/>
    <n v="110"/>
    <n v="110"/>
    <n v="4257"/>
    <n v="207"/>
  </r>
  <r>
    <x v="4"/>
    <x v="0"/>
    <d v="2021-03-09T00:00:00"/>
    <x v="1"/>
    <n v="51"/>
    <n v="110"/>
    <n v="110"/>
    <n v="4258"/>
    <n v="178"/>
  </r>
  <r>
    <x v="4"/>
    <x v="0"/>
    <d v="2021-03-09T00:00:00"/>
    <x v="2"/>
    <n v="44"/>
    <n v="135"/>
    <n v="117"/>
    <n v="4259"/>
    <n v="152"/>
  </r>
  <r>
    <x v="4"/>
    <x v="0"/>
    <d v="2021-03-09T00:00:00"/>
    <x v="2"/>
    <n v="29"/>
    <n v="135"/>
    <n v="117"/>
    <n v="4255"/>
    <n v="106"/>
  </r>
  <r>
    <x v="4"/>
    <x v="0"/>
    <d v="2021-03-12T00:00:00"/>
    <x v="0"/>
    <n v="46"/>
    <n v="105"/>
    <n v="108"/>
    <n v="4260"/>
    <n v="216"/>
  </r>
  <r>
    <x v="4"/>
    <x v="0"/>
    <d v="2021-03-12T00:00:00"/>
    <x v="0"/>
    <n v="45"/>
    <n v="105"/>
    <n v="108"/>
    <n v="4261"/>
    <n v="165"/>
  </r>
  <r>
    <x v="4"/>
    <x v="0"/>
    <d v="2021-03-17T00:00:00"/>
    <x v="1"/>
    <n v="37"/>
    <n v="110"/>
    <n v="110"/>
    <n v="4263"/>
    <n v="127"/>
  </r>
  <r>
    <x v="4"/>
    <x v="0"/>
    <d v="2021-03-17T00:00:00"/>
    <x v="0"/>
    <n v="51"/>
    <n v="105"/>
    <n v="108"/>
    <n v="4266"/>
    <n v="175"/>
  </r>
  <r>
    <x v="4"/>
    <x v="0"/>
    <d v="2021-03-17T00:00:00"/>
    <x v="0"/>
    <n v="42"/>
    <n v="105"/>
    <n v="108"/>
    <n v="4264"/>
    <n v="147"/>
  </r>
  <r>
    <x v="4"/>
    <x v="0"/>
    <d v="2021-03-17T00:00:00"/>
    <x v="1"/>
    <n v="42"/>
    <n v="110"/>
    <n v="110"/>
    <n v="4262"/>
    <n v="146"/>
  </r>
  <r>
    <x v="4"/>
    <x v="0"/>
    <d v="2021-03-17T00:00:00"/>
    <x v="1"/>
    <n v="52"/>
    <n v="110"/>
    <n v="110"/>
    <n v="4265"/>
    <n v="193"/>
  </r>
  <r>
    <x v="4"/>
    <x v="0"/>
    <d v="2021-03-18T00:00:00"/>
    <x v="1"/>
    <n v="48"/>
    <n v="110"/>
    <n v="110"/>
    <n v="4267"/>
    <n v="175"/>
  </r>
  <r>
    <x v="4"/>
    <x v="0"/>
    <d v="2021-03-18T00:00:00"/>
    <x v="1"/>
    <n v="53"/>
    <n v="110"/>
    <n v="110"/>
    <n v="4268"/>
    <n v="191"/>
  </r>
  <r>
    <x v="4"/>
    <x v="0"/>
    <d v="2021-03-19T00:00:00"/>
    <x v="1"/>
    <n v="55"/>
    <n v="110"/>
    <n v="110"/>
    <n v="4269"/>
    <n v="189"/>
  </r>
  <r>
    <x v="4"/>
    <x v="0"/>
    <d v="2021-03-24T00:00:00"/>
    <x v="1"/>
    <n v="61"/>
    <n v="110"/>
    <n v="110"/>
    <n v="4270"/>
    <n v="219"/>
  </r>
  <r>
    <x v="4"/>
    <x v="0"/>
    <d v="2021-03-25T00:00:00"/>
    <x v="0"/>
    <n v="35"/>
    <n v="105"/>
    <n v="108"/>
    <n v="4273"/>
    <n v="120"/>
  </r>
  <r>
    <x v="4"/>
    <x v="0"/>
    <d v="2021-03-25T00:00:00"/>
    <x v="0"/>
    <n v="53"/>
    <n v="105"/>
    <n v="108"/>
    <n v="4274"/>
    <n v="248"/>
  </r>
  <r>
    <x v="4"/>
    <x v="0"/>
    <d v="2021-03-25T00:00:00"/>
    <x v="1"/>
    <n v="62"/>
    <n v="110"/>
    <n v="110"/>
    <n v="4272"/>
    <n v="226"/>
  </r>
  <r>
    <x v="4"/>
    <x v="0"/>
    <d v="2021-03-25T00:00:00"/>
    <x v="0"/>
    <n v="55"/>
    <n v="105"/>
    <n v="108"/>
    <n v="4271"/>
    <n v="189"/>
  </r>
  <r>
    <x v="4"/>
    <x v="0"/>
    <d v="2021-03-25T00:00:00"/>
    <x v="1"/>
    <n v="58"/>
    <n v="110"/>
    <n v="110"/>
    <n v="4275"/>
    <n v="208"/>
  </r>
  <r>
    <x v="4"/>
    <x v="0"/>
    <d v="2021-03-26T00:00:00"/>
    <x v="1"/>
    <n v="57"/>
    <n v="110"/>
    <n v="110"/>
    <n v="4276"/>
    <n v="207"/>
  </r>
  <r>
    <x v="4"/>
    <x v="0"/>
    <d v="2021-03-26T00:00:00"/>
    <x v="0"/>
    <n v="47"/>
    <n v="105"/>
    <n v="108"/>
    <n v="4277"/>
    <n v="220"/>
  </r>
  <r>
    <x v="4"/>
    <x v="0"/>
    <d v="2021-03-26T00:00:00"/>
    <x v="0"/>
    <n v="56"/>
    <n v="105"/>
    <n v="108"/>
    <n v="4278"/>
    <n v="205"/>
  </r>
  <r>
    <x v="4"/>
    <x v="0"/>
    <d v="2021-03-29T00:00:00"/>
    <x v="0"/>
    <n v="35"/>
    <n v="105"/>
    <n v="108"/>
    <n v="4281"/>
    <n v="127"/>
  </r>
  <r>
    <x v="4"/>
    <x v="0"/>
    <d v="2021-03-29T00:00:00"/>
    <x v="2"/>
    <n v="29"/>
    <n v="135"/>
    <n v="117"/>
    <n v="4279"/>
    <n v="100"/>
  </r>
  <r>
    <x v="4"/>
    <x v="0"/>
    <d v="2021-03-29T00:00:00"/>
    <x v="0"/>
    <n v="58"/>
    <n v="105"/>
    <n v="108"/>
    <n v="4280"/>
    <n v="212"/>
  </r>
  <r>
    <x v="4"/>
    <x v="0"/>
    <d v="2021-03-30T00:00:00"/>
    <x v="0"/>
    <n v="52"/>
    <n v="105"/>
    <n v="108"/>
    <n v="4285"/>
    <n v="185"/>
  </r>
  <r>
    <x v="4"/>
    <x v="0"/>
    <d v="2021-03-30T00:00:00"/>
    <x v="1"/>
    <n v="40"/>
    <n v="110"/>
    <n v="110"/>
    <n v="4284"/>
    <n v="144"/>
  </r>
  <r>
    <x v="4"/>
    <x v="0"/>
    <d v="2021-03-30T00:00:00"/>
    <x v="1"/>
    <n v="50"/>
    <n v="110"/>
    <n v="110"/>
    <n v="4282"/>
    <n v="181"/>
  </r>
  <r>
    <x v="4"/>
    <x v="0"/>
    <d v="2021-03-30T00:00:00"/>
    <x v="2"/>
    <n v="29"/>
    <n v="135"/>
    <n v="117"/>
    <n v="4283"/>
    <n v="104"/>
  </r>
  <r>
    <x v="4"/>
    <x v="1"/>
    <d v="2021-04-01T00:00:00"/>
    <x v="0"/>
    <n v="45"/>
    <n v="105"/>
    <n v="108"/>
    <n v="4286"/>
    <n v="166"/>
  </r>
  <r>
    <x v="4"/>
    <x v="1"/>
    <d v="2021-04-01T00:00:00"/>
    <x v="2"/>
    <n v="37"/>
    <n v="135"/>
    <n v="117"/>
    <n v="4287"/>
    <n v="136"/>
  </r>
  <r>
    <x v="4"/>
    <x v="1"/>
    <d v="2021-04-01T00:00:00"/>
    <x v="0"/>
    <n v="42"/>
    <n v="105"/>
    <n v="108"/>
    <n v="4288"/>
    <n v="155"/>
  </r>
  <r>
    <x v="4"/>
    <x v="1"/>
    <d v="2021-04-01T00:00:00"/>
    <x v="0"/>
    <n v="45"/>
    <n v="105"/>
    <n v="108"/>
    <n v="4289"/>
    <n v="160"/>
  </r>
  <r>
    <x v="4"/>
    <x v="1"/>
    <d v="2021-04-01T00:00:00"/>
    <x v="1"/>
    <n v="34"/>
    <n v="110"/>
    <n v="110"/>
    <n v="4290"/>
    <n v="122"/>
  </r>
  <r>
    <x v="4"/>
    <x v="1"/>
    <d v="2021-04-02T00:00:00"/>
    <x v="2"/>
    <n v="28"/>
    <n v="135"/>
    <n v="117"/>
    <n v="4291"/>
    <n v="131"/>
  </r>
  <r>
    <x v="4"/>
    <x v="1"/>
    <d v="2021-04-05T00:00:00"/>
    <x v="1"/>
    <n v="57"/>
    <n v="110"/>
    <n v="110"/>
    <n v="4295"/>
    <n v="202"/>
  </r>
  <r>
    <x v="4"/>
    <x v="1"/>
    <d v="2021-04-05T00:00:00"/>
    <x v="0"/>
    <n v="51"/>
    <n v="105"/>
    <n v="108"/>
    <n v="4294"/>
    <n v="176"/>
  </r>
  <r>
    <x v="4"/>
    <x v="1"/>
    <d v="2021-04-05T00:00:00"/>
    <x v="1"/>
    <n v="36"/>
    <n v="110"/>
    <n v="110"/>
    <n v="4292"/>
    <n v="127"/>
  </r>
  <r>
    <x v="4"/>
    <x v="1"/>
    <d v="2021-04-05T00:00:00"/>
    <x v="0"/>
    <n v="32"/>
    <n v="105"/>
    <n v="108"/>
    <n v="4293"/>
    <n v="148"/>
  </r>
  <r>
    <x v="4"/>
    <x v="1"/>
    <d v="2021-04-06T00:00:00"/>
    <x v="0"/>
    <n v="32"/>
    <n v="105"/>
    <n v="108"/>
    <n v="4296"/>
    <n v="148"/>
  </r>
  <r>
    <x v="4"/>
    <x v="1"/>
    <d v="2021-04-06T00:00:00"/>
    <x v="1"/>
    <n v="52"/>
    <n v="110"/>
    <n v="110"/>
    <n v="4297"/>
    <n v="186"/>
  </r>
  <r>
    <x v="4"/>
    <x v="1"/>
    <d v="2021-04-06T00:00:00"/>
    <x v="1"/>
    <n v="32"/>
    <n v="110"/>
    <n v="110"/>
    <n v="4298"/>
    <n v="117"/>
  </r>
  <r>
    <x v="4"/>
    <x v="1"/>
    <d v="2021-04-08T00:00:00"/>
    <x v="0"/>
    <n v="32"/>
    <n v="105"/>
    <n v="108"/>
    <n v="4299"/>
    <n v="115"/>
  </r>
  <r>
    <x v="4"/>
    <x v="1"/>
    <d v="2021-04-08T00:00:00"/>
    <x v="2"/>
    <n v="34"/>
    <n v="135"/>
    <n v="117"/>
    <n v="4302"/>
    <n v="122"/>
  </r>
  <r>
    <x v="4"/>
    <x v="1"/>
    <d v="2021-04-08T00:00:00"/>
    <x v="2"/>
    <n v="22"/>
    <n v="135"/>
    <n v="117"/>
    <n v="4301"/>
    <n v="76"/>
  </r>
  <r>
    <x v="4"/>
    <x v="1"/>
    <d v="2021-04-08T00:00:00"/>
    <x v="2"/>
    <n v="47"/>
    <n v="135"/>
    <n v="117"/>
    <n v="4300"/>
    <n v="167"/>
  </r>
  <r>
    <x v="4"/>
    <x v="1"/>
    <d v="2021-04-09T00:00:00"/>
    <x v="0"/>
    <n v="50"/>
    <n v="105"/>
    <n v="108"/>
    <n v="4303"/>
    <n v="174"/>
  </r>
  <r>
    <x v="4"/>
    <x v="1"/>
    <d v="2021-04-09T00:00:00"/>
    <x v="1"/>
    <n v="39"/>
    <n v="110"/>
    <n v="110"/>
    <n v="4304"/>
    <n v="137"/>
  </r>
  <r>
    <x v="4"/>
    <x v="1"/>
    <d v="2021-04-12T00:00:00"/>
    <x v="0"/>
    <n v="52"/>
    <n v="105"/>
    <n v="108"/>
    <n v="4305"/>
    <n v="186"/>
  </r>
  <r>
    <x v="4"/>
    <x v="1"/>
    <d v="2021-04-13T00:00:00"/>
    <x v="1"/>
    <n v="55"/>
    <n v="110"/>
    <n v="110"/>
    <n v="4308"/>
    <n v="253"/>
  </r>
  <r>
    <x v="4"/>
    <x v="1"/>
    <d v="2021-04-13T00:00:00"/>
    <x v="2"/>
    <n v="35"/>
    <n v="135"/>
    <n v="117"/>
    <n v="4306"/>
    <n v="122"/>
  </r>
  <r>
    <x v="4"/>
    <x v="1"/>
    <d v="2021-04-13T00:00:00"/>
    <x v="1"/>
    <n v="39"/>
    <n v="110"/>
    <n v="110"/>
    <n v="4307"/>
    <n v="140"/>
  </r>
  <r>
    <x v="4"/>
    <x v="1"/>
    <d v="2021-04-14T00:00:00"/>
    <x v="2"/>
    <n v="42"/>
    <n v="135"/>
    <n v="117"/>
    <n v="4309"/>
    <n v="150"/>
  </r>
  <r>
    <x v="4"/>
    <x v="1"/>
    <d v="2021-04-15T00:00:00"/>
    <x v="0"/>
    <n v="52"/>
    <n v="105"/>
    <n v="108"/>
    <n v="4311"/>
    <n v="187"/>
  </r>
  <r>
    <x v="4"/>
    <x v="1"/>
    <d v="2021-04-15T00:00:00"/>
    <x v="2"/>
    <n v="41"/>
    <n v="135"/>
    <n v="117"/>
    <n v="4312"/>
    <n v="144"/>
  </r>
  <r>
    <x v="4"/>
    <x v="1"/>
    <d v="2021-04-15T00:00:00"/>
    <x v="2"/>
    <n v="35"/>
    <n v="135"/>
    <n v="117"/>
    <n v="4310"/>
    <n v="129"/>
  </r>
  <r>
    <x v="4"/>
    <x v="1"/>
    <d v="2021-04-16T00:00:00"/>
    <x v="1"/>
    <n v="40"/>
    <n v="110"/>
    <n v="110"/>
    <n v="4313"/>
    <n v="139"/>
  </r>
  <r>
    <x v="4"/>
    <x v="1"/>
    <d v="2021-04-16T00:00:00"/>
    <x v="1"/>
    <n v="40"/>
    <n v="110"/>
    <n v="110"/>
    <n v="4314"/>
    <n v="145"/>
  </r>
  <r>
    <x v="4"/>
    <x v="1"/>
    <d v="2021-04-19T00:00:00"/>
    <x v="0"/>
    <n v="45"/>
    <n v="105"/>
    <n v="108"/>
    <n v="4318"/>
    <n v="160"/>
  </r>
  <r>
    <x v="4"/>
    <x v="1"/>
    <d v="2021-04-19T00:00:00"/>
    <x v="2"/>
    <n v="33"/>
    <n v="135"/>
    <n v="117"/>
    <n v="4317"/>
    <n v="120"/>
  </r>
  <r>
    <x v="4"/>
    <x v="1"/>
    <d v="2021-04-19T00:00:00"/>
    <x v="2"/>
    <n v="31"/>
    <n v="135"/>
    <n v="117"/>
    <n v="4316"/>
    <n v="112"/>
  </r>
  <r>
    <x v="4"/>
    <x v="1"/>
    <d v="2021-04-19T00:00:00"/>
    <x v="2"/>
    <n v="37"/>
    <n v="135"/>
    <n v="117"/>
    <n v="4315"/>
    <n v="136"/>
  </r>
  <r>
    <x v="4"/>
    <x v="1"/>
    <d v="2021-04-19T00:00:00"/>
    <x v="0"/>
    <n v="38"/>
    <n v="105"/>
    <n v="108"/>
    <n v="4319"/>
    <n v="134"/>
  </r>
  <r>
    <x v="4"/>
    <x v="1"/>
    <d v="2021-04-20T00:00:00"/>
    <x v="1"/>
    <n v="48"/>
    <n v="110"/>
    <n v="110"/>
    <n v="4320"/>
    <n v="173"/>
  </r>
  <r>
    <x v="4"/>
    <x v="1"/>
    <d v="2021-04-20T00:00:00"/>
    <x v="1"/>
    <n v="38"/>
    <n v="110"/>
    <n v="110"/>
    <n v="4321"/>
    <n v="136"/>
  </r>
  <r>
    <x v="4"/>
    <x v="1"/>
    <d v="2021-04-20T00:00:00"/>
    <x v="0"/>
    <n v="38"/>
    <n v="105"/>
    <n v="108"/>
    <n v="4322"/>
    <n v="134"/>
  </r>
  <r>
    <x v="4"/>
    <x v="1"/>
    <d v="2021-04-21T00:00:00"/>
    <x v="0"/>
    <n v="40"/>
    <n v="105"/>
    <n v="108"/>
    <n v="4323"/>
    <n v="146"/>
  </r>
  <r>
    <x v="4"/>
    <x v="1"/>
    <d v="2021-04-21T00:00:00"/>
    <x v="2"/>
    <n v="27"/>
    <n v="135"/>
    <n v="117"/>
    <n v="4324"/>
    <n v="94"/>
  </r>
  <r>
    <x v="4"/>
    <x v="1"/>
    <d v="2021-04-22T00:00:00"/>
    <x v="1"/>
    <n v="47"/>
    <n v="110"/>
    <n v="110"/>
    <n v="4325"/>
    <n v="161"/>
  </r>
  <r>
    <x v="4"/>
    <x v="1"/>
    <d v="2021-04-22T00:00:00"/>
    <x v="1"/>
    <n v="46"/>
    <n v="110"/>
    <n v="110"/>
    <n v="4326"/>
    <n v="161"/>
  </r>
  <r>
    <x v="4"/>
    <x v="1"/>
    <d v="2021-04-26T00:00:00"/>
    <x v="1"/>
    <n v="33"/>
    <n v="110"/>
    <n v="110"/>
    <n v="4327"/>
    <n v="114"/>
  </r>
  <r>
    <x v="4"/>
    <x v="1"/>
    <d v="2021-04-27T00:00:00"/>
    <x v="2"/>
    <n v="42"/>
    <n v="135"/>
    <n v="117"/>
    <n v="4328"/>
    <n v="144"/>
  </r>
  <r>
    <x v="4"/>
    <x v="1"/>
    <d v="2021-04-27T00:00:00"/>
    <x v="0"/>
    <n v="29"/>
    <n v="105"/>
    <n v="108"/>
    <n v="4329"/>
    <n v="105"/>
  </r>
  <r>
    <x v="4"/>
    <x v="1"/>
    <d v="2021-04-27T00:00:00"/>
    <x v="0"/>
    <n v="52"/>
    <n v="105"/>
    <n v="108"/>
    <n v="4330"/>
    <n v="185"/>
  </r>
  <r>
    <x v="4"/>
    <x v="1"/>
    <d v="2021-04-28T00:00:00"/>
    <x v="1"/>
    <n v="45"/>
    <n v="110"/>
    <n v="110"/>
    <n v="4331"/>
    <n v="162"/>
  </r>
  <r>
    <x v="4"/>
    <x v="1"/>
    <d v="2021-04-28T00:00:00"/>
    <x v="1"/>
    <n v="47"/>
    <n v="110"/>
    <n v="110"/>
    <n v="4332"/>
    <n v="171"/>
  </r>
  <r>
    <x v="4"/>
    <x v="1"/>
    <d v="2021-04-28T00:00:00"/>
    <x v="0"/>
    <n v="31"/>
    <n v="105"/>
    <n v="108"/>
    <n v="4333"/>
    <n v="112"/>
  </r>
  <r>
    <x v="4"/>
    <x v="1"/>
    <d v="2021-05-03T00:00:00"/>
    <x v="1"/>
    <n v="47"/>
    <n v="110"/>
    <n v="110"/>
    <n v="4336"/>
    <n v="168"/>
  </r>
  <r>
    <x v="4"/>
    <x v="1"/>
    <d v="2021-05-03T00:00:00"/>
    <x v="2"/>
    <n v="23"/>
    <n v="135"/>
    <n v="117"/>
    <n v="4337"/>
    <n v="82"/>
  </r>
  <r>
    <x v="4"/>
    <x v="1"/>
    <d v="2021-05-03T00:00:00"/>
    <x v="0"/>
    <n v="27"/>
    <n v="105"/>
    <n v="108"/>
    <n v="4334"/>
    <n v="98"/>
  </r>
  <r>
    <x v="4"/>
    <x v="1"/>
    <d v="2021-05-03T00:00:00"/>
    <x v="1"/>
    <n v="48"/>
    <n v="110"/>
    <n v="110"/>
    <n v="4338"/>
    <n v="172"/>
  </r>
  <r>
    <x v="4"/>
    <x v="1"/>
    <d v="2021-05-03T00:00:00"/>
    <x v="0"/>
    <n v="43"/>
    <n v="105"/>
    <n v="108"/>
    <n v="4335"/>
    <n v="151"/>
  </r>
  <r>
    <x v="4"/>
    <x v="1"/>
    <d v="2021-05-06T00:00:00"/>
    <x v="0"/>
    <n v="27"/>
    <n v="105"/>
    <n v="108"/>
    <n v="4339"/>
    <n v="96"/>
  </r>
  <r>
    <x v="4"/>
    <x v="1"/>
    <d v="2021-05-06T00:00:00"/>
    <x v="0"/>
    <n v="44"/>
    <n v="105"/>
    <n v="108"/>
    <n v="4340"/>
    <n v="156"/>
  </r>
  <r>
    <x v="4"/>
    <x v="1"/>
    <d v="2021-05-06T00:00:00"/>
    <x v="1"/>
    <n v="42"/>
    <n v="110"/>
    <n v="110"/>
    <n v="4341"/>
    <n v="152"/>
  </r>
  <r>
    <x v="4"/>
    <x v="1"/>
    <d v="2021-05-06T00:00:00"/>
    <x v="1"/>
    <n v="48"/>
    <n v="110"/>
    <n v="110"/>
    <n v="4342"/>
    <n v="171"/>
  </r>
  <r>
    <x v="4"/>
    <x v="1"/>
    <d v="2021-05-06T00:00:00"/>
    <x v="0"/>
    <n v="48"/>
    <n v="105"/>
    <n v="108"/>
    <n v="4343"/>
    <n v="169"/>
  </r>
  <r>
    <x v="4"/>
    <x v="1"/>
    <d v="2021-05-07T00:00:00"/>
    <x v="2"/>
    <n v="45"/>
    <n v="135"/>
    <n v="117"/>
    <n v="4344"/>
    <n v="160"/>
  </r>
  <r>
    <x v="4"/>
    <x v="1"/>
    <d v="2021-05-10T00:00:00"/>
    <x v="1"/>
    <n v="52"/>
    <n v="110"/>
    <n v="110"/>
    <n v="4349"/>
    <n v="189"/>
  </r>
  <r>
    <x v="4"/>
    <x v="1"/>
    <d v="2021-05-10T00:00:00"/>
    <x v="1"/>
    <n v="34"/>
    <n v="110"/>
    <n v="110"/>
    <n v="4348"/>
    <n v="125"/>
  </r>
  <r>
    <x v="4"/>
    <x v="1"/>
    <d v="2021-05-10T00:00:00"/>
    <x v="0"/>
    <n v="31"/>
    <n v="105"/>
    <n v="108"/>
    <n v="4347"/>
    <n v="108"/>
  </r>
  <r>
    <x v="4"/>
    <x v="1"/>
    <d v="2021-05-10T00:00:00"/>
    <x v="0"/>
    <n v="31"/>
    <n v="105"/>
    <n v="108"/>
    <n v="4345"/>
    <n v="106"/>
  </r>
  <r>
    <x v="4"/>
    <x v="1"/>
    <d v="2021-05-10T00:00:00"/>
    <x v="1"/>
    <n v="38"/>
    <n v="110"/>
    <n v="110"/>
    <n v="4346"/>
    <n v="137"/>
  </r>
  <r>
    <x v="4"/>
    <x v="1"/>
    <d v="2021-05-11T00:00:00"/>
    <x v="2"/>
    <n v="22"/>
    <n v="135"/>
    <n v="117"/>
    <n v="4350"/>
    <n v="81"/>
  </r>
  <r>
    <x v="4"/>
    <x v="1"/>
    <d v="2021-05-11T00:00:00"/>
    <x v="2"/>
    <n v="44"/>
    <n v="135"/>
    <n v="117"/>
    <n v="4351"/>
    <n v="159"/>
  </r>
  <r>
    <x v="4"/>
    <x v="1"/>
    <d v="2021-05-11T00:00:00"/>
    <x v="1"/>
    <n v="39"/>
    <n v="110"/>
    <n v="110"/>
    <n v="4352"/>
    <n v="136"/>
  </r>
  <r>
    <x v="4"/>
    <x v="1"/>
    <d v="2021-05-12T00:00:00"/>
    <x v="0"/>
    <n v="51"/>
    <n v="105"/>
    <n v="108"/>
    <n v="4354"/>
    <n v="178"/>
  </r>
  <r>
    <x v="4"/>
    <x v="1"/>
    <d v="2021-05-12T00:00:00"/>
    <x v="0"/>
    <n v="43"/>
    <n v="105"/>
    <n v="108"/>
    <n v="4355"/>
    <n v="155"/>
  </r>
  <r>
    <x v="4"/>
    <x v="1"/>
    <d v="2021-05-12T00:00:00"/>
    <x v="1"/>
    <n v="57"/>
    <n v="110"/>
    <n v="110"/>
    <n v="4356"/>
    <n v="197"/>
  </r>
  <r>
    <x v="4"/>
    <x v="1"/>
    <d v="2021-05-12T00:00:00"/>
    <x v="1"/>
    <n v="40"/>
    <n v="110"/>
    <n v="110"/>
    <n v="4353"/>
    <n v="147"/>
  </r>
  <r>
    <x v="4"/>
    <x v="1"/>
    <d v="2021-05-18T00:00:00"/>
    <x v="1"/>
    <n v="46"/>
    <n v="110"/>
    <n v="110"/>
    <n v="4357"/>
    <n v="159"/>
  </r>
  <r>
    <x v="4"/>
    <x v="1"/>
    <d v="2021-05-19T00:00:00"/>
    <x v="0"/>
    <n v="41"/>
    <n v="105"/>
    <n v="108"/>
    <n v="4358"/>
    <n v="150"/>
  </r>
  <r>
    <x v="4"/>
    <x v="1"/>
    <d v="2021-05-19T00:00:00"/>
    <x v="0"/>
    <n v="43"/>
    <n v="105"/>
    <n v="108"/>
    <n v="4359"/>
    <n v="156"/>
  </r>
  <r>
    <x v="4"/>
    <x v="1"/>
    <d v="2021-05-19T00:00:00"/>
    <x v="1"/>
    <n v="57"/>
    <n v="110"/>
    <n v="110"/>
    <n v="4360"/>
    <n v="216"/>
  </r>
  <r>
    <x v="4"/>
    <x v="1"/>
    <d v="2021-05-19T00:00:00"/>
    <x v="1"/>
    <n v="33"/>
    <n v="110"/>
    <n v="110"/>
    <n v="4361"/>
    <n v="117"/>
  </r>
  <r>
    <x v="4"/>
    <x v="1"/>
    <d v="2021-05-21T00:00:00"/>
    <x v="0"/>
    <n v="43"/>
    <n v="105"/>
    <n v="108"/>
    <n v="4363"/>
    <n v="151"/>
  </r>
  <r>
    <x v="4"/>
    <x v="1"/>
    <d v="2021-05-21T00:00:00"/>
    <x v="2"/>
    <n v="36"/>
    <n v="135"/>
    <n v="117"/>
    <n v="4364"/>
    <n v="132"/>
  </r>
  <r>
    <x v="4"/>
    <x v="1"/>
    <d v="2021-05-21T00:00:00"/>
    <x v="1"/>
    <n v="45"/>
    <n v="110"/>
    <n v="110"/>
    <n v="4362"/>
    <n v="159"/>
  </r>
  <r>
    <x v="4"/>
    <x v="1"/>
    <d v="2021-05-25T00:00:00"/>
    <x v="1"/>
    <n v="33"/>
    <n v="110"/>
    <n v="110"/>
    <n v="4366"/>
    <n v="120"/>
  </r>
  <r>
    <x v="4"/>
    <x v="1"/>
    <d v="2021-05-25T00:00:00"/>
    <x v="1"/>
    <n v="35"/>
    <n v="110"/>
    <n v="110"/>
    <n v="4367"/>
    <n v="164"/>
  </r>
  <r>
    <x v="4"/>
    <x v="1"/>
    <d v="2021-05-25T00:00:00"/>
    <x v="0"/>
    <n v="53"/>
    <n v="105"/>
    <n v="108"/>
    <n v="4368"/>
    <n v="186"/>
  </r>
  <r>
    <x v="4"/>
    <x v="1"/>
    <d v="2021-05-25T00:00:00"/>
    <x v="1"/>
    <n v="53"/>
    <n v="110"/>
    <n v="110"/>
    <n v="4369"/>
    <n v="194"/>
  </r>
  <r>
    <x v="4"/>
    <x v="1"/>
    <d v="2021-05-25T00:00:00"/>
    <x v="2"/>
    <n v="32"/>
    <n v="135"/>
    <n v="117"/>
    <n v="4365"/>
    <n v="111"/>
  </r>
  <r>
    <x v="4"/>
    <x v="1"/>
    <d v="2021-05-26T00:00:00"/>
    <x v="2"/>
    <n v="30"/>
    <n v="135"/>
    <n v="117"/>
    <n v="4370"/>
    <n v="106"/>
  </r>
  <r>
    <x v="4"/>
    <x v="1"/>
    <d v="2021-05-26T00:00:00"/>
    <x v="0"/>
    <n v="35"/>
    <n v="105"/>
    <n v="108"/>
    <n v="4371"/>
    <n v="124"/>
  </r>
  <r>
    <x v="4"/>
    <x v="1"/>
    <d v="2021-05-27T00:00:00"/>
    <x v="0"/>
    <n v="30"/>
    <n v="105"/>
    <n v="108"/>
    <n v="4373"/>
    <n v="106"/>
  </r>
  <r>
    <x v="4"/>
    <x v="1"/>
    <d v="2021-05-27T00:00:00"/>
    <x v="1"/>
    <n v="50"/>
    <n v="110"/>
    <n v="110"/>
    <n v="4374"/>
    <n v="234"/>
  </r>
  <r>
    <x v="4"/>
    <x v="1"/>
    <d v="2021-05-27T00:00:00"/>
    <x v="0"/>
    <n v="51"/>
    <n v="105"/>
    <n v="108"/>
    <n v="4372"/>
    <n v="186"/>
  </r>
  <r>
    <x v="4"/>
    <x v="1"/>
    <d v="2021-05-27T00:00:00"/>
    <x v="1"/>
    <n v="38"/>
    <n v="110"/>
    <n v="110"/>
    <n v="4375"/>
    <n v="132"/>
  </r>
  <r>
    <x v="4"/>
    <x v="1"/>
    <d v="2021-05-28T00:00:00"/>
    <x v="1"/>
    <n v="53"/>
    <n v="110"/>
    <n v="110"/>
    <n v="4376"/>
    <n v="189"/>
  </r>
  <r>
    <x v="4"/>
    <x v="1"/>
    <d v="2021-05-28T00:00:00"/>
    <x v="1"/>
    <n v="54"/>
    <n v="110"/>
    <n v="110"/>
    <n v="4377"/>
    <n v="192"/>
  </r>
  <r>
    <x v="4"/>
    <x v="1"/>
    <d v="2021-05-28T00:00:00"/>
    <x v="2"/>
    <n v="30"/>
    <n v="135"/>
    <n v="117"/>
    <n v="4378"/>
    <n v="106"/>
  </r>
  <r>
    <x v="4"/>
    <x v="1"/>
    <d v="2021-05-28T00:00:00"/>
    <x v="1"/>
    <n v="51"/>
    <n v="110"/>
    <n v="110"/>
    <n v="4379"/>
    <n v="185"/>
  </r>
  <r>
    <x v="4"/>
    <x v="1"/>
    <d v="2021-05-28T00:00:00"/>
    <x v="2"/>
    <n v="23"/>
    <n v="135"/>
    <n v="117"/>
    <n v="4380"/>
    <n v="79"/>
  </r>
  <r>
    <x v="4"/>
    <x v="1"/>
    <d v="2021-06-01T00:00:00"/>
    <x v="2"/>
    <n v="29"/>
    <n v="135"/>
    <n v="117"/>
    <n v="4381"/>
    <n v="105"/>
  </r>
  <r>
    <x v="4"/>
    <x v="1"/>
    <d v="2021-06-02T00:00:00"/>
    <x v="0"/>
    <n v="38"/>
    <n v="105"/>
    <n v="108"/>
    <n v="4382"/>
    <n v="175"/>
  </r>
  <r>
    <x v="4"/>
    <x v="1"/>
    <d v="2021-06-04T00:00:00"/>
    <x v="2"/>
    <n v="26"/>
    <n v="135"/>
    <n v="117"/>
    <n v="4383"/>
    <n v="120"/>
  </r>
  <r>
    <x v="4"/>
    <x v="1"/>
    <d v="2021-06-04T00:00:00"/>
    <x v="1"/>
    <n v="56"/>
    <n v="110"/>
    <n v="110"/>
    <n v="4387"/>
    <n v="195"/>
  </r>
  <r>
    <x v="4"/>
    <x v="1"/>
    <d v="2021-06-04T00:00:00"/>
    <x v="0"/>
    <n v="29"/>
    <n v="105"/>
    <n v="108"/>
    <n v="4386"/>
    <n v="102"/>
  </r>
  <r>
    <x v="4"/>
    <x v="1"/>
    <d v="2021-06-04T00:00:00"/>
    <x v="2"/>
    <n v="45"/>
    <n v="135"/>
    <n v="117"/>
    <n v="4384"/>
    <n v="211"/>
  </r>
  <r>
    <x v="4"/>
    <x v="1"/>
    <d v="2021-06-04T00:00:00"/>
    <x v="1"/>
    <n v="49"/>
    <n v="110"/>
    <n v="110"/>
    <n v="4385"/>
    <n v="172"/>
  </r>
  <r>
    <x v="4"/>
    <x v="1"/>
    <d v="2021-06-07T00:00:00"/>
    <x v="0"/>
    <n v="27"/>
    <n v="105"/>
    <n v="108"/>
    <n v="4388"/>
    <n v="96"/>
  </r>
  <r>
    <x v="4"/>
    <x v="1"/>
    <d v="2021-06-07T00:00:00"/>
    <x v="2"/>
    <n v="43"/>
    <n v="135"/>
    <n v="117"/>
    <n v="4389"/>
    <n v="157"/>
  </r>
  <r>
    <x v="4"/>
    <x v="1"/>
    <d v="2021-06-07T00:00:00"/>
    <x v="2"/>
    <n v="41"/>
    <n v="135"/>
    <n v="117"/>
    <n v="4390"/>
    <n v="147"/>
  </r>
  <r>
    <x v="4"/>
    <x v="1"/>
    <d v="2021-06-08T00:00:00"/>
    <x v="1"/>
    <n v="52"/>
    <n v="110"/>
    <n v="110"/>
    <n v="4391"/>
    <n v="178"/>
  </r>
  <r>
    <x v="4"/>
    <x v="1"/>
    <d v="2021-06-08T00:00:00"/>
    <x v="1"/>
    <n v="55"/>
    <n v="110"/>
    <n v="110"/>
    <n v="4392"/>
    <n v="191"/>
  </r>
  <r>
    <x v="4"/>
    <x v="1"/>
    <d v="2021-06-10T00:00:00"/>
    <x v="2"/>
    <n v="38"/>
    <n v="135"/>
    <n v="117"/>
    <n v="4395"/>
    <n v="136"/>
  </r>
  <r>
    <x v="4"/>
    <x v="1"/>
    <d v="2021-06-10T00:00:00"/>
    <x v="1"/>
    <n v="43"/>
    <n v="110"/>
    <n v="110"/>
    <n v="4396"/>
    <n v="199"/>
  </r>
  <r>
    <x v="4"/>
    <x v="1"/>
    <d v="2021-06-10T00:00:00"/>
    <x v="0"/>
    <n v="41"/>
    <n v="105"/>
    <n v="108"/>
    <n v="4393"/>
    <n v="146"/>
  </r>
  <r>
    <x v="4"/>
    <x v="1"/>
    <d v="2021-06-10T00:00:00"/>
    <x v="0"/>
    <n v="40"/>
    <n v="105"/>
    <n v="108"/>
    <n v="4394"/>
    <n v="154"/>
  </r>
  <r>
    <x v="4"/>
    <x v="1"/>
    <d v="2021-06-16T00:00:00"/>
    <x v="1"/>
    <n v="46"/>
    <n v="110"/>
    <n v="110"/>
    <n v="4397"/>
    <n v="167"/>
  </r>
  <r>
    <x v="4"/>
    <x v="1"/>
    <d v="2021-06-16T00:00:00"/>
    <x v="1"/>
    <n v="52"/>
    <n v="110"/>
    <n v="110"/>
    <n v="4398"/>
    <n v="190"/>
  </r>
  <r>
    <x v="4"/>
    <x v="1"/>
    <d v="2021-06-16T00:00:00"/>
    <x v="1"/>
    <n v="57"/>
    <n v="110"/>
    <n v="110"/>
    <n v="4399"/>
    <n v="200"/>
  </r>
  <r>
    <x v="4"/>
    <x v="1"/>
    <d v="2021-06-16T00:00:00"/>
    <x v="2"/>
    <n v="44"/>
    <n v="135"/>
    <n v="117"/>
    <n v="4400"/>
    <n v="152"/>
  </r>
  <r>
    <x v="4"/>
    <x v="1"/>
    <d v="2021-06-16T00:00:00"/>
    <x v="0"/>
    <n v="32"/>
    <n v="105"/>
    <n v="108"/>
    <n v="4401"/>
    <n v="114"/>
  </r>
  <r>
    <x v="4"/>
    <x v="1"/>
    <d v="2021-06-17T00:00:00"/>
    <x v="2"/>
    <n v="27"/>
    <n v="135"/>
    <n v="117"/>
    <n v="4402"/>
    <n v="97"/>
  </r>
  <r>
    <x v="4"/>
    <x v="1"/>
    <d v="2021-06-17T00:00:00"/>
    <x v="0"/>
    <n v="43"/>
    <n v="105"/>
    <n v="108"/>
    <n v="4403"/>
    <n v="158"/>
  </r>
  <r>
    <x v="4"/>
    <x v="1"/>
    <d v="2021-06-18T00:00:00"/>
    <x v="2"/>
    <n v="33"/>
    <n v="135"/>
    <n v="117"/>
    <n v="4404"/>
    <n v="122"/>
  </r>
  <r>
    <x v="4"/>
    <x v="1"/>
    <d v="2021-06-21T00:00:00"/>
    <x v="1"/>
    <n v="37"/>
    <n v="110"/>
    <n v="110"/>
    <n v="4405"/>
    <n v="130"/>
  </r>
  <r>
    <x v="4"/>
    <x v="1"/>
    <d v="2021-06-21T00:00:00"/>
    <x v="2"/>
    <n v="39"/>
    <n v="135"/>
    <n v="117"/>
    <n v="4406"/>
    <n v="142"/>
  </r>
  <r>
    <x v="4"/>
    <x v="1"/>
    <d v="2021-06-21T00:00:00"/>
    <x v="2"/>
    <n v="39"/>
    <n v="135"/>
    <n v="117"/>
    <n v="4407"/>
    <n v="142"/>
  </r>
  <r>
    <x v="4"/>
    <x v="1"/>
    <d v="2021-06-22T00:00:00"/>
    <x v="0"/>
    <n v="44"/>
    <n v="105"/>
    <n v="108"/>
    <n v="4408"/>
    <n v="161"/>
  </r>
  <r>
    <x v="4"/>
    <x v="1"/>
    <d v="2021-06-22T00:00:00"/>
    <x v="1"/>
    <n v="57"/>
    <n v="110"/>
    <n v="110"/>
    <n v="4409"/>
    <n v="209"/>
  </r>
  <r>
    <x v="4"/>
    <x v="1"/>
    <d v="2021-06-24T00:00:00"/>
    <x v="2"/>
    <n v="46"/>
    <n v="135"/>
    <n v="117"/>
    <n v="4413"/>
    <n v="161"/>
  </r>
  <r>
    <x v="4"/>
    <x v="1"/>
    <d v="2021-06-24T00:00:00"/>
    <x v="0"/>
    <n v="35"/>
    <n v="105"/>
    <n v="108"/>
    <n v="4414"/>
    <n v="127"/>
  </r>
  <r>
    <x v="4"/>
    <x v="1"/>
    <d v="2021-06-24T00:00:00"/>
    <x v="0"/>
    <n v="45"/>
    <n v="105"/>
    <n v="108"/>
    <n v="4411"/>
    <n v="163"/>
  </r>
  <r>
    <x v="4"/>
    <x v="1"/>
    <d v="2021-06-24T00:00:00"/>
    <x v="1"/>
    <n v="47"/>
    <n v="110"/>
    <n v="110"/>
    <n v="4410"/>
    <n v="163"/>
  </r>
  <r>
    <x v="4"/>
    <x v="1"/>
    <d v="2021-06-24T00:00:00"/>
    <x v="2"/>
    <n v="42"/>
    <n v="135"/>
    <n v="117"/>
    <n v="4412"/>
    <n v="194"/>
  </r>
  <r>
    <x v="4"/>
    <x v="1"/>
    <d v="2021-06-25T00:00:00"/>
    <x v="0"/>
    <n v="44"/>
    <n v="105"/>
    <n v="108"/>
    <n v="4415"/>
    <n v="161"/>
  </r>
  <r>
    <x v="4"/>
    <x v="1"/>
    <d v="2021-06-25T00:00:00"/>
    <x v="1"/>
    <n v="32"/>
    <n v="110"/>
    <n v="110"/>
    <n v="4416"/>
    <n v="112"/>
  </r>
  <r>
    <x v="4"/>
    <x v="1"/>
    <d v="2021-06-28T00:00:00"/>
    <x v="2"/>
    <n v="34"/>
    <n v="135"/>
    <n v="117"/>
    <n v="4419"/>
    <n v="120"/>
  </r>
  <r>
    <x v="4"/>
    <x v="1"/>
    <d v="2021-06-28T00:00:00"/>
    <x v="1"/>
    <n v="41"/>
    <n v="110"/>
    <n v="110"/>
    <n v="4417"/>
    <n v="192"/>
  </r>
  <r>
    <x v="4"/>
    <x v="1"/>
    <d v="2021-06-28T00:00:00"/>
    <x v="0"/>
    <n v="45"/>
    <n v="105"/>
    <n v="108"/>
    <n v="4418"/>
    <n v="161"/>
  </r>
  <r>
    <x v="4"/>
    <x v="1"/>
    <d v="2021-06-29T00:00:00"/>
    <x v="0"/>
    <n v="32"/>
    <n v="105"/>
    <n v="108"/>
    <n v="4422"/>
    <n v="113"/>
  </r>
  <r>
    <x v="4"/>
    <x v="1"/>
    <d v="2021-06-29T00:00:00"/>
    <x v="2"/>
    <n v="46"/>
    <n v="135"/>
    <n v="117"/>
    <n v="4420"/>
    <n v="169"/>
  </r>
  <r>
    <x v="4"/>
    <x v="1"/>
    <d v="2021-06-29T00:00:00"/>
    <x v="2"/>
    <n v="31"/>
    <n v="135"/>
    <n v="117"/>
    <n v="4421"/>
    <n v="112"/>
  </r>
  <r>
    <x v="4"/>
    <x v="2"/>
    <d v="2021-07-05T00:00:00"/>
    <x v="2"/>
    <n v="39"/>
    <n v="135"/>
    <n v="117"/>
    <n v="4423"/>
    <n v="136"/>
  </r>
  <r>
    <x v="4"/>
    <x v="2"/>
    <d v="2021-07-05T00:00:00"/>
    <x v="1"/>
    <n v="39"/>
    <n v="110"/>
    <n v="110"/>
    <n v="4424"/>
    <n v="144"/>
  </r>
  <r>
    <x v="4"/>
    <x v="2"/>
    <d v="2021-07-05T00:00:00"/>
    <x v="0"/>
    <n v="48"/>
    <n v="105"/>
    <n v="108"/>
    <n v="4425"/>
    <n v="168"/>
  </r>
  <r>
    <x v="4"/>
    <x v="2"/>
    <d v="2021-07-06T00:00:00"/>
    <x v="2"/>
    <n v="34"/>
    <n v="135"/>
    <n v="117"/>
    <n v="4426"/>
    <n v="117"/>
  </r>
  <r>
    <x v="4"/>
    <x v="2"/>
    <d v="2021-07-06T00:00:00"/>
    <x v="1"/>
    <n v="28"/>
    <n v="110"/>
    <n v="110"/>
    <n v="4427"/>
    <n v="99"/>
  </r>
  <r>
    <x v="4"/>
    <x v="2"/>
    <d v="2021-07-07T00:00:00"/>
    <x v="2"/>
    <n v="25"/>
    <n v="135"/>
    <n v="117"/>
    <n v="4428"/>
    <n v="92"/>
  </r>
  <r>
    <x v="4"/>
    <x v="2"/>
    <d v="2021-07-12T00:00:00"/>
    <x v="2"/>
    <n v="22"/>
    <n v="135"/>
    <n v="117"/>
    <n v="4429"/>
    <n v="75"/>
  </r>
  <r>
    <x v="4"/>
    <x v="2"/>
    <d v="2021-07-13T00:00:00"/>
    <x v="1"/>
    <n v="40"/>
    <n v="110"/>
    <n v="110"/>
    <n v="4430"/>
    <n v="143"/>
  </r>
  <r>
    <x v="4"/>
    <x v="2"/>
    <d v="2021-07-14T00:00:00"/>
    <x v="1"/>
    <n v="37"/>
    <n v="110"/>
    <n v="110"/>
    <n v="4431"/>
    <n v="135"/>
  </r>
  <r>
    <x v="4"/>
    <x v="2"/>
    <d v="2021-07-14T00:00:00"/>
    <x v="1"/>
    <n v="42"/>
    <n v="110"/>
    <n v="110"/>
    <n v="4432"/>
    <n v="196"/>
  </r>
  <r>
    <x v="4"/>
    <x v="2"/>
    <d v="2021-07-15T00:00:00"/>
    <x v="0"/>
    <n v="39"/>
    <n v="105"/>
    <n v="108"/>
    <n v="4433"/>
    <n v="135"/>
  </r>
  <r>
    <x v="4"/>
    <x v="2"/>
    <d v="2021-07-15T00:00:00"/>
    <x v="0"/>
    <n v="30"/>
    <n v="105"/>
    <n v="108"/>
    <n v="4434"/>
    <n v="109"/>
  </r>
  <r>
    <x v="4"/>
    <x v="2"/>
    <d v="2021-07-15T00:00:00"/>
    <x v="0"/>
    <n v="48"/>
    <n v="105"/>
    <n v="108"/>
    <n v="4435"/>
    <n v="182"/>
  </r>
  <r>
    <x v="4"/>
    <x v="2"/>
    <d v="2021-07-15T00:00:00"/>
    <x v="0"/>
    <n v="46"/>
    <n v="105"/>
    <n v="108"/>
    <n v="4436"/>
    <n v="159"/>
  </r>
  <r>
    <x v="4"/>
    <x v="2"/>
    <d v="2021-07-21T00:00:00"/>
    <x v="0"/>
    <n v="25"/>
    <n v="105"/>
    <n v="108"/>
    <n v="4437"/>
    <n v="92"/>
  </r>
  <r>
    <x v="4"/>
    <x v="2"/>
    <d v="2021-07-21T00:00:00"/>
    <x v="0"/>
    <n v="23"/>
    <n v="105"/>
    <n v="108"/>
    <n v="4438"/>
    <n v="80"/>
  </r>
  <r>
    <x v="4"/>
    <x v="2"/>
    <d v="2021-07-23T00:00:00"/>
    <x v="0"/>
    <n v="27"/>
    <n v="105"/>
    <n v="108"/>
    <n v="4440"/>
    <n v="99"/>
  </r>
  <r>
    <x v="4"/>
    <x v="2"/>
    <d v="2021-07-23T00:00:00"/>
    <x v="1"/>
    <n v="44"/>
    <n v="110"/>
    <n v="110"/>
    <n v="4439"/>
    <n v="151"/>
  </r>
  <r>
    <x v="4"/>
    <x v="2"/>
    <d v="2021-07-26T00:00:00"/>
    <x v="0"/>
    <n v="26"/>
    <n v="105"/>
    <n v="108"/>
    <n v="4441"/>
    <n v="95"/>
  </r>
  <r>
    <x v="4"/>
    <x v="2"/>
    <d v="2021-07-26T00:00:00"/>
    <x v="1"/>
    <n v="50"/>
    <n v="110"/>
    <n v="110"/>
    <n v="4442"/>
    <n v="172"/>
  </r>
  <r>
    <x v="4"/>
    <x v="2"/>
    <d v="2021-07-27T00:00:00"/>
    <x v="2"/>
    <n v="19"/>
    <n v="135"/>
    <n v="117"/>
    <n v="4443"/>
    <n v="67"/>
  </r>
  <r>
    <x v="4"/>
    <x v="2"/>
    <d v="2021-07-27T00:00:00"/>
    <x v="2"/>
    <n v="39"/>
    <n v="135"/>
    <n v="117"/>
    <n v="4444"/>
    <n v="135"/>
  </r>
  <r>
    <x v="4"/>
    <x v="2"/>
    <d v="2021-07-28T00:00:00"/>
    <x v="1"/>
    <n v="41"/>
    <n v="110"/>
    <n v="110"/>
    <n v="4448"/>
    <n v="146"/>
  </r>
  <r>
    <x v="4"/>
    <x v="2"/>
    <d v="2021-07-28T00:00:00"/>
    <x v="0"/>
    <n v="37"/>
    <n v="105"/>
    <n v="108"/>
    <n v="4447"/>
    <n v="133"/>
  </r>
  <r>
    <x v="4"/>
    <x v="2"/>
    <d v="2021-07-28T00:00:00"/>
    <x v="0"/>
    <n v="32"/>
    <n v="105"/>
    <n v="108"/>
    <n v="4446"/>
    <n v="116"/>
  </r>
  <r>
    <x v="4"/>
    <x v="2"/>
    <d v="2021-07-28T00:00:00"/>
    <x v="0"/>
    <n v="28"/>
    <n v="105"/>
    <n v="108"/>
    <n v="4445"/>
    <n v="98"/>
  </r>
  <r>
    <x v="4"/>
    <x v="2"/>
    <d v="2021-07-29T00:00:00"/>
    <x v="2"/>
    <n v="22"/>
    <n v="135"/>
    <n v="117"/>
    <n v="4449"/>
    <n v="80"/>
  </r>
  <r>
    <x v="4"/>
    <x v="2"/>
    <d v="2021-08-04T00:00:00"/>
    <x v="2"/>
    <n v="36"/>
    <n v="135"/>
    <n v="117"/>
    <n v="4450"/>
    <n v="133"/>
  </r>
  <r>
    <x v="4"/>
    <x v="2"/>
    <d v="2021-08-04T00:00:00"/>
    <x v="0"/>
    <n v="31"/>
    <n v="105"/>
    <n v="108"/>
    <n v="4451"/>
    <n v="108"/>
  </r>
  <r>
    <x v="4"/>
    <x v="2"/>
    <d v="2021-08-04T00:00:00"/>
    <x v="2"/>
    <n v="22"/>
    <n v="135"/>
    <n v="117"/>
    <n v="4452"/>
    <n v="81"/>
  </r>
  <r>
    <x v="4"/>
    <x v="2"/>
    <d v="2021-08-06T00:00:00"/>
    <x v="2"/>
    <n v="34"/>
    <n v="135"/>
    <n v="117"/>
    <n v="4453"/>
    <n v="157"/>
  </r>
  <r>
    <x v="4"/>
    <x v="2"/>
    <d v="2021-08-06T00:00:00"/>
    <x v="0"/>
    <n v="46"/>
    <n v="105"/>
    <n v="108"/>
    <n v="4454"/>
    <n v="158"/>
  </r>
  <r>
    <x v="4"/>
    <x v="2"/>
    <d v="2021-08-06T00:00:00"/>
    <x v="0"/>
    <n v="35"/>
    <n v="105"/>
    <n v="108"/>
    <n v="4455"/>
    <n v="123"/>
  </r>
  <r>
    <x v="4"/>
    <x v="2"/>
    <d v="2021-08-09T00:00:00"/>
    <x v="2"/>
    <n v="33"/>
    <n v="135"/>
    <n v="117"/>
    <n v="4456"/>
    <n v="116"/>
  </r>
  <r>
    <x v="4"/>
    <x v="2"/>
    <d v="2021-08-09T00:00:00"/>
    <x v="2"/>
    <n v="39"/>
    <n v="135"/>
    <n v="117"/>
    <n v="4457"/>
    <n v="183"/>
  </r>
  <r>
    <x v="4"/>
    <x v="2"/>
    <d v="2021-08-09T00:00:00"/>
    <x v="1"/>
    <n v="50"/>
    <n v="110"/>
    <n v="110"/>
    <n v="4458"/>
    <n v="233"/>
  </r>
  <r>
    <x v="4"/>
    <x v="2"/>
    <d v="2021-08-10T00:00:00"/>
    <x v="1"/>
    <n v="48"/>
    <n v="110"/>
    <n v="110"/>
    <n v="4459"/>
    <n v="166"/>
  </r>
  <r>
    <x v="4"/>
    <x v="2"/>
    <d v="2021-08-10T00:00:00"/>
    <x v="0"/>
    <n v="37"/>
    <n v="105"/>
    <n v="108"/>
    <n v="4460"/>
    <n v="133"/>
  </r>
  <r>
    <x v="4"/>
    <x v="2"/>
    <d v="2021-08-10T00:00:00"/>
    <x v="2"/>
    <n v="19"/>
    <n v="135"/>
    <n v="117"/>
    <n v="4461"/>
    <n v="89"/>
  </r>
  <r>
    <x v="4"/>
    <x v="2"/>
    <d v="2021-08-10T00:00:00"/>
    <x v="2"/>
    <n v="23"/>
    <n v="135"/>
    <n v="117"/>
    <n v="4462"/>
    <n v="79"/>
  </r>
  <r>
    <x v="4"/>
    <x v="2"/>
    <d v="2021-08-10T00:00:00"/>
    <x v="1"/>
    <n v="31"/>
    <n v="110"/>
    <n v="110"/>
    <n v="4463"/>
    <n v="109"/>
  </r>
  <r>
    <x v="4"/>
    <x v="2"/>
    <d v="2021-08-11T00:00:00"/>
    <x v="0"/>
    <n v="28"/>
    <n v="105"/>
    <n v="108"/>
    <n v="4464"/>
    <n v="101"/>
  </r>
  <r>
    <x v="4"/>
    <x v="2"/>
    <d v="2021-08-13T00:00:00"/>
    <x v="1"/>
    <n v="38"/>
    <n v="110"/>
    <n v="110"/>
    <n v="4469"/>
    <n v="139"/>
  </r>
  <r>
    <x v="4"/>
    <x v="2"/>
    <d v="2021-08-13T00:00:00"/>
    <x v="1"/>
    <n v="44"/>
    <n v="110"/>
    <n v="110"/>
    <n v="4468"/>
    <n v="161"/>
  </r>
  <r>
    <x v="4"/>
    <x v="2"/>
    <d v="2021-08-13T00:00:00"/>
    <x v="1"/>
    <n v="27"/>
    <n v="110"/>
    <n v="110"/>
    <n v="4465"/>
    <n v="97"/>
  </r>
  <r>
    <x v="4"/>
    <x v="2"/>
    <d v="2021-08-13T00:00:00"/>
    <x v="2"/>
    <n v="20"/>
    <n v="135"/>
    <n v="117"/>
    <n v="4466"/>
    <n v="69"/>
  </r>
  <r>
    <x v="4"/>
    <x v="2"/>
    <d v="2021-08-13T00:00:00"/>
    <x v="2"/>
    <n v="17"/>
    <n v="135"/>
    <n v="117"/>
    <n v="4467"/>
    <n v="62"/>
  </r>
  <r>
    <x v="4"/>
    <x v="2"/>
    <d v="2021-08-16T00:00:00"/>
    <x v="1"/>
    <n v="38"/>
    <n v="110"/>
    <n v="110"/>
    <n v="4470"/>
    <n v="141"/>
  </r>
  <r>
    <x v="4"/>
    <x v="2"/>
    <d v="2021-08-16T00:00:00"/>
    <x v="0"/>
    <n v="46"/>
    <n v="105"/>
    <n v="108"/>
    <n v="4471"/>
    <n v="166"/>
  </r>
  <r>
    <x v="4"/>
    <x v="2"/>
    <d v="2021-08-16T00:00:00"/>
    <x v="0"/>
    <n v="32"/>
    <n v="105"/>
    <n v="108"/>
    <n v="4472"/>
    <n v="150"/>
  </r>
  <r>
    <x v="4"/>
    <x v="2"/>
    <d v="2021-08-17T00:00:00"/>
    <x v="0"/>
    <n v="31"/>
    <n v="105"/>
    <n v="108"/>
    <n v="4474"/>
    <n v="146"/>
  </r>
  <r>
    <x v="4"/>
    <x v="2"/>
    <d v="2021-08-17T00:00:00"/>
    <x v="0"/>
    <n v="43"/>
    <n v="105"/>
    <n v="108"/>
    <n v="4477"/>
    <n v="153"/>
  </r>
  <r>
    <x v="4"/>
    <x v="2"/>
    <d v="2021-08-17T00:00:00"/>
    <x v="1"/>
    <n v="32"/>
    <n v="110"/>
    <n v="110"/>
    <n v="4475"/>
    <n v="116"/>
  </r>
  <r>
    <x v="4"/>
    <x v="2"/>
    <d v="2021-08-17T00:00:00"/>
    <x v="1"/>
    <n v="28"/>
    <n v="110"/>
    <n v="110"/>
    <n v="4473"/>
    <n v="98"/>
  </r>
  <r>
    <x v="4"/>
    <x v="2"/>
    <d v="2021-08-17T00:00:00"/>
    <x v="1"/>
    <n v="52"/>
    <n v="110"/>
    <n v="110"/>
    <n v="4476"/>
    <n v="192"/>
  </r>
  <r>
    <x v="4"/>
    <x v="2"/>
    <d v="2021-08-18T00:00:00"/>
    <x v="2"/>
    <n v="42"/>
    <n v="135"/>
    <n v="117"/>
    <n v="4478"/>
    <n v="144"/>
  </r>
  <r>
    <x v="4"/>
    <x v="2"/>
    <d v="2021-08-18T00:00:00"/>
    <x v="0"/>
    <n v="33"/>
    <n v="105"/>
    <n v="108"/>
    <n v="4479"/>
    <n v="120"/>
  </r>
  <r>
    <x v="4"/>
    <x v="2"/>
    <d v="2021-08-18T00:00:00"/>
    <x v="1"/>
    <n v="50"/>
    <n v="110"/>
    <n v="110"/>
    <n v="4480"/>
    <n v="231"/>
  </r>
  <r>
    <x v="4"/>
    <x v="2"/>
    <d v="2021-08-18T00:00:00"/>
    <x v="2"/>
    <n v="37"/>
    <n v="135"/>
    <n v="117"/>
    <n v="4481"/>
    <n v="130"/>
  </r>
  <r>
    <x v="4"/>
    <x v="2"/>
    <d v="2021-08-18T00:00:00"/>
    <x v="1"/>
    <n v="42"/>
    <n v="110"/>
    <n v="110"/>
    <n v="4482"/>
    <n v="194"/>
  </r>
  <r>
    <x v="4"/>
    <x v="2"/>
    <d v="2021-08-19T00:00:00"/>
    <x v="0"/>
    <n v="24"/>
    <n v="105"/>
    <n v="108"/>
    <n v="4483"/>
    <n v="86"/>
  </r>
  <r>
    <x v="4"/>
    <x v="2"/>
    <d v="2021-08-19T00:00:00"/>
    <x v="0"/>
    <n v="26"/>
    <n v="105"/>
    <n v="108"/>
    <n v="4484"/>
    <n v="93"/>
  </r>
  <r>
    <x v="4"/>
    <x v="2"/>
    <d v="2021-08-23T00:00:00"/>
    <x v="0"/>
    <n v="35"/>
    <n v="105"/>
    <n v="108"/>
    <n v="4485"/>
    <n v="121"/>
  </r>
  <r>
    <x v="4"/>
    <x v="2"/>
    <d v="2021-08-23T00:00:00"/>
    <x v="2"/>
    <n v="33"/>
    <n v="135"/>
    <n v="117"/>
    <n v="4486"/>
    <n v="122"/>
  </r>
  <r>
    <x v="4"/>
    <x v="2"/>
    <d v="2021-08-23T00:00:00"/>
    <x v="2"/>
    <n v="39"/>
    <n v="135"/>
    <n v="117"/>
    <n v="4487"/>
    <n v="139"/>
  </r>
  <r>
    <x v="4"/>
    <x v="2"/>
    <d v="2021-08-24T00:00:00"/>
    <x v="2"/>
    <n v="32"/>
    <n v="135"/>
    <n v="117"/>
    <n v="4492"/>
    <n v="116"/>
  </r>
  <r>
    <x v="4"/>
    <x v="2"/>
    <d v="2021-08-24T00:00:00"/>
    <x v="0"/>
    <n v="33"/>
    <n v="105"/>
    <n v="108"/>
    <n v="4488"/>
    <n v="119"/>
  </r>
  <r>
    <x v="4"/>
    <x v="2"/>
    <d v="2021-08-24T00:00:00"/>
    <x v="2"/>
    <n v="32"/>
    <n v="135"/>
    <n v="117"/>
    <n v="4489"/>
    <n v="150"/>
  </r>
  <r>
    <x v="4"/>
    <x v="2"/>
    <d v="2021-08-24T00:00:00"/>
    <x v="1"/>
    <n v="40"/>
    <n v="110"/>
    <n v="110"/>
    <n v="4490"/>
    <n v="139"/>
  </r>
  <r>
    <x v="4"/>
    <x v="2"/>
    <d v="2021-08-24T00:00:00"/>
    <x v="0"/>
    <n v="45"/>
    <n v="105"/>
    <n v="108"/>
    <n v="4491"/>
    <n v="160"/>
  </r>
  <r>
    <x v="4"/>
    <x v="2"/>
    <d v="2021-08-25T00:00:00"/>
    <x v="1"/>
    <n v="31"/>
    <n v="110"/>
    <n v="110"/>
    <n v="4493"/>
    <n v="114"/>
  </r>
  <r>
    <x v="4"/>
    <x v="2"/>
    <d v="2021-08-25T00:00:00"/>
    <x v="1"/>
    <n v="31"/>
    <n v="110"/>
    <n v="110"/>
    <n v="4494"/>
    <n v="146"/>
  </r>
  <r>
    <x v="4"/>
    <x v="2"/>
    <d v="2021-08-30T00:00:00"/>
    <x v="0"/>
    <n v="35"/>
    <n v="105"/>
    <n v="108"/>
    <n v="4495"/>
    <n v="127"/>
  </r>
  <r>
    <x v="4"/>
    <x v="2"/>
    <d v="2021-08-30T00:00:00"/>
    <x v="2"/>
    <n v="22"/>
    <n v="135"/>
    <n v="117"/>
    <n v="4496"/>
    <n v="78"/>
  </r>
  <r>
    <x v="4"/>
    <x v="2"/>
    <d v="2021-08-30T00:00:00"/>
    <x v="0"/>
    <n v="25"/>
    <n v="105"/>
    <n v="108"/>
    <n v="4497"/>
    <n v="116"/>
  </r>
  <r>
    <x v="4"/>
    <x v="2"/>
    <d v="2021-08-31T00:00:00"/>
    <x v="1"/>
    <n v="49"/>
    <n v="110"/>
    <n v="110"/>
    <n v="4502"/>
    <n v="175"/>
  </r>
  <r>
    <x v="4"/>
    <x v="2"/>
    <d v="2021-08-31T00:00:00"/>
    <x v="1"/>
    <n v="52"/>
    <n v="110"/>
    <n v="110"/>
    <n v="4498"/>
    <n v="241"/>
  </r>
  <r>
    <x v="4"/>
    <x v="2"/>
    <d v="2021-08-31T00:00:00"/>
    <x v="0"/>
    <n v="34"/>
    <n v="105"/>
    <n v="108"/>
    <n v="4499"/>
    <n v="124"/>
  </r>
  <r>
    <x v="4"/>
    <x v="2"/>
    <d v="2021-08-31T00:00:00"/>
    <x v="1"/>
    <n v="32"/>
    <n v="110"/>
    <n v="110"/>
    <n v="4500"/>
    <n v="116"/>
  </r>
  <r>
    <x v="4"/>
    <x v="2"/>
    <d v="2021-08-31T00:00:00"/>
    <x v="1"/>
    <n v="50"/>
    <n v="110"/>
    <n v="110"/>
    <n v="4501"/>
    <n v="172"/>
  </r>
  <r>
    <x v="4"/>
    <x v="2"/>
    <d v="2021-09-01T00:00:00"/>
    <x v="1"/>
    <n v="52"/>
    <n v="110"/>
    <n v="110"/>
    <n v="4503"/>
    <n v="180"/>
  </r>
  <r>
    <x v="4"/>
    <x v="2"/>
    <d v="2021-09-02T00:00:00"/>
    <x v="2"/>
    <n v="35"/>
    <n v="135"/>
    <n v="117"/>
    <n v="4505"/>
    <n v="164"/>
  </r>
  <r>
    <x v="4"/>
    <x v="2"/>
    <d v="2021-09-02T00:00:00"/>
    <x v="0"/>
    <n v="29"/>
    <n v="105"/>
    <n v="108"/>
    <n v="4506"/>
    <n v="105"/>
  </r>
  <r>
    <x v="4"/>
    <x v="2"/>
    <d v="2021-09-02T00:00:00"/>
    <x v="0"/>
    <n v="24"/>
    <n v="105"/>
    <n v="108"/>
    <n v="4504"/>
    <n v="86"/>
  </r>
  <r>
    <x v="4"/>
    <x v="2"/>
    <d v="2021-09-03T00:00:00"/>
    <x v="0"/>
    <n v="30"/>
    <n v="105"/>
    <n v="108"/>
    <n v="4507"/>
    <n v="110"/>
  </r>
  <r>
    <x v="4"/>
    <x v="2"/>
    <d v="2021-09-03T00:00:00"/>
    <x v="0"/>
    <n v="24"/>
    <n v="105"/>
    <n v="108"/>
    <n v="4508"/>
    <n v="87"/>
  </r>
  <r>
    <x v="4"/>
    <x v="2"/>
    <d v="2021-09-03T00:00:00"/>
    <x v="0"/>
    <n v="43"/>
    <n v="105"/>
    <n v="108"/>
    <n v="4509"/>
    <n v="151"/>
  </r>
  <r>
    <x v="4"/>
    <x v="2"/>
    <d v="2021-09-03T00:00:00"/>
    <x v="1"/>
    <n v="36"/>
    <n v="110"/>
    <n v="110"/>
    <n v="4510"/>
    <n v="137"/>
  </r>
  <r>
    <x v="4"/>
    <x v="2"/>
    <d v="2021-09-06T00:00:00"/>
    <x v="0"/>
    <n v="42"/>
    <n v="105"/>
    <n v="108"/>
    <n v="4511"/>
    <n v="152"/>
  </r>
  <r>
    <x v="4"/>
    <x v="2"/>
    <d v="2021-09-06T00:00:00"/>
    <x v="0"/>
    <n v="33"/>
    <n v="105"/>
    <n v="108"/>
    <n v="4514"/>
    <n v="115"/>
  </r>
  <r>
    <x v="4"/>
    <x v="2"/>
    <d v="2021-09-06T00:00:00"/>
    <x v="2"/>
    <n v="33"/>
    <n v="135"/>
    <n v="117"/>
    <n v="4512"/>
    <n v="116"/>
  </r>
  <r>
    <x v="4"/>
    <x v="2"/>
    <d v="2021-09-06T00:00:00"/>
    <x v="2"/>
    <n v="38"/>
    <n v="135"/>
    <n v="117"/>
    <n v="4513"/>
    <n v="175"/>
  </r>
  <r>
    <x v="4"/>
    <x v="2"/>
    <d v="2021-09-08T00:00:00"/>
    <x v="0"/>
    <n v="46"/>
    <n v="105"/>
    <n v="108"/>
    <n v="4515"/>
    <n v="169"/>
  </r>
  <r>
    <x v="4"/>
    <x v="2"/>
    <d v="2021-09-08T00:00:00"/>
    <x v="1"/>
    <n v="30"/>
    <n v="110"/>
    <n v="110"/>
    <n v="4516"/>
    <n v="104"/>
  </r>
  <r>
    <x v="4"/>
    <x v="2"/>
    <d v="2021-09-09T00:00:00"/>
    <x v="2"/>
    <n v="18"/>
    <n v="135"/>
    <n v="117"/>
    <n v="4519"/>
    <n v="62"/>
  </r>
  <r>
    <x v="4"/>
    <x v="2"/>
    <d v="2021-09-09T00:00:00"/>
    <x v="1"/>
    <n v="48"/>
    <n v="110"/>
    <n v="110"/>
    <n v="4517"/>
    <n v="166"/>
  </r>
  <r>
    <x v="4"/>
    <x v="2"/>
    <d v="2021-09-09T00:00:00"/>
    <x v="2"/>
    <n v="26"/>
    <n v="135"/>
    <n v="117"/>
    <n v="4518"/>
    <n v="94"/>
  </r>
  <r>
    <x v="4"/>
    <x v="2"/>
    <d v="2021-09-14T00:00:00"/>
    <x v="0"/>
    <n v="46"/>
    <n v="105"/>
    <n v="108"/>
    <n v="4524"/>
    <n v="169"/>
  </r>
  <r>
    <x v="4"/>
    <x v="2"/>
    <d v="2021-09-14T00:00:00"/>
    <x v="1"/>
    <n v="35"/>
    <n v="110"/>
    <n v="110"/>
    <n v="4523"/>
    <n v="129"/>
  </r>
  <r>
    <x v="4"/>
    <x v="2"/>
    <d v="2021-09-14T00:00:00"/>
    <x v="0"/>
    <n v="36"/>
    <n v="105"/>
    <n v="108"/>
    <n v="4520"/>
    <n v="133"/>
  </r>
  <r>
    <x v="4"/>
    <x v="2"/>
    <d v="2021-09-14T00:00:00"/>
    <x v="2"/>
    <n v="26"/>
    <n v="135"/>
    <n v="117"/>
    <n v="4522"/>
    <n v="93"/>
  </r>
  <r>
    <x v="4"/>
    <x v="2"/>
    <d v="2021-09-14T00:00:00"/>
    <x v="1"/>
    <n v="42"/>
    <n v="110"/>
    <n v="110"/>
    <n v="4521"/>
    <n v="146"/>
  </r>
  <r>
    <x v="4"/>
    <x v="2"/>
    <d v="2021-09-15T00:00:00"/>
    <x v="1"/>
    <n v="39"/>
    <n v="110"/>
    <n v="110"/>
    <n v="4525"/>
    <n v="135"/>
  </r>
  <r>
    <x v="4"/>
    <x v="2"/>
    <d v="2021-09-15T00:00:00"/>
    <x v="2"/>
    <n v="39"/>
    <n v="135"/>
    <n v="117"/>
    <n v="4526"/>
    <n v="140"/>
  </r>
  <r>
    <x v="4"/>
    <x v="2"/>
    <d v="2021-09-15T00:00:00"/>
    <x v="1"/>
    <n v="30"/>
    <n v="110"/>
    <n v="110"/>
    <n v="4527"/>
    <n v="104"/>
  </r>
  <r>
    <x v="4"/>
    <x v="2"/>
    <d v="2021-09-15T00:00:00"/>
    <x v="0"/>
    <n v="45"/>
    <n v="105"/>
    <n v="108"/>
    <n v="4528"/>
    <n v="160"/>
  </r>
  <r>
    <x v="4"/>
    <x v="2"/>
    <d v="2021-09-15T00:00:00"/>
    <x v="2"/>
    <n v="18"/>
    <n v="135"/>
    <n v="117"/>
    <n v="4529"/>
    <n v="66"/>
  </r>
  <r>
    <x v="4"/>
    <x v="2"/>
    <d v="2021-09-16T00:00:00"/>
    <x v="2"/>
    <n v="21"/>
    <n v="135"/>
    <n v="117"/>
    <n v="4530"/>
    <n v="98"/>
  </r>
  <r>
    <x v="4"/>
    <x v="2"/>
    <d v="2021-09-16T00:00:00"/>
    <x v="2"/>
    <n v="21"/>
    <n v="135"/>
    <n v="117"/>
    <n v="4531"/>
    <n v="77"/>
  </r>
  <r>
    <x v="4"/>
    <x v="2"/>
    <d v="2021-09-16T00:00:00"/>
    <x v="2"/>
    <n v="26"/>
    <n v="135"/>
    <n v="117"/>
    <n v="4532"/>
    <n v="90"/>
  </r>
  <r>
    <x v="4"/>
    <x v="2"/>
    <d v="2021-09-16T00:00:00"/>
    <x v="1"/>
    <n v="33"/>
    <n v="110"/>
    <n v="110"/>
    <n v="4533"/>
    <n v="116"/>
  </r>
  <r>
    <x v="4"/>
    <x v="2"/>
    <d v="2021-09-16T00:00:00"/>
    <x v="1"/>
    <n v="43"/>
    <n v="110"/>
    <n v="110"/>
    <n v="4534"/>
    <n v="155"/>
  </r>
  <r>
    <x v="4"/>
    <x v="2"/>
    <d v="2021-09-21T00:00:00"/>
    <x v="1"/>
    <n v="42"/>
    <n v="110"/>
    <n v="110"/>
    <n v="4538"/>
    <n v="154"/>
  </r>
  <r>
    <x v="4"/>
    <x v="2"/>
    <d v="2021-09-21T00:00:00"/>
    <x v="0"/>
    <n v="46"/>
    <n v="105"/>
    <n v="108"/>
    <n v="4539"/>
    <n v="168"/>
  </r>
  <r>
    <x v="4"/>
    <x v="2"/>
    <d v="2021-09-21T00:00:00"/>
    <x v="1"/>
    <n v="36"/>
    <n v="110"/>
    <n v="110"/>
    <n v="4535"/>
    <n v="169"/>
  </r>
  <r>
    <x v="4"/>
    <x v="2"/>
    <d v="2021-09-21T00:00:00"/>
    <x v="1"/>
    <n v="30"/>
    <n v="110"/>
    <n v="110"/>
    <n v="4536"/>
    <n v="105"/>
  </r>
  <r>
    <x v="4"/>
    <x v="2"/>
    <d v="2021-09-21T00:00:00"/>
    <x v="2"/>
    <n v="19"/>
    <n v="135"/>
    <n v="117"/>
    <n v="4537"/>
    <n v="67"/>
  </r>
  <r>
    <x v="4"/>
    <x v="2"/>
    <d v="2021-09-28T00:00:00"/>
    <x v="2"/>
    <n v="28"/>
    <n v="135"/>
    <n v="117"/>
    <n v="4541"/>
    <n v="96"/>
  </r>
  <r>
    <x v="4"/>
    <x v="2"/>
    <d v="2021-09-28T00:00:00"/>
    <x v="2"/>
    <n v="28"/>
    <n v="135"/>
    <n v="117"/>
    <n v="4540"/>
    <n v="101"/>
  </r>
  <r>
    <x v="4"/>
    <x v="2"/>
    <d v="2021-09-30T00:00:00"/>
    <x v="1"/>
    <n v="29"/>
    <n v="110"/>
    <n v="110"/>
    <n v="4546"/>
    <n v="102"/>
  </r>
  <r>
    <x v="4"/>
    <x v="2"/>
    <d v="2021-09-30T00:00:00"/>
    <x v="2"/>
    <n v="21"/>
    <n v="135"/>
    <n v="117"/>
    <n v="4542"/>
    <n v="72"/>
  </r>
  <r>
    <x v="4"/>
    <x v="2"/>
    <d v="2021-09-30T00:00:00"/>
    <x v="0"/>
    <n v="44"/>
    <n v="105"/>
    <n v="108"/>
    <n v="4543"/>
    <n v="158"/>
  </r>
  <r>
    <x v="4"/>
    <x v="2"/>
    <d v="2021-09-30T00:00:00"/>
    <x v="2"/>
    <n v="20"/>
    <n v="135"/>
    <n v="117"/>
    <n v="4544"/>
    <n v="71"/>
  </r>
  <r>
    <x v="4"/>
    <x v="2"/>
    <d v="2021-09-30T00:00:00"/>
    <x v="0"/>
    <n v="33"/>
    <n v="105"/>
    <n v="108"/>
    <n v="4545"/>
    <n v="122"/>
  </r>
  <r>
    <x v="4"/>
    <x v="3"/>
    <d v="2021-10-04T00:00:00"/>
    <x v="0"/>
    <n v="38"/>
    <n v="105"/>
    <n v="108"/>
    <n v="4549"/>
    <n v="138"/>
  </r>
  <r>
    <x v="4"/>
    <x v="3"/>
    <d v="2021-10-04T00:00:00"/>
    <x v="0"/>
    <n v="23"/>
    <n v="105"/>
    <n v="108"/>
    <n v="4547"/>
    <n v="81"/>
  </r>
  <r>
    <x v="4"/>
    <x v="3"/>
    <d v="2021-10-04T00:00:00"/>
    <x v="0"/>
    <n v="23"/>
    <n v="105"/>
    <n v="108"/>
    <n v="4548"/>
    <n v="83"/>
  </r>
  <r>
    <x v="4"/>
    <x v="3"/>
    <d v="2021-10-07T00:00:00"/>
    <x v="0"/>
    <n v="33"/>
    <n v="105"/>
    <n v="108"/>
    <n v="4550"/>
    <n v="119"/>
  </r>
  <r>
    <x v="4"/>
    <x v="3"/>
    <d v="2021-10-07T00:00:00"/>
    <x v="0"/>
    <n v="26"/>
    <n v="105"/>
    <n v="108"/>
    <n v="4551"/>
    <n v="94"/>
  </r>
  <r>
    <x v="4"/>
    <x v="3"/>
    <d v="2021-10-08T00:00:00"/>
    <x v="0"/>
    <n v="25"/>
    <n v="105"/>
    <n v="108"/>
    <n v="4552"/>
    <n v="92"/>
  </r>
  <r>
    <x v="4"/>
    <x v="3"/>
    <d v="2021-10-08T00:00:00"/>
    <x v="1"/>
    <n v="48"/>
    <n v="110"/>
    <n v="110"/>
    <n v="4553"/>
    <n v="166"/>
  </r>
  <r>
    <x v="4"/>
    <x v="3"/>
    <d v="2021-10-08T00:00:00"/>
    <x v="2"/>
    <n v="28"/>
    <n v="135"/>
    <n v="117"/>
    <n v="4554"/>
    <n v="101"/>
  </r>
  <r>
    <x v="4"/>
    <x v="3"/>
    <d v="2021-10-11T00:00:00"/>
    <x v="2"/>
    <n v="34"/>
    <n v="135"/>
    <n v="117"/>
    <n v="4558"/>
    <n v="124"/>
  </r>
  <r>
    <x v="4"/>
    <x v="3"/>
    <d v="2021-10-11T00:00:00"/>
    <x v="0"/>
    <n v="43"/>
    <n v="105"/>
    <n v="108"/>
    <n v="4557"/>
    <n v="160"/>
  </r>
  <r>
    <x v="4"/>
    <x v="3"/>
    <d v="2021-10-11T00:00:00"/>
    <x v="1"/>
    <n v="37"/>
    <n v="110"/>
    <n v="110"/>
    <n v="4556"/>
    <n v="130"/>
  </r>
  <r>
    <x v="4"/>
    <x v="3"/>
    <d v="2021-10-11T00:00:00"/>
    <x v="0"/>
    <n v="32"/>
    <n v="105"/>
    <n v="108"/>
    <n v="4555"/>
    <n v="111"/>
  </r>
  <r>
    <x v="4"/>
    <x v="3"/>
    <d v="2021-10-12T00:00:00"/>
    <x v="2"/>
    <n v="29"/>
    <n v="135"/>
    <n v="117"/>
    <n v="4560"/>
    <n v="112"/>
  </r>
  <r>
    <x v="4"/>
    <x v="3"/>
    <d v="2021-10-12T00:00:00"/>
    <x v="1"/>
    <n v="32"/>
    <n v="110"/>
    <n v="110"/>
    <n v="4561"/>
    <n v="114"/>
  </r>
  <r>
    <x v="4"/>
    <x v="3"/>
    <d v="2021-10-12T00:00:00"/>
    <x v="2"/>
    <n v="14"/>
    <n v="135"/>
    <n v="117"/>
    <n v="4559"/>
    <n v="49"/>
  </r>
  <r>
    <x v="4"/>
    <x v="3"/>
    <d v="2021-10-13T00:00:00"/>
    <x v="2"/>
    <n v="37"/>
    <n v="135"/>
    <n v="117"/>
    <n v="4562"/>
    <n v="173"/>
  </r>
  <r>
    <x v="4"/>
    <x v="3"/>
    <d v="2021-10-13T00:00:00"/>
    <x v="2"/>
    <n v="37"/>
    <n v="135"/>
    <n v="117"/>
    <n v="4563"/>
    <n v="133"/>
  </r>
  <r>
    <x v="4"/>
    <x v="3"/>
    <d v="2021-10-13T00:00:00"/>
    <x v="1"/>
    <n v="43"/>
    <n v="110"/>
    <n v="110"/>
    <n v="4564"/>
    <n v="157"/>
  </r>
  <r>
    <x v="4"/>
    <x v="3"/>
    <d v="2021-10-14T00:00:00"/>
    <x v="1"/>
    <n v="40"/>
    <n v="110"/>
    <n v="110"/>
    <n v="4565"/>
    <n v="142"/>
  </r>
  <r>
    <x v="4"/>
    <x v="3"/>
    <d v="2021-10-14T00:00:00"/>
    <x v="0"/>
    <n v="20"/>
    <n v="105"/>
    <n v="108"/>
    <n v="4568"/>
    <n v="74"/>
  </r>
  <r>
    <x v="4"/>
    <x v="3"/>
    <d v="2021-10-14T00:00:00"/>
    <x v="2"/>
    <n v="12"/>
    <n v="135"/>
    <n v="117"/>
    <n v="4566"/>
    <n v="41"/>
  </r>
  <r>
    <x v="4"/>
    <x v="3"/>
    <d v="2021-10-14T00:00:00"/>
    <x v="0"/>
    <n v="35"/>
    <n v="105"/>
    <n v="108"/>
    <n v="4567"/>
    <n v="121"/>
  </r>
  <r>
    <x v="4"/>
    <x v="3"/>
    <d v="2021-10-15T00:00:00"/>
    <x v="2"/>
    <n v="18"/>
    <n v="135"/>
    <n v="117"/>
    <n v="4569"/>
    <n v="84"/>
  </r>
  <r>
    <x v="4"/>
    <x v="3"/>
    <d v="2021-10-20T00:00:00"/>
    <x v="1"/>
    <n v="48"/>
    <n v="110"/>
    <n v="110"/>
    <n v="4570"/>
    <n v="166"/>
  </r>
  <r>
    <x v="4"/>
    <x v="3"/>
    <d v="2021-10-20T00:00:00"/>
    <x v="2"/>
    <n v="32"/>
    <n v="135"/>
    <n v="117"/>
    <n v="4571"/>
    <n v="148"/>
  </r>
  <r>
    <x v="4"/>
    <x v="3"/>
    <d v="2021-10-20T00:00:00"/>
    <x v="1"/>
    <n v="41"/>
    <n v="110"/>
    <n v="110"/>
    <n v="4572"/>
    <n v="141"/>
  </r>
  <r>
    <x v="4"/>
    <x v="3"/>
    <d v="2021-10-21T00:00:00"/>
    <x v="2"/>
    <n v="14"/>
    <n v="135"/>
    <n v="117"/>
    <n v="4576"/>
    <n v="51"/>
  </r>
  <r>
    <x v="4"/>
    <x v="3"/>
    <d v="2021-10-21T00:00:00"/>
    <x v="0"/>
    <n v="24"/>
    <n v="105"/>
    <n v="108"/>
    <n v="4575"/>
    <n v="88"/>
  </r>
  <r>
    <x v="4"/>
    <x v="3"/>
    <d v="2021-10-21T00:00:00"/>
    <x v="0"/>
    <n v="39"/>
    <n v="105"/>
    <n v="108"/>
    <n v="4574"/>
    <n v="140"/>
  </r>
  <r>
    <x v="4"/>
    <x v="3"/>
    <d v="2021-10-21T00:00:00"/>
    <x v="1"/>
    <n v="38"/>
    <n v="110"/>
    <n v="110"/>
    <n v="4573"/>
    <n v="135"/>
  </r>
  <r>
    <x v="4"/>
    <x v="3"/>
    <d v="2021-10-22T00:00:00"/>
    <x v="0"/>
    <n v="20"/>
    <n v="105"/>
    <n v="108"/>
    <n v="4578"/>
    <n v="70"/>
  </r>
  <r>
    <x v="4"/>
    <x v="3"/>
    <d v="2021-10-22T00:00:00"/>
    <x v="1"/>
    <n v="25"/>
    <n v="110"/>
    <n v="110"/>
    <n v="4579"/>
    <n v="94"/>
  </r>
  <r>
    <x v="4"/>
    <x v="3"/>
    <d v="2021-10-22T00:00:00"/>
    <x v="0"/>
    <n v="43"/>
    <n v="105"/>
    <n v="108"/>
    <n v="4577"/>
    <n v="158"/>
  </r>
  <r>
    <x v="4"/>
    <x v="3"/>
    <d v="2021-10-25T00:00:00"/>
    <x v="2"/>
    <n v="31"/>
    <n v="135"/>
    <n v="117"/>
    <n v="4580"/>
    <n v="111"/>
  </r>
  <r>
    <x v="4"/>
    <x v="3"/>
    <d v="2021-10-25T00:00:00"/>
    <x v="2"/>
    <n v="17"/>
    <n v="135"/>
    <n v="117"/>
    <n v="4581"/>
    <n v="60"/>
  </r>
  <r>
    <x v="4"/>
    <x v="3"/>
    <d v="2021-10-26T00:00:00"/>
    <x v="1"/>
    <n v="46"/>
    <n v="110"/>
    <n v="110"/>
    <n v="4582"/>
    <n v="163"/>
  </r>
  <r>
    <x v="4"/>
    <x v="3"/>
    <d v="2021-10-28T00:00:00"/>
    <x v="0"/>
    <n v="29"/>
    <n v="105"/>
    <n v="108"/>
    <n v="4584"/>
    <n v="104"/>
  </r>
  <r>
    <x v="4"/>
    <x v="3"/>
    <d v="2021-10-28T00:00:00"/>
    <x v="0"/>
    <n v="22"/>
    <n v="105"/>
    <n v="108"/>
    <n v="4583"/>
    <n v="77"/>
  </r>
  <r>
    <x v="4"/>
    <x v="3"/>
    <d v="2021-11-01T00:00:00"/>
    <x v="0"/>
    <n v="35"/>
    <n v="105"/>
    <n v="108"/>
    <n v="4588"/>
    <n v="121"/>
  </r>
  <r>
    <x v="4"/>
    <x v="3"/>
    <d v="2021-11-01T00:00:00"/>
    <x v="2"/>
    <n v="13"/>
    <n v="135"/>
    <n v="117"/>
    <n v="4587"/>
    <n v="45"/>
  </r>
  <r>
    <x v="4"/>
    <x v="3"/>
    <d v="2021-11-01T00:00:00"/>
    <x v="1"/>
    <n v="38"/>
    <n v="110"/>
    <n v="110"/>
    <n v="4585"/>
    <n v="132"/>
  </r>
  <r>
    <x v="4"/>
    <x v="3"/>
    <d v="2021-11-01T00:00:00"/>
    <x v="1"/>
    <n v="39"/>
    <n v="110"/>
    <n v="110"/>
    <n v="4586"/>
    <n v="133"/>
  </r>
  <r>
    <x v="4"/>
    <x v="3"/>
    <d v="2021-11-04T00:00:00"/>
    <x v="2"/>
    <n v="29"/>
    <n v="135"/>
    <n v="117"/>
    <n v="4593"/>
    <n v="104"/>
  </r>
  <r>
    <x v="4"/>
    <x v="3"/>
    <d v="2021-11-04T00:00:00"/>
    <x v="0"/>
    <n v="39"/>
    <n v="105"/>
    <n v="108"/>
    <n v="4589"/>
    <n v="140"/>
  </r>
  <r>
    <x v="4"/>
    <x v="3"/>
    <d v="2021-11-04T00:00:00"/>
    <x v="2"/>
    <n v="37"/>
    <n v="135"/>
    <n v="117"/>
    <n v="4590"/>
    <n v="127"/>
  </r>
  <r>
    <x v="4"/>
    <x v="3"/>
    <d v="2021-11-04T00:00:00"/>
    <x v="1"/>
    <n v="22"/>
    <n v="110"/>
    <n v="110"/>
    <n v="4591"/>
    <n v="78"/>
  </r>
  <r>
    <x v="4"/>
    <x v="3"/>
    <d v="2021-11-04T00:00:00"/>
    <x v="0"/>
    <n v="23"/>
    <n v="105"/>
    <n v="108"/>
    <n v="4592"/>
    <n v="85"/>
  </r>
  <r>
    <x v="4"/>
    <x v="3"/>
    <d v="2021-11-09T00:00:00"/>
    <x v="0"/>
    <n v="21"/>
    <n v="105"/>
    <n v="108"/>
    <n v="4596"/>
    <n v="77"/>
  </r>
  <r>
    <x v="4"/>
    <x v="3"/>
    <d v="2021-11-09T00:00:00"/>
    <x v="1"/>
    <n v="42"/>
    <n v="110"/>
    <n v="110"/>
    <n v="4595"/>
    <n v="144"/>
  </r>
  <r>
    <x v="4"/>
    <x v="3"/>
    <d v="2021-11-09T00:00:00"/>
    <x v="2"/>
    <n v="33"/>
    <n v="135"/>
    <n v="117"/>
    <n v="4594"/>
    <n v="117"/>
  </r>
  <r>
    <x v="4"/>
    <x v="3"/>
    <d v="2021-11-10T00:00:00"/>
    <x v="1"/>
    <n v="45"/>
    <n v="110"/>
    <n v="110"/>
    <n v="4597"/>
    <n v="210"/>
  </r>
  <r>
    <x v="4"/>
    <x v="3"/>
    <d v="2021-11-10T00:00:00"/>
    <x v="0"/>
    <n v="35"/>
    <n v="105"/>
    <n v="108"/>
    <n v="4598"/>
    <n v="124"/>
  </r>
  <r>
    <x v="4"/>
    <x v="3"/>
    <d v="2021-11-11T00:00:00"/>
    <x v="0"/>
    <n v="20"/>
    <n v="105"/>
    <n v="108"/>
    <n v="4602"/>
    <n v="70"/>
  </r>
  <r>
    <x v="4"/>
    <x v="3"/>
    <d v="2021-11-11T00:00:00"/>
    <x v="2"/>
    <n v="38"/>
    <n v="135"/>
    <n v="117"/>
    <n v="4603"/>
    <n v="133"/>
  </r>
  <r>
    <x v="4"/>
    <x v="3"/>
    <d v="2021-11-11T00:00:00"/>
    <x v="2"/>
    <n v="17"/>
    <n v="135"/>
    <n v="117"/>
    <n v="4601"/>
    <n v="60"/>
  </r>
  <r>
    <x v="4"/>
    <x v="3"/>
    <d v="2021-11-11T00:00:00"/>
    <x v="2"/>
    <n v="19"/>
    <n v="135"/>
    <n v="117"/>
    <n v="4600"/>
    <n v="68"/>
  </r>
  <r>
    <x v="4"/>
    <x v="3"/>
    <d v="2021-11-11T00:00:00"/>
    <x v="0"/>
    <n v="41"/>
    <n v="105"/>
    <n v="108"/>
    <n v="4599"/>
    <n v="143"/>
  </r>
  <r>
    <x v="4"/>
    <x v="3"/>
    <d v="2021-11-15T00:00:00"/>
    <x v="1"/>
    <n v="46"/>
    <n v="110"/>
    <n v="110"/>
    <n v="4605"/>
    <n v="164"/>
  </r>
  <r>
    <x v="4"/>
    <x v="3"/>
    <d v="2021-11-15T00:00:00"/>
    <x v="0"/>
    <n v="25"/>
    <n v="105"/>
    <n v="108"/>
    <n v="4606"/>
    <n v="94"/>
  </r>
  <r>
    <x v="4"/>
    <x v="3"/>
    <d v="2021-11-15T00:00:00"/>
    <x v="2"/>
    <n v="38"/>
    <n v="135"/>
    <n v="117"/>
    <n v="4604"/>
    <n v="140"/>
  </r>
  <r>
    <x v="4"/>
    <x v="3"/>
    <d v="2021-11-16T00:00:00"/>
    <x v="0"/>
    <n v="37"/>
    <n v="105"/>
    <n v="108"/>
    <n v="4610"/>
    <n v="132"/>
  </r>
  <r>
    <x v="4"/>
    <x v="3"/>
    <d v="2021-11-16T00:00:00"/>
    <x v="1"/>
    <n v="31"/>
    <n v="110"/>
    <n v="110"/>
    <n v="4607"/>
    <n v="111"/>
  </r>
  <r>
    <x v="4"/>
    <x v="3"/>
    <d v="2021-11-16T00:00:00"/>
    <x v="0"/>
    <n v="29"/>
    <n v="105"/>
    <n v="108"/>
    <n v="4608"/>
    <n v="103"/>
  </r>
  <r>
    <x v="4"/>
    <x v="3"/>
    <d v="2021-11-16T00:00:00"/>
    <x v="2"/>
    <n v="37"/>
    <n v="135"/>
    <n v="117"/>
    <n v="4609"/>
    <n v="142"/>
  </r>
  <r>
    <x v="4"/>
    <x v="3"/>
    <d v="2021-11-17T00:00:00"/>
    <x v="1"/>
    <n v="39"/>
    <n v="110"/>
    <n v="110"/>
    <n v="4612"/>
    <n v="134"/>
  </r>
  <r>
    <x v="4"/>
    <x v="3"/>
    <d v="2021-11-17T00:00:00"/>
    <x v="0"/>
    <n v="31"/>
    <n v="105"/>
    <n v="108"/>
    <n v="4611"/>
    <n v="111"/>
  </r>
  <r>
    <x v="4"/>
    <x v="3"/>
    <d v="2021-11-18T00:00:00"/>
    <x v="1"/>
    <n v="28"/>
    <n v="110"/>
    <n v="110"/>
    <n v="4613"/>
    <n v="97"/>
  </r>
  <r>
    <x v="4"/>
    <x v="3"/>
    <d v="2021-11-18T00:00:00"/>
    <x v="0"/>
    <n v="30"/>
    <n v="105"/>
    <n v="108"/>
    <n v="4614"/>
    <n v="112"/>
  </r>
  <r>
    <x v="4"/>
    <x v="3"/>
    <d v="2021-11-22T00:00:00"/>
    <x v="1"/>
    <n v="33"/>
    <n v="110"/>
    <n v="110"/>
    <n v="4618"/>
    <n v="117"/>
  </r>
  <r>
    <x v="4"/>
    <x v="3"/>
    <d v="2021-11-22T00:00:00"/>
    <x v="2"/>
    <n v="36"/>
    <n v="135"/>
    <n v="117"/>
    <n v="4619"/>
    <n v="137"/>
  </r>
  <r>
    <x v="4"/>
    <x v="3"/>
    <d v="2021-11-22T00:00:00"/>
    <x v="0"/>
    <n v="26"/>
    <n v="105"/>
    <n v="108"/>
    <n v="4617"/>
    <n v="94"/>
  </r>
  <r>
    <x v="4"/>
    <x v="3"/>
    <d v="2021-11-22T00:00:00"/>
    <x v="2"/>
    <n v="12"/>
    <n v="135"/>
    <n v="117"/>
    <n v="4616"/>
    <n v="42"/>
  </r>
  <r>
    <x v="4"/>
    <x v="3"/>
    <d v="2021-11-22T00:00:00"/>
    <x v="1"/>
    <n v="36"/>
    <n v="110"/>
    <n v="110"/>
    <n v="4615"/>
    <n v="131"/>
  </r>
  <r>
    <x v="4"/>
    <x v="3"/>
    <d v="2021-11-24T00:00:00"/>
    <x v="2"/>
    <n v="22"/>
    <n v="135"/>
    <n v="117"/>
    <n v="4621"/>
    <n v="83"/>
  </r>
  <r>
    <x v="4"/>
    <x v="3"/>
    <d v="2021-11-24T00:00:00"/>
    <x v="0"/>
    <n v="33"/>
    <n v="105"/>
    <n v="108"/>
    <n v="4622"/>
    <n v="153"/>
  </r>
  <r>
    <x v="4"/>
    <x v="3"/>
    <d v="2021-11-24T00:00:00"/>
    <x v="2"/>
    <n v="20"/>
    <n v="135"/>
    <n v="117"/>
    <n v="4623"/>
    <n v="69"/>
  </r>
  <r>
    <x v="4"/>
    <x v="3"/>
    <d v="2021-11-24T00:00:00"/>
    <x v="0"/>
    <n v="38"/>
    <n v="105"/>
    <n v="108"/>
    <n v="4620"/>
    <n v="176"/>
  </r>
  <r>
    <x v="4"/>
    <x v="3"/>
    <d v="2021-11-25T00:00:00"/>
    <x v="2"/>
    <n v="27"/>
    <n v="135"/>
    <n v="117"/>
    <n v="4624"/>
    <n v="96"/>
  </r>
  <r>
    <x v="4"/>
    <x v="3"/>
    <d v="2021-11-25T00:00:00"/>
    <x v="2"/>
    <n v="25"/>
    <n v="135"/>
    <n v="117"/>
    <n v="4625"/>
    <n v="87"/>
  </r>
  <r>
    <x v="4"/>
    <x v="3"/>
    <d v="2021-11-29T00:00:00"/>
    <x v="0"/>
    <n v="28"/>
    <n v="105"/>
    <n v="108"/>
    <n v="4629"/>
    <n v="103"/>
  </r>
  <r>
    <x v="4"/>
    <x v="3"/>
    <d v="2021-11-29T00:00:00"/>
    <x v="2"/>
    <n v="23"/>
    <n v="135"/>
    <n v="117"/>
    <n v="4630"/>
    <n v="106"/>
  </r>
  <r>
    <x v="4"/>
    <x v="3"/>
    <d v="2021-11-29T00:00:00"/>
    <x v="2"/>
    <n v="24"/>
    <n v="135"/>
    <n v="117"/>
    <n v="4627"/>
    <n v="86"/>
  </r>
  <r>
    <x v="4"/>
    <x v="3"/>
    <d v="2021-11-29T00:00:00"/>
    <x v="2"/>
    <n v="29"/>
    <n v="135"/>
    <n v="117"/>
    <n v="4626"/>
    <n v="102"/>
  </r>
  <r>
    <x v="4"/>
    <x v="3"/>
    <d v="2021-11-29T00:00:00"/>
    <x v="1"/>
    <n v="34"/>
    <n v="110"/>
    <n v="110"/>
    <n v="4628"/>
    <n v="121"/>
  </r>
  <r>
    <x v="4"/>
    <x v="3"/>
    <d v="2021-11-30T00:00:00"/>
    <x v="1"/>
    <n v="33"/>
    <n v="110"/>
    <n v="110"/>
    <n v="4631"/>
    <n v="155"/>
  </r>
  <r>
    <x v="4"/>
    <x v="3"/>
    <d v="2021-11-30T00:00:00"/>
    <x v="1"/>
    <n v="38"/>
    <n v="110"/>
    <n v="110"/>
    <n v="4632"/>
    <n v="178"/>
  </r>
  <r>
    <x v="4"/>
    <x v="3"/>
    <d v="2021-11-30T00:00:00"/>
    <x v="2"/>
    <n v="20"/>
    <n v="135"/>
    <n v="117"/>
    <n v="4633"/>
    <n v="69"/>
  </r>
  <r>
    <x v="4"/>
    <x v="3"/>
    <d v="2021-11-30T00:00:00"/>
    <x v="1"/>
    <n v="47"/>
    <n v="110"/>
    <n v="110"/>
    <n v="4634"/>
    <n v="168"/>
  </r>
  <r>
    <x v="4"/>
    <x v="3"/>
    <d v="2021-12-01T00:00:00"/>
    <x v="1"/>
    <n v="47"/>
    <n v="110"/>
    <n v="110"/>
    <n v="4636"/>
    <n v="164"/>
  </r>
  <r>
    <x v="4"/>
    <x v="3"/>
    <d v="2021-12-01T00:00:00"/>
    <x v="2"/>
    <n v="12"/>
    <n v="135"/>
    <n v="117"/>
    <n v="4637"/>
    <n v="41"/>
  </r>
  <r>
    <x v="4"/>
    <x v="3"/>
    <d v="2021-12-01T00:00:00"/>
    <x v="0"/>
    <n v="28"/>
    <n v="105"/>
    <n v="108"/>
    <n v="4635"/>
    <n v="102"/>
  </r>
  <r>
    <x v="4"/>
    <x v="3"/>
    <d v="2021-12-01T00:00:00"/>
    <x v="0"/>
    <n v="40"/>
    <n v="105"/>
    <n v="108"/>
    <n v="4638"/>
    <n v="184"/>
  </r>
  <r>
    <x v="4"/>
    <x v="3"/>
    <d v="2021-12-02T00:00:00"/>
    <x v="0"/>
    <n v="25"/>
    <n v="105"/>
    <n v="108"/>
    <n v="4639"/>
    <n v="90"/>
  </r>
  <r>
    <x v="4"/>
    <x v="3"/>
    <d v="2021-12-03T00:00:00"/>
    <x v="0"/>
    <n v="31"/>
    <n v="105"/>
    <n v="108"/>
    <n v="4640"/>
    <n v="117"/>
  </r>
  <r>
    <x v="4"/>
    <x v="3"/>
    <d v="2021-12-06T00:00:00"/>
    <x v="2"/>
    <n v="27"/>
    <n v="135"/>
    <n v="117"/>
    <n v="4641"/>
    <n v="96"/>
  </r>
  <r>
    <x v="4"/>
    <x v="3"/>
    <d v="2021-12-09T00:00:00"/>
    <x v="2"/>
    <n v="24"/>
    <n v="135"/>
    <n v="117"/>
    <n v="4642"/>
    <n v="88"/>
  </r>
  <r>
    <x v="4"/>
    <x v="3"/>
    <d v="2021-12-09T00:00:00"/>
    <x v="0"/>
    <n v="35"/>
    <n v="105"/>
    <n v="108"/>
    <n v="4643"/>
    <n v="128"/>
  </r>
  <r>
    <x v="4"/>
    <x v="3"/>
    <d v="2021-12-14T00:00:00"/>
    <x v="1"/>
    <n v="33"/>
    <n v="110"/>
    <n v="110"/>
    <n v="4644"/>
    <n v="121"/>
  </r>
  <r>
    <x v="4"/>
    <x v="3"/>
    <d v="2021-12-14T00:00:00"/>
    <x v="0"/>
    <n v="43"/>
    <n v="105"/>
    <n v="108"/>
    <n v="4645"/>
    <n v="156"/>
  </r>
  <r>
    <x v="4"/>
    <x v="3"/>
    <d v="2021-12-15T00:00:00"/>
    <x v="1"/>
    <n v="46"/>
    <n v="110"/>
    <n v="110"/>
    <n v="4646"/>
    <n v="158"/>
  </r>
  <r>
    <x v="4"/>
    <x v="3"/>
    <d v="2021-12-15T00:00:00"/>
    <x v="0"/>
    <n v="40"/>
    <n v="105"/>
    <n v="108"/>
    <n v="4648"/>
    <n v="141"/>
  </r>
  <r>
    <x v="4"/>
    <x v="3"/>
    <d v="2021-12-15T00:00:00"/>
    <x v="0"/>
    <n v="36"/>
    <n v="105"/>
    <n v="108"/>
    <n v="4647"/>
    <n v="132"/>
  </r>
  <r>
    <x v="4"/>
    <x v="3"/>
    <d v="2021-12-16T00:00:00"/>
    <x v="2"/>
    <n v="24"/>
    <n v="135"/>
    <n v="117"/>
    <n v="4649"/>
    <n v="83"/>
  </r>
  <r>
    <x v="4"/>
    <x v="3"/>
    <d v="2021-12-16T00:00:00"/>
    <x v="0"/>
    <n v="24"/>
    <n v="105"/>
    <n v="108"/>
    <n v="4650"/>
    <n v="87"/>
  </r>
  <r>
    <x v="4"/>
    <x v="3"/>
    <d v="2021-12-16T00:00:00"/>
    <x v="2"/>
    <n v="37"/>
    <n v="135"/>
    <n v="117"/>
    <n v="4651"/>
    <n v="133"/>
  </r>
  <r>
    <x v="4"/>
    <x v="3"/>
    <d v="2021-12-16T00:00:00"/>
    <x v="2"/>
    <n v="22"/>
    <n v="135"/>
    <n v="117"/>
    <n v="4652"/>
    <n v="79"/>
  </r>
  <r>
    <x v="4"/>
    <x v="3"/>
    <d v="2021-12-24T00:00:00"/>
    <x v="0"/>
    <n v="40"/>
    <n v="105"/>
    <n v="108"/>
    <n v="4655"/>
    <n v="139"/>
  </r>
  <r>
    <x v="4"/>
    <x v="3"/>
    <d v="2021-12-24T00:00:00"/>
    <x v="2"/>
    <n v="13"/>
    <n v="135"/>
    <n v="117"/>
    <n v="4656"/>
    <n v="48"/>
  </r>
  <r>
    <x v="4"/>
    <x v="3"/>
    <d v="2021-12-24T00:00:00"/>
    <x v="2"/>
    <n v="25"/>
    <n v="135"/>
    <n v="117"/>
    <n v="4654"/>
    <n v="91"/>
  </r>
  <r>
    <x v="4"/>
    <x v="3"/>
    <d v="2021-12-24T00:00:00"/>
    <x v="0"/>
    <n v="34"/>
    <n v="105"/>
    <n v="108"/>
    <n v="4653"/>
    <n v="125"/>
  </r>
  <r>
    <x v="4"/>
    <x v="3"/>
    <d v="2021-12-27T00:00:00"/>
    <x v="1"/>
    <n v="32"/>
    <n v="110"/>
    <n v="110"/>
    <n v="4658"/>
    <n v="113"/>
  </r>
  <r>
    <x v="4"/>
    <x v="3"/>
    <d v="2021-12-27T00:00:00"/>
    <x v="1"/>
    <n v="33"/>
    <n v="110"/>
    <n v="110"/>
    <n v="4657"/>
    <n v="116"/>
  </r>
  <r>
    <x v="4"/>
    <x v="3"/>
    <d v="2021-12-28T00:00:00"/>
    <x v="1"/>
    <n v="27"/>
    <n v="110"/>
    <n v="110"/>
    <n v="4659"/>
    <n v="94"/>
  </r>
  <r>
    <x v="4"/>
    <x v="3"/>
    <d v="2021-12-28T00:00:00"/>
    <x v="1"/>
    <n v="24"/>
    <n v="110"/>
    <n v="110"/>
    <n v="4660"/>
    <n v="84"/>
  </r>
  <r>
    <x v="4"/>
    <x v="3"/>
    <d v="2021-12-28T00:00:00"/>
    <x v="0"/>
    <n v="43"/>
    <n v="105"/>
    <n v="108"/>
    <n v="4661"/>
    <n v="158"/>
  </r>
  <r>
    <x v="4"/>
    <x v="3"/>
    <d v="2021-12-28T00:00:00"/>
    <x v="1"/>
    <n v="30"/>
    <n v="110"/>
    <n v="110"/>
    <n v="4662"/>
    <n v="110"/>
  </r>
  <r>
    <x v="4"/>
    <x v="3"/>
    <d v="2021-12-28T00:00:00"/>
    <x v="1"/>
    <n v="22"/>
    <n v="110"/>
    <n v="110"/>
    <n v="4663"/>
    <n v="81"/>
  </r>
  <r>
    <x v="4"/>
    <x v="3"/>
    <d v="2021-12-31T00:00:00"/>
    <x v="2"/>
    <n v="26"/>
    <n v="135"/>
    <n v="117"/>
    <n v="4665"/>
    <n v="96"/>
  </r>
  <r>
    <x v="4"/>
    <x v="3"/>
    <d v="2021-12-31T00:00:00"/>
    <x v="0"/>
    <n v="26"/>
    <n v="105"/>
    <n v="108"/>
    <n v="4664"/>
    <n v="9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65">
  <r>
    <x v="0"/>
    <x v="0"/>
    <d v="2017-02-02T00:00:00"/>
    <x v="0"/>
    <n v="54"/>
    <n v="125"/>
    <n v="114"/>
    <n v="2"/>
    <n v="186"/>
  </r>
  <r>
    <x v="0"/>
    <x v="0"/>
    <d v="2017-02-02T00:00:00"/>
    <x v="1"/>
    <n v="50"/>
    <n v="150"/>
    <n v="118"/>
    <n v="1"/>
    <n v="231"/>
  </r>
  <r>
    <x v="0"/>
    <x v="0"/>
    <d v="2017-02-03T00:00:00"/>
    <x v="2"/>
    <n v="53"/>
    <n v="170"/>
    <n v="123"/>
    <n v="8"/>
    <n v="190"/>
  </r>
  <r>
    <x v="0"/>
    <x v="0"/>
    <d v="2017-02-03T00:00:00"/>
    <x v="2"/>
    <n v="50"/>
    <n v="170"/>
    <n v="123"/>
    <n v="9"/>
    <n v="182"/>
  </r>
  <r>
    <x v="0"/>
    <x v="0"/>
    <d v="2017-02-03T00:00:00"/>
    <x v="0"/>
    <n v="52"/>
    <n v="125"/>
    <n v="114"/>
    <n v="7"/>
    <n v="185"/>
  </r>
  <r>
    <x v="0"/>
    <x v="0"/>
    <d v="2017-02-03T00:00:00"/>
    <x v="1"/>
    <n v="67"/>
    <n v="150"/>
    <n v="118"/>
    <n v="6"/>
    <n v="230"/>
  </r>
  <r>
    <x v="0"/>
    <x v="0"/>
    <d v="2017-02-03T00:00:00"/>
    <x v="0"/>
    <n v="44"/>
    <n v="125"/>
    <n v="114"/>
    <n v="5"/>
    <n v="153"/>
  </r>
  <r>
    <x v="0"/>
    <x v="0"/>
    <d v="2017-02-03T00:00:00"/>
    <x v="0"/>
    <n v="41"/>
    <n v="125"/>
    <n v="114"/>
    <n v="4"/>
    <n v="144"/>
  </r>
  <r>
    <x v="0"/>
    <x v="0"/>
    <d v="2017-02-03T00:00:00"/>
    <x v="0"/>
    <n v="40"/>
    <n v="125"/>
    <n v="114"/>
    <n v="3"/>
    <n v="145"/>
  </r>
  <r>
    <x v="0"/>
    <x v="0"/>
    <d v="2017-02-06T00:00:00"/>
    <x v="2"/>
    <n v="55"/>
    <n v="170"/>
    <n v="123"/>
    <n v="11"/>
    <n v="191"/>
  </r>
  <r>
    <x v="0"/>
    <x v="0"/>
    <d v="2017-02-06T00:00:00"/>
    <x v="2"/>
    <n v="43"/>
    <n v="170"/>
    <n v="123"/>
    <n v="12"/>
    <n v="199"/>
  </r>
  <r>
    <x v="0"/>
    <x v="0"/>
    <d v="2017-02-06T00:00:00"/>
    <x v="2"/>
    <n v="57"/>
    <n v="170"/>
    <n v="123"/>
    <n v="13"/>
    <n v="264"/>
  </r>
  <r>
    <x v="0"/>
    <x v="0"/>
    <d v="2017-02-06T00:00:00"/>
    <x v="0"/>
    <n v="41"/>
    <n v="125"/>
    <n v="114"/>
    <n v="10"/>
    <n v="144"/>
  </r>
  <r>
    <x v="0"/>
    <x v="0"/>
    <d v="2017-02-07T00:00:00"/>
    <x v="2"/>
    <n v="37"/>
    <n v="170"/>
    <n v="123"/>
    <n v="19"/>
    <n v="127"/>
  </r>
  <r>
    <x v="0"/>
    <x v="0"/>
    <d v="2017-02-07T00:00:00"/>
    <x v="0"/>
    <n v="60"/>
    <n v="125"/>
    <n v="114"/>
    <n v="18"/>
    <n v="208"/>
  </r>
  <r>
    <x v="0"/>
    <x v="0"/>
    <d v="2017-02-07T00:00:00"/>
    <x v="1"/>
    <n v="67"/>
    <n v="150"/>
    <n v="118"/>
    <n v="22"/>
    <n v="231"/>
  </r>
  <r>
    <x v="0"/>
    <x v="0"/>
    <d v="2017-02-07T00:00:00"/>
    <x v="2"/>
    <n v="36"/>
    <n v="170"/>
    <n v="123"/>
    <n v="20"/>
    <n v="130"/>
  </r>
  <r>
    <x v="0"/>
    <x v="0"/>
    <d v="2017-02-07T00:00:00"/>
    <x v="2"/>
    <n v="57"/>
    <n v="170"/>
    <n v="123"/>
    <n v="14"/>
    <n v="200"/>
  </r>
  <r>
    <x v="0"/>
    <x v="0"/>
    <d v="2017-02-07T00:00:00"/>
    <x v="2"/>
    <n v="34"/>
    <n v="170"/>
    <n v="123"/>
    <n v="16"/>
    <n v="119"/>
  </r>
  <r>
    <x v="0"/>
    <x v="0"/>
    <d v="2017-02-07T00:00:00"/>
    <x v="2"/>
    <n v="39"/>
    <n v="170"/>
    <n v="123"/>
    <n v="21"/>
    <n v="146"/>
  </r>
  <r>
    <x v="0"/>
    <x v="0"/>
    <d v="2017-02-07T00:00:00"/>
    <x v="1"/>
    <n v="56"/>
    <n v="150"/>
    <n v="118"/>
    <n v="15"/>
    <n v="193"/>
  </r>
  <r>
    <x v="0"/>
    <x v="0"/>
    <d v="2017-02-07T00:00:00"/>
    <x v="2"/>
    <n v="40"/>
    <n v="170"/>
    <n v="123"/>
    <n v="17"/>
    <n v="147"/>
  </r>
  <r>
    <x v="0"/>
    <x v="0"/>
    <d v="2017-02-08T00:00:00"/>
    <x v="2"/>
    <n v="38"/>
    <n v="170"/>
    <n v="123"/>
    <n v="27"/>
    <n v="137"/>
  </r>
  <r>
    <x v="0"/>
    <x v="0"/>
    <d v="2017-02-08T00:00:00"/>
    <x v="0"/>
    <n v="56"/>
    <n v="125"/>
    <n v="114"/>
    <n v="28"/>
    <n v="211"/>
  </r>
  <r>
    <x v="0"/>
    <x v="0"/>
    <d v="2017-02-08T00:00:00"/>
    <x v="1"/>
    <n v="57"/>
    <n v="150"/>
    <n v="118"/>
    <n v="26"/>
    <n v="203"/>
  </r>
  <r>
    <x v="0"/>
    <x v="0"/>
    <d v="2017-02-08T00:00:00"/>
    <x v="2"/>
    <n v="46"/>
    <n v="170"/>
    <n v="123"/>
    <n v="25"/>
    <n v="166"/>
  </r>
  <r>
    <x v="0"/>
    <x v="0"/>
    <d v="2017-02-08T00:00:00"/>
    <x v="2"/>
    <n v="48"/>
    <n v="170"/>
    <n v="123"/>
    <n v="24"/>
    <n v="180"/>
  </r>
  <r>
    <x v="0"/>
    <x v="0"/>
    <d v="2017-02-08T00:00:00"/>
    <x v="0"/>
    <n v="47"/>
    <n v="125"/>
    <n v="114"/>
    <n v="23"/>
    <n v="165"/>
  </r>
  <r>
    <x v="0"/>
    <x v="0"/>
    <d v="2017-02-08T00:00:00"/>
    <x v="0"/>
    <n v="49"/>
    <n v="125"/>
    <n v="114"/>
    <n v="29"/>
    <n v="225"/>
  </r>
  <r>
    <x v="0"/>
    <x v="0"/>
    <d v="2017-02-09T00:00:00"/>
    <x v="2"/>
    <n v="57"/>
    <n v="170"/>
    <n v="123"/>
    <n v="30"/>
    <n v="205"/>
  </r>
  <r>
    <x v="0"/>
    <x v="0"/>
    <d v="2017-02-09T00:00:00"/>
    <x v="1"/>
    <n v="43"/>
    <n v="150"/>
    <n v="118"/>
    <n v="31"/>
    <n v="148"/>
  </r>
  <r>
    <x v="0"/>
    <x v="0"/>
    <d v="2017-02-09T00:00:00"/>
    <x v="0"/>
    <n v="51"/>
    <n v="125"/>
    <n v="114"/>
    <n v="32"/>
    <n v="183"/>
  </r>
  <r>
    <x v="0"/>
    <x v="0"/>
    <d v="2017-02-09T00:00:00"/>
    <x v="0"/>
    <n v="61"/>
    <n v="125"/>
    <n v="114"/>
    <n v="33"/>
    <n v="223"/>
  </r>
  <r>
    <x v="0"/>
    <x v="0"/>
    <d v="2017-02-09T00:00:00"/>
    <x v="1"/>
    <n v="62"/>
    <n v="150"/>
    <n v="118"/>
    <n v="34"/>
    <n v="216"/>
  </r>
  <r>
    <x v="0"/>
    <x v="0"/>
    <d v="2017-02-09T00:00:00"/>
    <x v="0"/>
    <n v="37"/>
    <n v="125"/>
    <n v="114"/>
    <n v="35"/>
    <n v="135"/>
  </r>
  <r>
    <x v="0"/>
    <x v="0"/>
    <d v="2017-02-10T00:00:00"/>
    <x v="1"/>
    <n v="67"/>
    <n v="150"/>
    <n v="118"/>
    <n v="40"/>
    <n v="242"/>
  </r>
  <r>
    <x v="0"/>
    <x v="0"/>
    <d v="2017-02-10T00:00:00"/>
    <x v="1"/>
    <n v="61"/>
    <n v="150"/>
    <n v="118"/>
    <n v="42"/>
    <n v="212"/>
  </r>
  <r>
    <x v="0"/>
    <x v="0"/>
    <d v="2017-02-10T00:00:00"/>
    <x v="2"/>
    <n v="49"/>
    <n v="170"/>
    <n v="123"/>
    <n v="41"/>
    <n v="180"/>
  </r>
  <r>
    <x v="0"/>
    <x v="0"/>
    <d v="2017-02-10T00:00:00"/>
    <x v="1"/>
    <n v="49"/>
    <n v="150"/>
    <n v="118"/>
    <n v="38"/>
    <n v="172"/>
  </r>
  <r>
    <x v="0"/>
    <x v="0"/>
    <d v="2017-02-10T00:00:00"/>
    <x v="0"/>
    <n v="39"/>
    <n v="125"/>
    <n v="114"/>
    <n v="37"/>
    <n v="144"/>
  </r>
  <r>
    <x v="0"/>
    <x v="0"/>
    <d v="2017-02-10T00:00:00"/>
    <x v="0"/>
    <n v="58"/>
    <n v="125"/>
    <n v="114"/>
    <n v="36"/>
    <n v="213"/>
  </r>
  <r>
    <x v="0"/>
    <x v="0"/>
    <d v="2017-02-10T00:00:00"/>
    <x v="2"/>
    <n v="40"/>
    <n v="170"/>
    <n v="123"/>
    <n v="39"/>
    <n v="141"/>
  </r>
  <r>
    <x v="0"/>
    <x v="0"/>
    <d v="2017-02-13T00:00:00"/>
    <x v="2"/>
    <n v="37"/>
    <n v="170"/>
    <n v="123"/>
    <n v="43"/>
    <n v="133"/>
  </r>
  <r>
    <x v="0"/>
    <x v="0"/>
    <d v="2017-02-13T00:00:00"/>
    <x v="1"/>
    <n v="67"/>
    <n v="150"/>
    <n v="118"/>
    <n v="44"/>
    <n v="243"/>
  </r>
  <r>
    <x v="0"/>
    <x v="0"/>
    <d v="2017-02-14T00:00:00"/>
    <x v="0"/>
    <n v="60"/>
    <n v="125"/>
    <n v="114"/>
    <n v="47"/>
    <n v="278"/>
  </r>
  <r>
    <x v="0"/>
    <x v="0"/>
    <d v="2017-02-14T00:00:00"/>
    <x v="2"/>
    <n v="45"/>
    <n v="170"/>
    <n v="123"/>
    <n v="53"/>
    <n v="208"/>
  </r>
  <r>
    <x v="0"/>
    <x v="0"/>
    <d v="2017-02-14T00:00:00"/>
    <x v="2"/>
    <n v="50"/>
    <n v="170"/>
    <n v="123"/>
    <n v="52"/>
    <n v="180"/>
  </r>
  <r>
    <x v="0"/>
    <x v="0"/>
    <d v="2017-02-14T00:00:00"/>
    <x v="1"/>
    <n v="52"/>
    <n v="150"/>
    <n v="118"/>
    <n v="51"/>
    <n v="181"/>
  </r>
  <r>
    <x v="0"/>
    <x v="0"/>
    <d v="2017-02-14T00:00:00"/>
    <x v="1"/>
    <n v="43"/>
    <n v="150"/>
    <n v="118"/>
    <n v="50"/>
    <n v="153"/>
  </r>
  <r>
    <x v="0"/>
    <x v="0"/>
    <d v="2017-02-14T00:00:00"/>
    <x v="1"/>
    <n v="56"/>
    <n v="150"/>
    <n v="118"/>
    <n v="48"/>
    <n v="203"/>
  </r>
  <r>
    <x v="0"/>
    <x v="0"/>
    <d v="2017-02-14T00:00:00"/>
    <x v="0"/>
    <n v="46"/>
    <n v="125"/>
    <n v="114"/>
    <n v="46"/>
    <n v="163"/>
  </r>
  <r>
    <x v="0"/>
    <x v="0"/>
    <d v="2017-02-14T00:00:00"/>
    <x v="1"/>
    <n v="61"/>
    <n v="150"/>
    <n v="118"/>
    <n v="45"/>
    <n v="214"/>
  </r>
  <r>
    <x v="0"/>
    <x v="0"/>
    <d v="2017-02-14T00:00:00"/>
    <x v="0"/>
    <n v="57"/>
    <n v="125"/>
    <n v="114"/>
    <n v="49"/>
    <n v="215"/>
  </r>
  <r>
    <x v="0"/>
    <x v="0"/>
    <d v="2017-02-15T00:00:00"/>
    <x v="1"/>
    <n v="44"/>
    <n v="150"/>
    <n v="118"/>
    <n v="58"/>
    <n v="161"/>
  </r>
  <r>
    <x v="0"/>
    <x v="0"/>
    <d v="2017-02-15T00:00:00"/>
    <x v="1"/>
    <n v="64"/>
    <n v="150"/>
    <n v="118"/>
    <n v="54"/>
    <n v="299"/>
  </r>
  <r>
    <x v="0"/>
    <x v="0"/>
    <d v="2017-02-15T00:00:00"/>
    <x v="1"/>
    <n v="63"/>
    <n v="150"/>
    <n v="118"/>
    <n v="59"/>
    <n v="229"/>
  </r>
  <r>
    <x v="0"/>
    <x v="0"/>
    <d v="2017-02-15T00:00:00"/>
    <x v="2"/>
    <n v="46"/>
    <n v="170"/>
    <n v="123"/>
    <n v="60"/>
    <n v="166"/>
  </r>
  <r>
    <x v="0"/>
    <x v="0"/>
    <d v="2017-02-15T00:00:00"/>
    <x v="0"/>
    <n v="57"/>
    <n v="125"/>
    <n v="114"/>
    <n v="57"/>
    <n v="200"/>
  </r>
  <r>
    <x v="0"/>
    <x v="0"/>
    <d v="2017-02-15T00:00:00"/>
    <x v="0"/>
    <n v="36"/>
    <n v="125"/>
    <n v="114"/>
    <n v="55"/>
    <n v="130"/>
  </r>
  <r>
    <x v="0"/>
    <x v="0"/>
    <d v="2017-02-15T00:00:00"/>
    <x v="2"/>
    <n v="52"/>
    <n v="170"/>
    <n v="123"/>
    <n v="56"/>
    <n v="243"/>
  </r>
  <r>
    <x v="0"/>
    <x v="0"/>
    <d v="2017-02-16T00:00:00"/>
    <x v="1"/>
    <n v="54"/>
    <n v="150"/>
    <n v="118"/>
    <n v="61"/>
    <n v="193"/>
  </r>
  <r>
    <x v="0"/>
    <x v="0"/>
    <d v="2017-02-16T00:00:00"/>
    <x v="1"/>
    <n v="65"/>
    <n v="150"/>
    <n v="118"/>
    <n v="62"/>
    <n v="239"/>
  </r>
  <r>
    <x v="0"/>
    <x v="0"/>
    <d v="2017-02-16T00:00:00"/>
    <x v="0"/>
    <n v="46"/>
    <n v="125"/>
    <n v="114"/>
    <n v="63"/>
    <n v="163"/>
  </r>
  <r>
    <x v="0"/>
    <x v="0"/>
    <d v="2017-02-16T00:00:00"/>
    <x v="0"/>
    <n v="36"/>
    <n v="125"/>
    <n v="114"/>
    <n v="64"/>
    <n v="133"/>
  </r>
  <r>
    <x v="0"/>
    <x v="0"/>
    <d v="2017-02-16T00:00:00"/>
    <x v="0"/>
    <n v="37"/>
    <n v="125"/>
    <n v="114"/>
    <n v="65"/>
    <n v="131"/>
  </r>
  <r>
    <x v="0"/>
    <x v="0"/>
    <d v="2017-02-16T00:00:00"/>
    <x v="1"/>
    <n v="65"/>
    <n v="150"/>
    <n v="118"/>
    <n v="66"/>
    <n v="235"/>
  </r>
  <r>
    <x v="0"/>
    <x v="0"/>
    <d v="2017-02-16T00:00:00"/>
    <x v="0"/>
    <n v="36"/>
    <n v="125"/>
    <n v="114"/>
    <n v="67"/>
    <n v="124"/>
  </r>
  <r>
    <x v="0"/>
    <x v="0"/>
    <d v="2017-02-17T00:00:00"/>
    <x v="2"/>
    <n v="38"/>
    <n v="170"/>
    <n v="123"/>
    <n v="72"/>
    <n v="134"/>
  </r>
  <r>
    <x v="0"/>
    <x v="0"/>
    <d v="2017-02-17T00:00:00"/>
    <x v="0"/>
    <n v="60"/>
    <n v="125"/>
    <n v="114"/>
    <n v="73"/>
    <n v="276"/>
  </r>
  <r>
    <x v="0"/>
    <x v="0"/>
    <d v="2017-02-17T00:00:00"/>
    <x v="2"/>
    <n v="44"/>
    <n v="170"/>
    <n v="123"/>
    <n v="74"/>
    <n v="204"/>
  </r>
  <r>
    <x v="0"/>
    <x v="0"/>
    <d v="2017-02-17T00:00:00"/>
    <x v="0"/>
    <n v="60"/>
    <n v="125"/>
    <n v="114"/>
    <n v="70"/>
    <n v="206"/>
  </r>
  <r>
    <x v="0"/>
    <x v="0"/>
    <d v="2017-02-17T00:00:00"/>
    <x v="0"/>
    <n v="47"/>
    <n v="125"/>
    <n v="114"/>
    <n v="68"/>
    <n v="167"/>
  </r>
  <r>
    <x v="0"/>
    <x v="0"/>
    <d v="2017-02-17T00:00:00"/>
    <x v="0"/>
    <n v="44"/>
    <n v="125"/>
    <n v="114"/>
    <n v="69"/>
    <n v="153"/>
  </r>
  <r>
    <x v="0"/>
    <x v="0"/>
    <d v="2017-02-17T00:00:00"/>
    <x v="2"/>
    <n v="53"/>
    <n v="170"/>
    <n v="123"/>
    <n v="71"/>
    <n v="192"/>
  </r>
  <r>
    <x v="0"/>
    <x v="0"/>
    <d v="2017-02-20T00:00:00"/>
    <x v="0"/>
    <n v="37"/>
    <n v="125"/>
    <n v="114"/>
    <n v="76"/>
    <n v="133"/>
  </r>
  <r>
    <x v="0"/>
    <x v="0"/>
    <d v="2017-02-20T00:00:00"/>
    <x v="1"/>
    <n v="51"/>
    <n v="150"/>
    <n v="118"/>
    <n v="75"/>
    <n v="185"/>
  </r>
  <r>
    <x v="0"/>
    <x v="0"/>
    <d v="2017-02-21T00:00:00"/>
    <x v="2"/>
    <n v="41"/>
    <n v="170"/>
    <n v="123"/>
    <n v="77"/>
    <n v="150"/>
  </r>
  <r>
    <x v="0"/>
    <x v="0"/>
    <d v="2017-02-21T00:00:00"/>
    <x v="1"/>
    <n v="42"/>
    <n v="150"/>
    <n v="118"/>
    <n v="78"/>
    <n v="150"/>
  </r>
  <r>
    <x v="0"/>
    <x v="0"/>
    <d v="2017-02-21T00:00:00"/>
    <x v="1"/>
    <n v="46"/>
    <n v="150"/>
    <n v="118"/>
    <n v="79"/>
    <n v="166"/>
  </r>
  <r>
    <x v="0"/>
    <x v="0"/>
    <d v="2017-02-22T00:00:00"/>
    <x v="2"/>
    <n v="55"/>
    <n v="170"/>
    <n v="123"/>
    <n v="81"/>
    <n v="198"/>
  </r>
  <r>
    <x v="0"/>
    <x v="0"/>
    <d v="2017-02-22T00:00:00"/>
    <x v="0"/>
    <n v="60"/>
    <n v="125"/>
    <n v="114"/>
    <n v="82"/>
    <n v="206"/>
  </r>
  <r>
    <x v="0"/>
    <x v="0"/>
    <d v="2017-02-22T00:00:00"/>
    <x v="2"/>
    <n v="41"/>
    <n v="170"/>
    <n v="123"/>
    <n v="80"/>
    <n v="146"/>
  </r>
  <r>
    <x v="0"/>
    <x v="0"/>
    <d v="2017-02-23T00:00:00"/>
    <x v="1"/>
    <n v="61"/>
    <n v="150"/>
    <n v="118"/>
    <n v="84"/>
    <n v="212"/>
  </r>
  <r>
    <x v="0"/>
    <x v="0"/>
    <d v="2017-02-23T00:00:00"/>
    <x v="0"/>
    <n v="59"/>
    <n v="125"/>
    <n v="114"/>
    <n v="85"/>
    <n v="210"/>
  </r>
  <r>
    <x v="0"/>
    <x v="0"/>
    <d v="2017-02-23T00:00:00"/>
    <x v="2"/>
    <n v="40"/>
    <n v="170"/>
    <n v="123"/>
    <n v="86"/>
    <n v="142"/>
  </r>
  <r>
    <x v="0"/>
    <x v="0"/>
    <d v="2017-02-23T00:00:00"/>
    <x v="1"/>
    <n v="53"/>
    <n v="150"/>
    <n v="118"/>
    <n v="87"/>
    <n v="196"/>
  </r>
  <r>
    <x v="0"/>
    <x v="0"/>
    <d v="2017-02-23T00:00:00"/>
    <x v="2"/>
    <n v="38"/>
    <n v="170"/>
    <n v="123"/>
    <n v="83"/>
    <n v="131"/>
  </r>
  <r>
    <x v="0"/>
    <x v="0"/>
    <d v="2017-02-24T00:00:00"/>
    <x v="0"/>
    <n v="60"/>
    <n v="125"/>
    <n v="114"/>
    <n v="90"/>
    <n v="276"/>
  </r>
  <r>
    <x v="0"/>
    <x v="0"/>
    <d v="2017-02-24T00:00:00"/>
    <x v="2"/>
    <n v="45"/>
    <n v="170"/>
    <n v="123"/>
    <n v="96"/>
    <n v="157"/>
  </r>
  <r>
    <x v="0"/>
    <x v="0"/>
    <d v="2017-02-24T00:00:00"/>
    <x v="0"/>
    <n v="60"/>
    <n v="125"/>
    <n v="114"/>
    <n v="95"/>
    <n v="210"/>
  </r>
  <r>
    <x v="0"/>
    <x v="0"/>
    <d v="2017-02-24T00:00:00"/>
    <x v="2"/>
    <n v="40"/>
    <n v="170"/>
    <n v="123"/>
    <n v="94"/>
    <n v="147"/>
  </r>
  <r>
    <x v="0"/>
    <x v="0"/>
    <d v="2017-02-24T00:00:00"/>
    <x v="0"/>
    <n v="53"/>
    <n v="125"/>
    <n v="114"/>
    <n v="93"/>
    <n v="191"/>
  </r>
  <r>
    <x v="0"/>
    <x v="0"/>
    <d v="2017-02-24T00:00:00"/>
    <x v="2"/>
    <n v="36"/>
    <n v="170"/>
    <n v="123"/>
    <n v="89"/>
    <n v="135"/>
  </r>
  <r>
    <x v="0"/>
    <x v="0"/>
    <d v="2017-02-24T00:00:00"/>
    <x v="0"/>
    <n v="45"/>
    <n v="125"/>
    <n v="114"/>
    <n v="88"/>
    <n v="158"/>
  </r>
  <r>
    <x v="0"/>
    <x v="0"/>
    <d v="2017-02-24T00:00:00"/>
    <x v="1"/>
    <n v="59"/>
    <n v="150"/>
    <n v="118"/>
    <n v="92"/>
    <n v="206"/>
  </r>
  <r>
    <x v="0"/>
    <x v="0"/>
    <d v="2017-02-24T00:00:00"/>
    <x v="1"/>
    <n v="50"/>
    <n v="150"/>
    <n v="118"/>
    <n v="91"/>
    <n v="173"/>
  </r>
  <r>
    <x v="0"/>
    <x v="0"/>
    <d v="2017-02-27T00:00:00"/>
    <x v="0"/>
    <n v="62"/>
    <n v="125"/>
    <n v="114"/>
    <n v="101"/>
    <n v="220"/>
  </r>
  <r>
    <x v="0"/>
    <x v="0"/>
    <d v="2017-02-27T00:00:00"/>
    <x v="1"/>
    <n v="54"/>
    <n v="150"/>
    <n v="118"/>
    <n v="105"/>
    <n v="194"/>
  </r>
  <r>
    <x v="0"/>
    <x v="0"/>
    <d v="2017-02-27T00:00:00"/>
    <x v="0"/>
    <n v="49"/>
    <n v="125"/>
    <n v="114"/>
    <n v="104"/>
    <n v="179"/>
  </r>
  <r>
    <x v="0"/>
    <x v="0"/>
    <d v="2017-02-27T00:00:00"/>
    <x v="0"/>
    <n v="59"/>
    <n v="125"/>
    <n v="114"/>
    <n v="104"/>
    <n v="208"/>
  </r>
  <r>
    <x v="0"/>
    <x v="0"/>
    <d v="2017-02-27T00:00:00"/>
    <x v="2"/>
    <n v="51"/>
    <n v="170"/>
    <n v="123"/>
    <n v="104"/>
    <n v="176"/>
  </r>
  <r>
    <x v="0"/>
    <x v="0"/>
    <d v="2017-02-27T00:00:00"/>
    <x v="0"/>
    <n v="62"/>
    <n v="125"/>
    <n v="114"/>
    <n v="99"/>
    <n v="227"/>
  </r>
  <r>
    <x v="0"/>
    <x v="0"/>
    <d v="2017-02-27T00:00:00"/>
    <x v="0"/>
    <n v="46"/>
    <n v="125"/>
    <n v="114"/>
    <n v="98"/>
    <n v="169"/>
  </r>
  <r>
    <x v="0"/>
    <x v="0"/>
    <d v="2017-02-27T00:00:00"/>
    <x v="0"/>
    <n v="61"/>
    <n v="125"/>
    <n v="114"/>
    <n v="97"/>
    <n v="221"/>
  </r>
  <r>
    <x v="0"/>
    <x v="0"/>
    <d v="2017-02-27T00:00:00"/>
    <x v="0"/>
    <n v="46"/>
    <n v="125"/>
    <n v="114"/>
    <n v="103"/>
    <n v="158"/>
  </r>
  <r>
    <x v="0"/>
    <x v="0"/>
    <d v="2017-02-28T00:00:00"/>
    <x v="1"/>
    <n v="67"/>
    <n v="150"/>
    <n v="118"/>
    <n v="108"/>
    <n v="233"/>
  </r>
  <r>
    <x v="0"/>
    <x v="0"/>
    <d v="2017-02-28T00:00:00"/>
    <x v="1"/>
    <n v="60"/>
    <n v="150"/>
    <n v="118"/>
    <n v="113"/>
    <n v="216"/>
  </r>
  <r>
    <x v="0"/>
    <x v="0"/>
    <d v="2017-02-28T00:00:00"/>
    <x v="0"/>
    <n v="51"/>
    <n v="125"/>
    <n v="114"/>
    <n v="112"/>
    <n v="196"/>
  </r>
  <r>
    <x v="0"/>
    <x v="0"/>
    <d v="2017-02-28T00:00:00"/>
    <x v="1"/>
    <n v="64"/>
    <n v="150"/>
    <n v="118"/>
    <n v="114"/>
    <n v="300"/>
  </r>
  <r>
    <x v="0"/>
    <x v="0"/>
    <d v="2017-02-28T00:00:00"/>
    <x v="0"/>
    <n v="48"/>
    <n v="125"/>
    <n v="114"/>
    <n v="111"/>
    <n v="166"/>
  </r>
  <r>
    <x v="0"/>
    <x v="0"/>
    <d v="2017-02-28T00:00:00"/>
    <x v="0"/>
    <n v="41"/>
    <n v="125"/>
    <n v="114"/>
    <n v="107"/>
    <n v="144"/>
  </r>
  <r>
    <x v="0"/>
    <x v="0"/>
    <d v="2017-02-28T00:00:00"/>
    <x v="0"/>
    <n v="59"/>
    <n v="125"/>
    <n v="114"/>
    <n v="106"/>
    <n v="211"/>
  </r>
  <r>
    <x v="0"/>
    <x v="0"/>
    <d v="2017-02-28T00:00:00"/>
    <x v="1"/>
    <n v="41"/>
    <n v="150"/>
    <n v="118"/>
    <n v="110"/>
    <n v="151"/>
  </r>
  <r>
    <x v="0"/>
    <x v="0"/>
    <d v="2017-02-28T00:00:00"/>
    <x v="1"/>
    <n v="55"/>
    <n v="150"/>
    <n v="118"/>
    <n v="109"/>
    <n v="189"/>
  </r>
  <r>
    <x v="0"/>
    <x v="0"/>
    <d v="2017-03-01T00:00:00"/>
    <x v="0"/>
    <n v="38"/>
    <n v="125"/>
    <n v="114"/>
    <n v="115"/>
    <n v="136"/>
  </r>
  <r>
    <x v="0"/>
    <x v="0"/>
    <d v="2017-03-01T00:00:00"/>
    <x v="1"/>
    <n v="63"/>
    <n v="150"/>
    <n v="118"/>
    <n v="116"/>
    <n v="228"/>
  </r>
  <r>
    <x v="0"/>
    <x v="0"/>
    <d v="2017-03-01T00:00:00"/>
    <x v="1"/>
    <n v="64"/>
    <n v="150"/>
    <n v="118"/>
    <n v="117"/>
    <n v="225"/>
  </r>
  <r>
    <x v="0"/>
    <x v="0"/>
    <d v="2017-03-01T00:00:00"/>
    <x v="1"/>
    <n v="52"/>
    <n v="150"/>
    <n v="118"/>
    <n v="118"/>
    <n v="239"/>
  </r>
  <r>
    <x v="0"/>
    <x v="0"/>
    <d v="2017-03-01T00:00:00"/>
    <x v="1"/>
    <n v="51"/>
    <n v="150"/>
    <n v="118"/>
    <n v="119"/>
    <n v="178"/>
  </r>
  <r>
    <x v="0"/>
    <x v="0"/>
    <d v="2017-03-01T00:00:00"/>
    <x v="0"/>
    <n v="59"/>
    <n v="125"/>
    <n v="114"/>
    <n v="120"/>
    <n v="205"/>
  </r>
  <r>
    <x v="0"/>
    <x v="0"/>
    <d v="2017-03-01T00:00:00"/>
    <x v="2"/>
    <n v="45"/>
    <n v="170"/>
    <n v="123"/>
    <n v="121"/>
    <n v="158"/>
  </r>
  <r>
    <x v="0"/>
    <x v="0"/>
    <d v="2017-03-02T00:00:00"/>
    <x v="2"/>
    <n v="35"/>
    <n v="170"/>
    <n v="123"/>
    <n v="128"/>
    <n v="125"/>
  </r>
  <r>
    <x v="0"/>
    <x v="0"/>
    <d v="2017-03-02T00:00:00"/>
    <x v="0"/>
    <n v="51"/>
    <n v="125"/>
    <n v="114"/>
    <n v="129"/>
    <n v="240"/>
  </r>
  <r>
    <x v="0"/>
    <x v="0"/>
    <d v="2017-03-02T00:00:00"/>
    <x v="2"/>
    <n v="43"/>
    <n v="170"/>
    <n v="123"/>
    <n v="127"/>
    <n v="158"/>
  </r>
  <r>
    <x v="0"/>
    <x v="0"/>
    <d v="2017-03-02T00:00:00"/>
    <x v="0"/>
    <n v="43"/>
    <n v="125"/>
    <n v="114"/>
    <n v="126"/>
    <n v="148"/>
  </r>
  <r>
    <x v="0"/>
    <x v="0"/>
    <d v="2017-03-02T00:00:00"/>
    <x v="2"/>
    <n v="54"/>
    <n v="170"/>
    <n v="123"/>
    <n v="124"/>
    <n v="253"/>
  </r>
  <r>
    <x v="0"/>
    <x v="0"/>
    <d v="2017-03-02T00:00:00"/>
    <x v="1"/>
    <n v="63"/>
    <n v="150"/>
    <n v="118"/>
    <n v="123"/>
    <n v="295"/>
  </r>
  <r>
    <x v="0"/>
    <x v="0"/>
    <d v="2017-03-02T00:00:00"/>
    <x v="1"/>
    <n v="49"/>
    <n v="150"/>
    <n v="118"/>
    <n v="122"/>
    <n v="226"/>
  </r>
  <r>
    <x v="0"/>
    <x v="0"/>
    <d v="2017-03-02T00:00:00"/>
    <x v="2"/>
    <n v="49"/>
    <n v="170"/>
    <n v="123"/>
    <n v="125"/>
    <n v="176"/>
  </r>
  <r>
    <x v="0"/>
    <x v="0"/>
    <d v="2017-03-02T00:00:00"/>
    <x v="2"/>
    <n v="34"/>
    <n v="170"/>
    <n v="123"/>
    <n v="130"/>
    <n v="120"/>
  </r>
  <r>
    <x v="0"/>
    <x v="0"/>
    <d v="2017-03-03T00:00:00"/>
    <x v="2"/>
    <n v="32"/>
    <n v="170"/>
    <n v="123"/>
    <n v="131"/>
    <n v="114"/>
  </r>
  <r>
    <x v="0"/>
    <x v="0"/>
    <d v="2017-03-03T00:00:00"/>
    <x v="0"/>
    <n v="47"/>
    <n v="125"/>
    <n v="114"/>
    <n v="132"/>
    <n v="162"/>
  </r>
  <r>
    <x v="0"/>
    <x v="0"/>
    <d v="2017-03-03T00:00:00"/>
    <x v="2"/>
    <n v="42"/>
    <n v="170"/>
    <n v="123"/>
    <n v="133"/>
    <n v="147"/>
  </r>
  <r>
    <x v="0"/>
    <x v="0"/>
    <d v="2017-03-03T00:00:00"/>
    <x v="0"/>
    <n v="36"/>
    <n v="125"/>
    <n v="114"/>
    <n v="134"/>
    <n v="169"/>
  </r>
  <r>
    <x v="0"/>
    <x v="0"/>
    <d v="2017-03-06T00:00:00"/>
    <x v="1"/>
    <n v="56"/>
    <n v="150"/>
    <n v="118"/>
    <n v="136"/>
    <n v="204"/>
  </r>
  <r>
    <x v="0"/>
    <x v="0"/>
    <d v="2017-03-06T00:00:00"/>
    <x v="0"/>
    <n v="61"/>
    <n v="125"/>
    <n v="114"/>
    <n v="135"/>
    <n v="209"/>
  </r>
  <r>
    <x v="0"/>
    <x v="0"/>
    <d v="2017-03-07T00:00:00"/>
    <x v="1"/>
    <n v="66"/>
    <n v="150"/>
    <n v="118"/>
    <n v="145"/>
    <n v="231"/>
  </r>
  <r>
    <x v="0"/>
    <x v="0"/>
    <d v="2017-03-07T00:00:00"/>
    <x v="2"/>
    <n v="53"/>
    <n v="170"/>
    <n v="123"/>
    <n v="144"/>
    <n v="191"/>
  </r>
  <r>
    <x v="0"/>
    <x v="0"/>
    <d v="2017-03-07T00:00:00"/>
    <x v="2"/>
    <n v="54"/>
    <n v="170"/>
    <n v="123"/>
    <n v="143"/>
    <n v="197"/>
  </r>
  <r>
    <x v="0"/>
    <x v="0"/>
    <d v="2017-03-07T00:00:00"/>
    <x v="0"/>
    <n v="50"/>
    <n v="125"/>
    <n v="114"/>
    <n v="142"/>
    <n v="174"/>
  </r>
  <r>
    <x v="0"/>
    <x v="0"/>
    <d v="2017-03-07T00:00:00"/>
    <x v="0"/>
    <n v="36"/>
    <n v="125"/>
    <n v="114"/>
    <n v="141"/>
    <n v="128"/>
  </r>
  <r>
    <x v="0"/>
    <x v="0"/>
    <d v="2017-03-07T00:00:00"/>
    <x v="2"/>
    <n v="53"/>
    <n v="170"/>
    <n v="123"/>
    <n v="140"/>
    <n v="195"/>
  </r>
  <r>
    <x v="0"/>
    <x v="0"/>
    <d v="2017-03-07T00:00:00"/>
    <x v="1"/>
    <n v="58"/>
    <n v="150"/>
    <n v="118"/>
    <n v="139"/>
    <n v="201"/>
  </r>
  <r>
    <x v="0"/>
    <x v="0"/>
    <d v="2017-03-07T00:00:00"/>
    <x v="0"/>
    <n v="61"/>
    <n v="125"/>
    <n v="114"/>
    <n v="137"/>
    <n v="283"/>
  </r>
  <r>
    <x v="0"/>
    <x v="0"/>
    <d v="2017-03-07T00:00:00"/>
    <x v="2"/>
    <n v="44"/>
    <n v="170"/>
    <n v="123"/>
    <n v="138"/>
    <n v="157"/>
  </r>
  <r>
    <x v="0"/>
    <x v="0"/>
    <d v="2017-03-08T00:00:00"/>
    <x v="2"/>
    <n v="39"/>
    <n v="170"/>
    <n v="123"/>
    <n v="149"/>
    <n v="138"/>
  </r>
  <r>
    <x v="0"/>
    <x v="0"/>
    <d v="2017-03-08T00:00:00"/>
    <x v="0"/>
    <n v="58"/>
    <n v="125"/>
    <n v="114"/>
    <n v="150"/>
    <n v="213"/>
  </r>
  <r>
    <x v="0"/>
    <x v="0"/>
    <d v="2017-03-08T00:00:00"/>
    <x v="0"/>
    <n v="42"/>
    <n v="125"/>
    <n v="114"/>
    <n v="148"/>
    <n v="148"/>
  </r>
  <r>
    <x v="0"/>
    <x v="0"/>
    <d v="2017-03-08T00:00:00"/>
    <x v="2"/>
    <n v="51"/>
    <n v="170"/>
    <n v="123"/>
    <n v="146"/>
    <n v="186"/>
  </r>
  <r>
    <x v="0"/>
    <x v="0"/>
    <d v="2017-03-08T00:00:00"/>
    <x v="0"/>
    <n v="47"/>
    <n v="125"/>
    <n v="114"/>
    <n v="147"/>
    <n v="173"/>
  </r>
  <r>
    <x v="0"/>
    <x v="0"/>
    <d v="2017-03-09T00:00:00"/>
    <x v="2"/>
    <n v="48"/>
    <n v="170"/>
    <n v="123"/>
    <n v="151"/>
    <n v="166"/>
  </r>
  <r>
    <x v="0"/>
    <x v="0"/>
    <d v="2017-03-09T00:00:00"/>
    <x v="0"/>
    <n v="40"/>
    <n v="125"/>
    <n v="114"/>
    <n v="152"/>
    <n v="187"/>
  </r>
  <r>
    <x v="0"/>
    <x v="0"/>
    <d v="2017-03-09T00:00:00"/>
    <x v="2"/>
    <n v="47"/>
    <n v="170"/>
    <n v="123"/>
    <n v="153"/>
    <n v="165"/>
  </r>
  <r>
    <x v="0"/>
    <x v="0"/>
    <d v="2017-03-09T00:00:00"/>
    <x v="2"/>
    <n v="55"/>
    <n v="170"/>
    <n v="123"/>
    <n v="154"/>
    <n v="199"/>
  </r>
  <r>
    <x v="0"/>
    <x v="0"/>
    <d v="2017-03-10T00:00:00"/>
    <x v="1"/>
    <n v="43"/>
    <n v="150"/>
    <n v="118"/>
    <n v="156"/>
    <n v="158"/>
  </r>
  <r>
    <x v="0"/>
    <x v="0"/>
    <d v="2017-03-10T00:00:00"/>
    <x v="2"/>
    <n v="44"/>
    <n v="170"/>
    <n v="123"/>
    <n v="162"/>
    <n v="158"/>
  </r>
  <r>
    <x v="0"/>
    <x v="0"/>
    <d v="2017-03-10T00:00:00"/>
    <x v="0"/>
    <n v="50"/>
    <n v="125"/>
    <n v="114"/>
    <n v="161"/>
    <n v="183"/>
  </r>
  <r>
    <x v="0"/>
    <x v="0"/>
    <d v="2017-03-10T00:00:00"/>
    <x v="0"/>
    <n v="61"/>
    <n v="125"/>
    <n v="114"/>
    <n v="160"/>
    <n v="212"/>
  </r>
  <r>
    <x v="0"/>
    <x v="0"/>
    <d v="2017-03-10T00:00:00"/>
    <x v="0"/>
    <n v="59"/>
    <n v="125"/>
    <n v="114"/>
    <n v="159"/>
    <n v="217"/>
  </r>
  <r>
    <x v="0"/>
    <x v="0"/>
    <d v="2017-03-10T00:00:00"/>
    <x v="1"/>
    <n v="61"/>
    <n v="150"/>
    <n v="118"/>
    <n v="157"/>
    <n v="287"/>
  </r>
  <r>
    <x v="0"/>
    <x v="0"/>
    <d v="2017-03-10T00:00:00"/>
    <x v="0"/>
    <n v="51"/>
    <n v="125"/>
    <n v="114"/>
    <n v="155"/>
    <n v="235"/>
  </r>
  <r>
    <x v="0"/>
    <x v="0"/>
    <d v="2017-03-10T00:00:00"/>
    <x v="0"/>
    <n v="56"/>
    <n v="125"/>
    <n v="114"/>
    <n v="158"/>
    <n v="193"/>
  </r>
  <r>
    <x v="0"/>
    <x v="0"/>
    <d v="2017-03-13T00:00:00"/>
    <x v="2"/>
    <n v="48"/>
    <n v="170"/>
    <n v="123"/>
    <n v="166"/>
    <n v="167"/>
  </r>
  <r>
    <x v="0"/>
    <x v="0"/>
    <d v="2017-03-13T00:00:00"/>
    <x v="2"/>
    <n v="38"/>
    <n v="170"/>
    <n v="123"/>
    <n v="167"/>
    <n v="139"/>
  </r>
  <r>
    <x v="0"/>
    <x v="0"/>
    <d v="2017-03-13T00:00:00"/>
    <x v="2"/>
    <n v="51"/>
    <n v="170"/>
    <n v="123"/>
    <n v="168"/>
    <n v="175"/>
  </r>
  <r>
    <x v="0"/>
    <x v="0"/>
    <d v="2017-03-13T00:00:00"/>
    <x v="0"/>
    <n v="51"/>
    <n v="125"/>
    <n v="114"/>
    <n v="163"/>
    <n v="239"/>
  </r>
  <r>
    <x v="0"/>
    <x v="0"/>
    <d v="2017-03-13T00:00:00"/>
    <x v="2"/>
    <n v="47"/>
    <n v="170"/>
    <n v="123"/>
    <n v="164"/>
    <n v="165"/>
  </r>
  <r>
    <x v="0"/>
    <x v="0"/>
    <d v="2017-03-13T00:00:00"/>
    <x v="2"/>
    <n v="44"/>
    <n v="170"/>
    <n v="123"/>
    <n v="169"/>
    <n v="160"/>
  </r>
  <r>
    <x v="0"/>
    <x v="0"/>
    <d v="2017-03-13T00:00:00"/>
    <x v="0"/>
    <n v="52"/>
    <n v="125"/>
    <n v="114"/>
    <n v="165"/>
    <n v="190"/>
  </r>
  <r>
    <x v="0"/>
    <x v="0"/>
    <d v="2017-03-14T00:00:00"/>
    <x v="1"/>
    <n v="44"/>
    <n v="150"/>
    <n v="118"/>
    <n v="170"/>
    <n v="205"/>
  </r>
  <r>
    <x v="0"/>
    <x v="0"/>
    <d v="2017-03-14T00:00:00"/>
    <x v="0"/>
    <n v="48"/>
    <n v="125"/>
    <n v="114"/>
    <n v="171"/>
    <n v="172"/>
  </r>
  <r>
    <x v="0"/>
    <x v="0"/>
    <d v="2017-03-15T00:00:00"/>
    <x v="1"/>
    <n v="66"/>
    <n v="150"/>
    <n v="118"/>
    <n v="176"/>
    <n v="234"/>
  </r>
  <r>
    <x v="0"/>
    <x v="0"/>
    <d v="2017-03-15T00:00:00"/>
    <x v="2"/>
    <n v="36"/>
    <n v="170"/>
    <n v="123"/>
    <n v="177"/>
    <n v="128"/>
  </r>
  <r>
    <x v="0"/>
    <x v="0"/>
    <d v="2017-03-15T00:00:00"/>
    <x v="1"/>
    <n v="58"/>
    <n v="150"/>
    <n v="118"/>
    <n v="175"/>
    <n v="204"/>
  </r>
  <r>
    <x v="0"/>
    <x v="0"/>
    <d v="2017-03-15T00:00:00"/>
    <x v="2"/>
    <n v="43"/>
    <n v="170"/>
    <n v="123"/>
    <n v="174"/>
    <n v="157"/>
  </r>
  <r>
    <x v="0"/>
    <x v="0"/>
    <d v="2017-03-15T00:00:00"/>
    <x v="1"/>
    <n v="55"/>
    <n v="150"/>
    <n v="118"/>
    <n v="173"/>
    <n v="188"/>
  </r>
  <r>
    <x v="0"/>
    <x v="0"/>
    <d v="2017-03-15T00:00:00"/>
    <x v="0"/>
    <n v="57"/>
    <n v="125"/>
    <n v="114"/>
    <n v="172"/>
    <n v="200"/>
  </r>
  <r>
    <x v="0"/>
    <x v="0"/>
    <d v="2017-03-15T00:00:00"/>
    <x v="1"/>
    <n v="41"/>
    <n v="150"/>
    <n v="118"/>
    <n v="178"/>
    <n v="148"/>
  </r>
  <r>
    <x v="0"/>
    <x v="0"/>
    <d v="2017-03-16T00:00:00"/>
    <x v="0"/>
    <n v="38"/>
    <n v="125"/>
    <n v="114"/>
    <n v="179"/>
    <n v="137"/>
  </r>
  <r>
    <x v="0"/>
    <x v="0"/>
    <d v="2017-03-16T00:00:00"/>
    <x v="2"/>
    <n v="52"/>
    <n v="170"/>
    <n v="123"/>
    <n v="180"/>
    <n v="190"/>
  </r>
  <r>
    <x v="0"/>
    <x v="0"/>
    <d v="2017-03-16T00:00:00"/>
    <x v="2"/>
    <n v="55"/>
    <n v="170"/>
    <n v="123"/>
    <n v="181"/>
    <n v="192"/>
  </r>
  <r>
    <x v="0"/>
    <x v="0"/>
    <d v="2017-03-16T00:00:00"/>
    <x v="2"/>
    <n v="50"/>
    <n v="170"/>
    <n v="123"/>
    <n v="182"/>
    <n v="172"/>
  </r>
  <r>
    <x v="0"/>
    <x v="0"/>
    <d v="2017-03-16T00:00:00"/>
    <x v="1"/>
    <n v="60"/>
    <n v="150"/>
    <n v="118"/>
    <n v="183"/>
    <n v="215"/>
  </r>
  <r>
    <x v="0"/>
    <x v="0"/>
    <d v="2017-03-16T00:00:00"/>
    <x v="1"/>
    <n v="51"/>
    <n v="150"/>
    <n v="118"/>
    <n v="184"/>
    <n v="183"/>
  </r>
  <r>
    <x v="0"/>
    <x v="0"/>
    <d v="2017-03-17T00:00:00"/>
    <x v="1"/>
    <n v="60"/>
    <n v="150"/>
    <n v="118"/>
    <n v="188"/>
    <n v="219"/>
  </r>
  <r>
    <x v="0"/>
    <x v="0"/>
    <d v="2017-03-17T00:00:00"/>
    <x v="0"/>
    <n v="49"/>
    <n v="125"/>
    <n v="114"/>
    <n v="190"/>
    <n v="225"/>
  </r>
  <r>
    <x v="0"/>
    <x v="0"/>
    <d v="2017-03-17T00:00:00"/>
    <x v="1"/>
    <n v="57"/>
    <n v="150"/>
    <n v="118"/>
    <n v="189"/>
    <n v="204"/>
  </r>
  <r>
    <x v="0"/>
    <x v="0"/>
    <d v="2017-03-17T00:00:00"/>
    <x v="1"/>
    <n v="53"/>
    <n v="150"/>
    <n v="118"/>
    <n v="185"/>
    <n v="193"/>
  </r>
  <r>
    <x v="0"/>
    <x v="0"/>
    <d v="2017-03-17T00:00:00"/>
    <x v="2"/>
    <n v="50"/>
    <n v="170"/>
    <n v="123"/>
    <n v="187"/>
    <n v="173"/>
  </r>
  <r>
    <x v="0"/>
    <x v="0"/>
    <d v="2017-03-17T00:00:00"/>
    <x v="0"/>
    <n v="39"/>
    <n v="125"/>
    <n v="114"/>
    <n v="186"/>
    <n v="136"/>
  </r>
  <r>
    <x v="0"/>
    <x v="0"/>
    <d v="2017-03-20T00:00:00"/>
    <x v="0"/>
    <n v="50"/>
    <n v="125"/>
    <n v="114"/>
    <n v="191"/>
    <n v="182"/>
  </r>
  <r>
    <x v="0"/>
    <x v="0"/>
    <d v="2017-03-20T00:00:00"/>
    <x v="2"/>
    <n v="32"/>
    <n v="170"/>
    <n v="123"/>
    <n v="192"/>
    <n v="117"/>
  </r>
  <r>
    <x v="0"/>
    <x v="0"/>
    <d v="2017-03-20T00:00:00"/>
    <x v="2"/>
    <n v="46"/>
    <n v="170"/>
    <n v="123"/>
    <n v="193"/>
    <n v="212"/>
  </r>
  <r>
    <x v="0"/>
    <x v="0"/>
    <d v="2017-03-21T00:00:00"/>
    <x v="0"/>
    <n v="38"/>
    <n v="125"/>
    <n v="114"/>
    <n v="194"/>
    <n v="175"/>
  </r>
  <r>
    <x v="0"/>
    <x v="0"/>
    <d v="2017-03-21T00:00:00"/>
    <x v="2"/>
    <n v="49"/>
    <n v="170"/>
    <n v="123"/>
    <n v="195"/>
    <n v="172"/>
  </r>
  <r>
    <x v="0"/>
    <x v="0"/>
    <d v="2017-03-22T00:00:00"/>
    <x v="0"/>
    <n v="39"/>
    <n v="125"/>
    <n v="114"/>
    <n v="196"/>
    <n v="139"/>
  </r>
  <r>
    <x v="0"/>
    <x v="0"/>
    <d v="2017-03-22T00:00:00"/>
    <x v="2"/>
    <n v="46"/>
    <n v="170"/>
    <n v="123"/>
    <n v="200"/>
    <n v="169"/>
  </r>
  <r>
    <x v="0"/>
    <x v="0"/>
    <d v="2017-03-22T00:00:00"/>
    <x v="1"/>
    <n v="65"/>
    <n v="150"/>
    <n v="118"/>
    <n v="199"/>
    <n v="231"/>
  </r>
  <r>
    <x v="0"/>
    <x v="0"/>
    <d v="2017-03-22T00:00:00"/>
    <x v="2"/>
    <n v="47"/>
    <n v="170"/>
    <n v="123"/>
    <n v="197"/>
    <n v="161"/>
  </r>
  <r>
    <x v="0"/>
    <x v="0"/>
    <d v="2017-03-22T00:00:00"/>
    <x v="0"/>
    <n v="60"/>
    <n v="125"/>
    <n v="114"/>
    <n v="198"/>
    <n v="277"/>
  </r>
  <r>
    <x v="0"/>
    <x v="0"/>
    <d v="2017-03-23T00:00:00"/>
    <x v="0"/>
    <n v="46"/>
    <n v="125"/>
    <n v="114"/>
    <n v="201"/>
    <n v="165"/>
  </r>
  <r>
    <x v="0"/>
    <x v="0"/>
    <d v="2017-03-23T00:00:00"/>
    <x v="1"/>
    <n v="53"/>
    <n v="150"/>
    <n v="118"/>
    <n v="202"/>
    <n v="246"/>
  </r>
  <r>
    <x v="0"/>
    <x v="0"/>
    <d v="2017-03-23T00:00:00"/>
    <x v="2"/>
    <n v="53"/>
    <n v="170"/>
    <n v="123"/>
    <n v="203"/>
    <n v="192"/>
  </r>
  <r>
    <x v="0"/>
    <x v="0"/>
    <d v="2017-03-24T00:00:00"/>
    <x v="1"/>
    <n v="50"/>
    <n v="150"/>
    <n v="118"/>
    <n v="204"/>
    <n v="172"/>
  </r>
  <r>
    <x v="0"/>
    <x v="0"/>
    <d v="2017-03-24T00:00:00"/>
    <x v="1"/>
    <n v="48"/>
    <n v="150"/>
    <n v="118"/>
    <n v="209"/>
    <n v="173"/>
  </r>
  <r>
    <x v="0"/>
    <x v="0"/>
    <d v="2017-03-24T00:00:00"/>
    <x v="1"/>
    <n v="59"/>
    <n v="150"/>
    <n v="118"/>
    <n v="208"/>
    <n v="215"/>
  </r>
  <r>
    <x v="0"/>
    <x v="0"/>
    <d v="2017-03-24T00:00:00"/>
    <x v="2"/>
    <n v="32"/>
    <n v="170"/>
    <n v="123"/>
    <n v="207"/>
    <n v="122"/>
  </r>
  <r>
    <x v="0"/>
    <x v="0"/>
    <d v="2017-03-24T00:00:00"/>
    <x v="1"/>
    <n v="63"/>
    <n v="150"/>
    <n v="118"/>
    <n v="205"/>
    <n v="218"/>
  </r>
  <r>
    <x v="0"/>
    <x v="0"/>
    <d v="2017-03-24T00:00:00"/>
    <x v="2"/>
    <n v="35"/>
    <n v="170"/>
    <n v="123"/>
    <n v="206"/>
    <n v="122"/>
  </r>
  <r>
    <x v="0"/>
    <x v="0"/>
    <d v="2017-03-27T00:00:00"/>
    <x v="1"/>
    <n v="63"/>
    <n v="150"/>
    <n v="118"/>
    <n v="210"/>
    <n v="226"/>
  </r>
  <r>
    <x v="0"/>
    <x v="0"/>
    <d v="2017-03-27T00:00:00"/>
    <x v="2"/>
    <n v="42"/>
    <n v="170"/>
    <n v="123"/>
    <n v="211"/>
    <n v="148"/>
  </r>
  <r>
    <x v="0"/>
    <x v="0"/>
    <d v="2017-03-27T00:00:00"/>
    <x v="2"/>
    <n v="52"/>
    <n v="170"/>
    <n v="123"/>
    <n v="212"/>
    <n v="191"/>
  </r>
  <r>
    <x v="0"/>
    <x v="0"/>
    <d v="2017-03-27T00:00:00"/>
    <x v="0"/>
    <n v="51"/>
    <n v="125"/>
    <n v="114"/>
    <n v="213"/>
    <n v="180"/>
  </r>
  <r>
    <x v="0"/>
    <x v="0"/>
    <d v="2017-03-27T00:00:00"/>
    <x v="1"/>
    <n v="58"/>
    <n v="150"/>
    <n v="118"/>
    <n v="214"/>
    <n v="210"/>
  </r>
  <r>
    <x v="0"/>
    <x v="0"/>
    <d v="2017-03-27T00:00:00"/>
    <x v="0"/>
    <n v="61"/>
    <n v="125"/>
    <n v="114"/>
    <n v="215"/>
    <n v="210"/>
  </r>
  <r>
    <x v="0"/>
    <x v="0"/>
    <d v="2017-03-27T00:00:00"/>
    <x v="1"/>
    <n v="53"/>
    <n v="150"/>
    <n v="118"/>
    <n v="216"/>
    <n v="186"/>
  </r>
  <r>
    <x v="0"/>
    <x v="0"/>
    <d v="2017-03-27T00:00:00"/>
    <x v="1"/>
    <n v="48"/>
    <n v="150"/>
    <n v="118"/>
    <n v="217"/>
    <n v="166"/>
  </r>
  <r>
    <x v="0"/>
    <x v="0"/>
    <d v="2017-03-27T00:00:00"/>
    <x v="1"/>
    <n v="43"/>
    <n v="150"/>
    <n v="118"/>
    <n v="218"/>
    <n v="158"/>
  </r>
  <r>
    <x v="0"/>
    <x v="0"/>
    <d v="2017-03-28T00:00:00"/>
    <x v="1"/>
    <n v="56"/>
    <n v="150"/>
    <n v="118"/>
    <n v="219"/>
    <n v="195"/>
  </r>
  <r>
    <x v="0"/>
    <x v="0"/>
    <d v="2017-03-28T00:00:00"/>
    <x v="2"/>
    <n v="45"/>
    <n v="170"/>
    <n v="123"/>
    <n v="223"/>
    <n v="158"/>
  </r>
  <r>
    <x v="0"/>
    <x v="0"/>
    <d v="2017-03-28T00:00:00"/>
    <x v="2"/>
    <n v="55"/>
    <n v="170"/>
    <n v="123"/>
    <n v="222"/>
    <n v="192"/>
  </r>
  <r>
    <x v="0"/>
    <x v="0"/>
    <d v="2017-03-28T00:00:00"/>
    <x v="1"/>
    <n v="53"/>
    <n v="150"/>
    <n v="118"/>
    <n v="221"/>
    <n v="188"/>
  </r>
  <r>
    <x v="0"/>
    <x v="0"/>
    <d v="2017-03-28T00:00:00"/>
    <x v="1"/>
    <n v="47"/>
    <n v="150"/>
    <n v="118"/>
    <n v="220"/>
    <n v="172"/>
  </r>
  <r>
    <x v="0"/>
    <x v="0"/>
    <d v="2017-03-29T00:00:00"/>
    <x v="2"/>
    <n v="41"/>
    <n v="170"/>
    <n v="123"/>
    <n v="230"/>
    <n v="144"/>
  </r>
  <r>
    <x v="0"/>
    <x v="0"/>
    <d v="2017-03-29T00:00:00"/>
    <x v="0"/>
    <n v="43"/>
    <n v="125"/>
    <n v="114"/>
    <n v="231"/>
    <n v="158"/>
  </r>
  <r>
    <x v="0"/>
    <x v="0"/>
    <d v="2017-03-29T00:00:00"/>
    <x v="0"/>
    <n v="42"/>
    <n v="125"/>
    <n v="114"/>
    <n v="229"/>
    <n v="153"/>
  </r>
  <r>
    <x v="0"/>
    <x v="0"/>
    <d v="2017-03-29T00:00:00"/>
    <x v="1"/>
    <n v="62"/>
    <n v="150"/>
    <n v="118"/>
    <n v="228"/>
    <n v="291"/>
  </r>
  <r>
    <x v="0"/>
    <x v="0"/>
    <d v="2017-03-29T00:00:00"/>
    <x v="0"/>
    <n v="36"/>
    <n v="125"/>
    <n v="114"/>
    <n v="227"/>
    <n v="128"/>
  </r>
  <r>
    <x v="0"/>
    <x v="0"/>
    <d v="2017-03-29T00:00:00"/>
    <x v="0"/>
    <n v="58"/>
    <n v="125"/>
    <n v="114"/>
    <n v="226"/>
    <n v="212"/>
  </r>
  <r>
    <x v="0"/>
    <x v="0"/>
    <d v="2017-03-29T00:00:00"/>
    <x v="1"/>
    <n v="43"/>
    <n v="150"/>
    <n v="118"/>
    <n v="225"/>
    <n v="151"/>
  </r>
  <r>
    <x v="0"/>
    <x v="0"/>
    <d v="2017-03-29T00:00:00"/>
    <x v="1"/>
    <n v="45"/>
    <n v="150"/>
    <n v="118"/>
    <n v="224"/>
    <n v="158"/>
  </r>
  <r>
    <x v="0"/>
    <x v="0"/>
    <d v="2017-03-29T00:00:00"/>
    <x v="2"/>
    <n v="33"/>
    <n v="170"/>
    <n v="123"/>
    <n v="232"/>
    <n v="114"/>
  </r>
  <r>
    <x v="0"/>
    <x v="0"/>
    <d v="2017-03-30T00:00:00"/>
    <x v="2"/>
    <n v="55"/>
    <n v="170"/>
    <n v="123"/>
    <n v="237"/>
    <n v="197"/>
  </r>
  <r>
    <x v="0"/>
    <x v="0"/>
    <d v="2017-03-30T00:00:00"/>
    <x v="2"/>
    <n v="42"/>
    <n v="170"/>
    <n v="123"/>
    <n v="233"/>
    <n v="152"/>
  </r>
  <r>
    <x v="0"/>
    <x v="0"/>
    <d v="2017-03-30T00:00:00"/>
    <x v="1"/>
    <n v="45"/>
    <n v="150"/>
    <n v="118"/>
    <n v="234"/>
    <n v="156"/>
  </r>
  <r>
    <x v="0"/>
    <x v="0"/>
    <d v="2017-03-30T00:00:00"/>
    <x v="1"/>
    <n v="44"/>
    <n v="150"/>
    <n v="118"/>
    <n v="235"/>
    <n v="158"/>
  </r>
  <r>
    <x v="0"/>
    <x v="0"/>
    <d v="2017-03-30T00:00:00"/>
    <x v="1"/>
    <n v="53"/>
    <n v="150"/>
    <n v="118"/>
    <n v="236"/>
    <n v="183"/>
  </r>
  <r>
    <x v="0"/>
    <x v="0"/>
    <d v="2017-03-31T00:00:00"/>
    <x v="2"/>
    <n v="36"/>
    <n v="170"/>
    <n v="123"/>
    <n v="241"/>
    <n v="130"/>
  </r>
  <r>
    <x v="0"/>
    <x v="0"/>
    <d v="2017-03-31T00:00:00"/>
    <x v="0"/>
    <n v="53"/>
    <n v="125"/>
    <n v="114"/>
    <n v="243"/>
    <n v="187"/>
  </r>
  <r>
    <x v="0"/>
    <x v="0"/>
    <d v="2017-03-31T00:00:00"/>
    <x v="2"/>
    <n v="33"/>
    <n v="170"/>
    <n v="123"/>
    <n v="242"/>
    <n v="118"/>
  </r>
  <r>
    <x v="0"/>
    <x v="0"/>
    <d v="2017-03-31T00:00:00"/>
    <x v="2"/>
    <n v="40"/>
    <n v="170"/>
    <n v="123"/>
    <n v="240"/>
    <n v="147"/>
  </r>
  <r>
    <x v="0"/>
    <x v="0"/>
    <d v="2017-03-31T00:00:00"/>
    <x v="2"/>
    <n v="43"/>
    <n v="170"/>
    <n v="123"/>
    <n v="238"/>
    <n v="153"/>
  </r>
  <r>
    <x v="0"/>
    <x v="0"/>
    <d v="2017-03-31T00:00:00"/>
    <x v="1"/>
    <n v="42"/>
    <n v="150"/>
    <n v="118"/>
    <n v="239"/>
    <n v="145"/>
  </r>
  <r>
    <x v="0"/>
    <x v="1"/>
    <d v="2017-04-03T00:00:00"/>
    <x v="2"/>
    <n v="35"/>
    <n v="170"/>
    <n v="123"/>
    <n v="244"/>
    <n v="162"/>
  </r>
  <r>
    <x v="0"/>
    <x v="1"/>
    <d v="2017-04-03T00:00:00"/>
    <x v="2"/>
    <n v="30"/>
    <n v="170"/>
    <n v="123"/>
    <n v="245"/>
    <n v="105"/>
  </r>
  <r>
    <x v="0"/>
    <x v="1"/>
    <d v="2017-04-03T00:00:00"/>
    <x v="0"/>
    <n v="59"/>
    <n v="125"/>
    <n v="114"/>
    <n v="246"/>
    <n v="215"/>
  </r>
  <r>
    <x v="0"/>
    <x v="1"/>
    <d v="2017-04-03T00:00:00"/>
    <x v="0"/>
    <n v="49"/>
    <n v="125"/>
    <n v="114"/>
    <n v="247"/>
    <n v="174"/>
  </r>
  <r>
    <x v="0"/>
    <x v="1"/>
    <d v="2017-04-03T00:00:00"/>
    <x v="0"/>
    <n v="57"/>
    <n v="125"/>
    <n v="114"/>
    <n v="248"/>
    <n v="200"/>
  </r>
  <r>
    <x v="0"/>
    <x v="1"/>
    <d v="2017-04-03T00:00:00"/>
    <x v="0"/>
    <n v="38"/>
    <n v="125"/>
    <n v="114"/>
    <n v="249"/>
    <n v="133"/>
  </r>
  <r>
    <x v="0"/>
    <x v="1"/>
    <d v="2017-04-04T00:00:00"/>
    <x v="2"/>
    <n v="49"/>
    <n v="170"/>
    <n v="123"/>
    <n v="254"/>
    <n v="227"/>
  </r>
  <r>
    <x v="0"/>
    <x v="1"/>
    <d v="2017-04-04T00:00:00"/>
    <x v="1"/>
    <n v="56"/>
    <n v="150"/>
    <n v="118"/>
    <n v="257"/>
    <n v="204"/>
  </r>
  <r>
    <x v="0"/>
    <x v="1"/>
    <d v="2017-04-04T00:00:00"/>
    <x v="1"/>
    <n v="46"/>
    <n v="150"/>
    <n v="118"/>
    <n v="256"/>
    <n v="166"/>
  </r>
  <r>
    <x v="0"/>
    <x v="1"/>
    <d v="2017-04-04T00:00:00"/>
    <x v="0"/>
    <n v="41"/>
    <n v="125"/>
    <n v="114"/>
    <n v="255"/>
    <n v="145"/>
  </r>
  <r>
    <x v="0"/>
    <x v="1"/>
    <d v="2017-04-04T00:00:00"/>
    <x v="2"/>
    <n v="53"/>
    <n v="170"/>
    <n v="123"/>
    <n v="252"/>
    <n v="183"/>
  </r>
  <r>
    <x v="0"/>
    <x v="1"/>
    <d v="2017-04-04T00:00:00"/>
    <x v="0"/>
    <n v="51"/>
    <n v="125"/>
    <n v="114"/>
    <n v="251"/>
    <n v="185"/>
  </r>
  <r>
    <x v="0"/>
    <x v="1"/>
    <d v="2017-04-04T00:00:00"/>
    <x v="1"/>
    <n v="47"/>
    <n v="150"/>
    <n v="118"/>
    <n v="250"/>
    <n v="161"/>
  </r>
  <r>
    <x v="0"/>
    <x v="1"/>
    <d v="2017-04-04T00:00:00"/>
    <x v="2"/>
    <n v="34"/>
    <n v="170"/>
    <n v="123"/>
    <n v="258"/>
    <n v="121"/>
  </r>
  <r>
    <x v="0"/>
    <x v="1"/>
    <d v="2017-04-04T00:00:00"/>
    <x v="1"/>
    <n v="60"/>
    <n v="150"/>
    <n v="118"/>
    <n v="253"/>
    <n v="218"/>
  </r>
  <r>
    <x v="0"/>
    <x v="1"/>
    <d v="2017-04-05T00:00:00"/>
    <x v="0"/>
    <n v="37"/>
    <n v="125"/>
    <n v="114"/>
    <n v="262"/>
    <n v="127"/>
  </r>
  <r>
    <x v="0"/>
    <x v="1"/>
    <d v="2017-04-05T00:00:00"/>
    <x v="2"/>
    <n v="56"/>
    <n v="170"/>
    <n v="123"/>
    <n v="259"/>
    <n v="198"/>
  </r>
  <r>
    <x v="0"/>
    <x v="1"/>
    <d v="2017-04-05T00:00:00"/>
    <x v="2"/>
    <n v="35"/>
    <n v="170"/>
    <n v="123"/>
    <n v="260"/>
    <n v="163"/>
  </r>
  <r>
    <x v="0"/>
    <x v="1"/>
    <d v="2017-04-05T00:00:00"/>
    <x v="2"/>
    <n v="41"/>
    <n v="170"/>
    <n v="123"/>
    <n v="261"/>
    <n v="147"/>
  </r>
  <r>
    <x v="0"/>
    <x v="1"/>
    <d v="2017-04-06T00:00:00"/>
    <x v="2"/>
    <n v="39"/>
    <n v="170"/>
    <n v="123"/>
    <n v="269"/>
    <n v="137"/>
  </r>
  <r>
    <x v="0"/>
    <x v="1"/>
    <d v="2017-04-06T00:00:00"/>
    <x v="1"/>
    <n v="61"/>
    <n v="150"/>
    <n v="118"/>
    <n v="268"/>
    <n v="216"/>
  </r>
  <r>
    <x v="0"/>
    <x v="1"/>
    <d v="2017-04-06T00:00:00"/>
    <x v="2"/>
    <n v="49"/>
    <n v="170"/>
    <n v="123"/>
    <n v="267"/>
    <n v="169"/>
  </r>
  <r>
    <x v="0"/>
    <x v="1"/>
    <d v="2017-04-06T00:00:00"/>
    <x v="1"/>
    <n v="51"/>
    <n v="150"/>
    <n v="118"/>
    <n v="266"/>
    <n v="187"/>
  </r>
  <r>
    <x v="0"/>
    <x v="1"/>
    <d v="2017-04-06T00:00:00"/>
    <x v="2"/>
    <n v="39"/>
    <n v="170"/>
    <n v="123"/>
    <n v="265"/>
    <n v="139"/>
  </r>
  <r>
    <x v="0"/>
    <x v="1"/>
    <d v="2017-04-06T00:00:00"/>
    <x v="2"/>
    <n v="31"/>
    <n v="170"/>
    <n v="123"/>
    <n v="263"/>
    <n v="111"/>
  </r>
  <r>
    <x v="0"/>
    <x v="1"/>
    <d v="2017-04-06T00:00:00"/>
    <x v="2"/>
    <n v="50"/>
    <n v="170"/>
    <n v="123"/>
    <n v="264"/>
    <n v="177"/>
  </r>
  <r>
    <x v="0"/>
    <x v="1"/>
    <d v="2017-04-07T00:00:00"/>
    <x v="0"/>
    <n v="42"/>
    <n v="125"/>
    <n v="114"/>
    <n v="272"/>
    <n v="154"/>
  </r>
  <r>
    <x v="0"/>
    <x v="1"/>
    <d v="2017-04-07T00:00:00"/>
    <x v="0"/>
    <n v="46"/>
    <n v="125"/>
    <n v="114"/>
    <n v="275"/>
    <n v="166"/>
  </r>
  <r>
    <x v="0"/>
    <x v="1"/>
    <d v="2017-04-07T00:00:00"/>
    <x v="2"/>
    <n v="49"/>
    <n v="170"/>
    <n v="123"/>
    <n v="273"/>
    <n v="176"/>
  </r>
  <r>
    <x v="0"/>
    <x v="1"/>
    <d v="2017-04-07T00:00:00"/>
    <x v="1"/>
    <n v="63"/>
    <n v="150"/>
    <n v="118"/>
    <n v="270"/>
    <n v="226"/>
  </r>
  <r>
    <x v="0"/>
    <x v="1"/>
    <d v="2017-04-07T00:00:00"/>
    <x v="0"/>
    <n v="52"/>
    <n v="125"/>
    <n v="114"/>
    <n v="274"/>
    <n v="192"/>
  </r>
  <r>
    <x v="0"/>
    <x v="1"/>
    <d v="2017-04-07T00:00:00"/>
    <x v="0"/>
    <n v="43"/>
    <n v="125"/>
    <n v="114"/>
    <n v="271"/>
    <n v="153"/>
  </r>
  <r>
    <x v="0"/>
    <x v="1"/>
    <d v="2017-04-10T00:00:00"/>
    <x v="0"/>
    <n v="41"/>
    <n v="125"/>
    <n v="114"/>
    <n v="276"/>
    <n v="141"/>
  </r>
  <r>
    <x v="0"/>
    <x v="1"/>
    <d v="2017-04-10T00:00:00"/>
    <x v="2"/>
    <n v="39"/>
    <n v="170"/>
    <n v="123"/>
    <n v="277"/>
    <n v="136"/>
  </r>
  <r>
    <x v="0"/>
    <x v="1"/>
    <d v="2017-04-11T00:00:00"/>
    <x v="2"/>
    <n v="46"/>
    <n v="170"/>
    <n v="123"/>
    <n v="281"/>
    <n v="159"/>
  </r>
  <r>
    <x v="0"/>
    <x v="1"/>
    <d v="2017-04-11T00:00:00"/>
    <x v="0"/>
    <n v="49"/>
    <n v="125"/>
    <n v="114"/>
    <n v="282"/>
    <n v="180"/>
  </r>
  <r>
    <x v="0"/>
    <x v="1"/>
    <d v="2017-04-11T00:00:00"/>
    <x v="0"/>
    <n v="61"/>
    <n v="125"/>
    <n v="114"/>
    <n v="280"/>
    <n v="221"/>
  </r>
  <r>
    <x v="0"/>
    <x v="1"/>
    <d v="2017-04-11T00:00:00"/>
    <x v="2"/>
    <n v="35"/>
    <n v="170"/>
    <n v="123"/>
    <n v="279"/>
    <n v="121"/>
  </r>
  <r>
    <x v="0"/>
    <x v="1"/>
    <d v="2017-04-11T00:00:00"/>
    <x v="1"/>
    <n v="40"/>
    <n v="150"/>
    <n v="118"/>
    <n v="278"/>
    <n v="147"/>
  </r>
  <r>
    <x v="0"/>
    <x v="1"/>
    <d v="2017-04-12T00:00:00"/>
    <x v="2"/>
    <n v="54"/>
    <n v="170"/>
    <n v="123"/>
    <n v="284"/>
    <n v="187"/>
  </r>
  <r>
    <x v="0"/>
    <x v="1"/>
    <d v="2017-04-12T00:00:00"/>
    <x v="1"/>
    <n v="63"/>
    <n v="150"/>
    <n v="118"/>
    <n v="283"/>
    <n v="226"/>
  </r>
  <r>
    <x v="0"/>
    <x v="1"/>
    <d v="2017-04-13T00:00:00"/>
    <x v="2"/>
    <n v="39"/>
    <n v="170"/>
    <n v="123"/>
    <n v="285"/>
    <n v="140"/>
  </r>
  <r>
    <x v="0"/>
    <x v="1"/>
    <d v="2017-04-13T00:00:00"/>
    <x v="1"/>
    <n v="58"/>
    <n v="150"/>
    <n v="118"/>
    <n v="286"/>
    <n v="204"/>
  </r>
  <r>
    <x v="0"/>
    <x v="1"/>
    <d v="2017-04-13T00:00:00"/>
    <x v="1"/>
    <n v="63"/>
    <n v="150"/>
    <n v="118"/>
    <n v="287"/>
    <n v="223"/>
  </r>
  <r>
    <x v="0"/>
    <x v="1"/>
    <d v="2017-04-13T00:00:00"/>
    <x v="0"/>
    <n v="51"/>
    <n v="125"/>
    <n v="114"/>
    <n v="288"/>
    <n v="179"/>
  </r>
  <r>
    <x v="0"/>
    <x v="1"/>
    <d v="2017-04-13T00:00:00"/>
    <x v="0"/>
    <n v="39"/>
    <n v="125"/>
    <n v="114"/>
    <n v="289"/>
    <n v="139"/>
  </r>
  <r>
    <x v="0"/>
    <x v="1"/>
    <d v="2017-04-14T00:00:00"/>
    <x v="2"/>
    <n v="52"/>
    <n v="170"/>
    <n v="123"/>
    <n v="294"/>
    <n v="192"/>
  </r>
  <r>
    <x v="0"/>
    <x v="1"/>
    <d v="2017-04-14T00:00:00"/>
    <x v="2"/>
    <n v="51"/>
    <n v="170"/>
    <n v="123"/>
    <n v="293"/>
    <n v="184"/>
  </r>
  <r>
    <x v="0"/>
    <x v="1"/>
    <d v="2017-04-14T00:00:00"/>
    <x v="1"/>
    <n v="66"/>
    <n v="150"/>
    <n v="118"/>
    <n v="290"/>
    <n v="233"/>
  </r>
  <r>
    <x v="0"/>
    <x v="1"/>
    <d v="2017-04-14T00:00:00"/>
    <x v="0"/>
    <n v="40"/>
    <n v="125"/>
    <n v="114"/>
    <n v="291"/>
    <n v="143"/>
  </r>
  <r>
    <x v="0"/>
    <x v="1"/>
    <d v="2017-04-14T00:00:00"/>
    <x v="2"/>
    <n v="38"/>
    <n v="170"/>
    <n v="123"/>
    <n v="292"/>
    <n v="140"/>
  </r>
  <r>
    <x v="0"/>
    <x v="1"/>
    <d v="2017-04-14T00:00:00"/>
    <x v="1"/>
    <n v="56"/>
    <n v="150"/>
    <n v="118"/>
    <n v="295"/>
    <n v="202"/>
  </r>
  <r>
    <x v="0"/>
    <x v="1"/>
    <d v="2017-04-17T00:00:00"/>
    <x v="1"/>
    <n v="47"/>
    <n v="150"/>
    <n v="118"/>
    <n v="301"/>
    <n v="172"/>
  </r>
  <r>
    <x v="0"/>
    <x v="1"/>
    <d v="2017-04-17T00:00:00"/>
    <x v="0"/>
    <n v="46"/>
    <n v="125"/>
    <n v="114"/>
    <n v="296"/>
    <n v="166"/>
  </r>
  <r>
    <x v="0"/>
    <x v="1"/>
    <d v="2017-04-17T00:00:00"/>
    <x v="1"/>
    <n v="48"/>
    <n v="150"/>
    <n v="118"/>
    <n v="297"/>
    <n v="168"/>
  </r>
  <r>
    <x v="0"/>
    <x v="1"/>
    <d v="2017-04-17T00:00:00"/>
    <x v="1"/>
    <n v="51"/>
    <n v="150"/>
    <n v="118"/>
    <n v="298"/>
    <n v="178"/>
  </r>
  <r>
    <x v="0"/>
    <x v="1"/>
    <d v="2017-04-17T00:00:00"/>
    <x v="1"/>
    <n v="41"/>
    <n v="150"/>
    <n v="118"/>
    <n v="299"/>
    <n v="147"/>
  </r>
  <r>
    <x v="0"/>
    <x v="1"/>
    <d v="2017-04-17T00:00:00"/>
    <x v="2"/>
    <n v="51"/>
    <n v="170"/>
    <n v="123"/>
    <n v="300"/>
    <n v="190"/>
  </r>
  <r>
    <x v="0"/>
    <x v="1"/>
    <d v="2017-04-18T00:00:00"/>
    <x v="1"/>
    <n v="64"/>
    <n v="150"/>
    <n v="118"/>
    <n v="308"/>
    <n v="246"/>
  </r>
  <r>
    <x v="0"/>
    <x v="1"/>
    <d v="2017-04-18T00:00:00"/>
    <x v="2"/>
    <n v="37"/>
    <n v="170"/>
    <n v="123"/>
    <n v="307"/>
    <n v="173"/>
  </r>
  <r>
    <x v="0"/>
    <x v="1"/>
    <d v="2017-04-18T00:00:00"/>
    <x v="2"/>
    <n v="30"/>
    <n v="170"/>
    <n v="123"/>
    <n v="306"/>
    <n v="103"/>
  </r>
  <r>
    <x v="0"/>
    <x v="1"/>
    <d v="2017-04-18T00:00:00"/>
    <x v="1"/>
    <n v="51"/>
    <n v="150"/>
    <n v="118"/>
    <n v="305"/>
    <n v="181"/>
  </r>
  <r>
    <x v="0"/>
    <x v="1"/>
    <d v="2017-04-18T00:00:00"/>
    <x v="0"/>
    <n v="49"/>
    <n v="125"/>
    <n v="114"/>
    <n v="304"/>
    <n v="175"/>
  </r>
  <r>
    <x v="0"/>
    <x v="1"/>
    <d v="2017-04-18T00:00:00"/>
    <x v="2"/>
    <n v="52"/>
    <n v="170"/>
    <n v="123"/>
    <n v="302"/>
    <n v="183"/>
  </r>
  <r>
    <x v="0"/>
    <x v="1"/>
    <d v="2017-04-18T00:00:00"/>
    <x v="2"/>
    <n v="47"/>
    <n v="170"/>
    <n v="123"/>
    <n v="303"/>
    <n v="172"/>
  </r>
  <r>
    <x v="0"/>
    <x v="1"/>
    <d v="2017-04-19T00:00:00"/>
    <x v="2"/>
    <n v="55"/>
    <n v="170"/>
    <n v="123"/>
    <n v="314"/>
    <n v="195"/>
  </r>
  <r>
    <x v="0"/>
    <x v="1"/>
    <d v="2017-04-19T00:00:00"/>
    <x v="1"/>
    <n v="66"/>
    <n v="150"/>
    <n v="118"/>
    <n v="311"/>
    <n v="236"/>
  </r>
  <r>
    <x v="0"/>
    <x v="1"/>
    <d v="2017-04-19T00:00:00"/>
    <x v="1"/>
    <n v="47"/>
    <n v="150"/>
    <n v="118"/>
    <n v="315"/>
    <n v="172"/>
  </r>
  <r>
    <x v="0"/>
    <x v="1"/>
    <d v="2017-04-19T00:00:00"/>
    <x v="2"/>
    <n v="39"/>
    <n v="170"/>
    <n v="123"/>
    <n v="309"/>
    <n v="140"/>
  </r>
  <r>
    <x v="0"/>
    <x v="1"/>
    <d v="2017-04-19T00:00:00"/>
    <x v="1"/>
    <n v="59"/>
    <n v="150"/>
    <n v="118"/>
    <n v="310"/>
    <n v="209"/>
  </r>
  <r>
    <x v="0"/>
    <x v="1"/>
    <d v="2017-04-19T00:00:00"/>
    <x v="0"/>
    <n v="56"/>
    <n v="125"/>
    <n v="114"/>
    <n v="312"/>
    <n v="193"/>
  </r>
  <r>
    <x v="0"/>
    <x v="1"/>
    <d v="2017-04-19T00:00:00"/>
    <x v="1"/>
    <n v="61"/>
    <n v="150"/>
    <n v="118"/>
    <n v="313"/>
    <n v="225"/>
  </r>
  <r>
    <x v="0"/>
    <x v="1"/>
    <d v="2017-04-20T00:00:00"/>
    <x v="2"/>
    <n v="31"/>
    <n v="170"/>
    <n v="123"/>
    <n v="321"/>
    <n v="112"/>
  </r>
  <r>
    <x v="0"/>
    <x v="1"/>
    <d v="2017-04-20T00:00:00"/>
    <x v="1"/>
    <n v="52"/>
    <n v="150"/>
    <n v="118"/>
    <n v="316"/>
    <n v="191"/>
  </r>
  <r>
    <x v="0"/>
    <x v="1"/>
    <d v="2017-04-20T00:00:00"/>
    <x v="1"/>
    <n v="41"/>
    <n v="150"/>
    <n v="118"/>
    <n v="317"/>
    <n v="151"/>
  </r>
  <r>
    <x v="0"/>
    <x v="1"/>
    <d v="2017-04-20T00:00:00"/>
    <x v="2"/>
    <n v="40"/>
    <n v="170"/>
    <n v="123"/>
    <n v="318"/>
    <n v="146"/>
  </r>
  <r>
    <x v="0"/>
    <x v="1"/>
    <d v="2017-04-20T00:00:00"/>
    <x v="0"/>
    <n v="48"/>
    <n v="125"/>
    <n v="114"/>
    <n v="319"/>
    <n v="170"/>
  </r>
  <r>
    <x v="0"/>
    <x v="1"/>
    <d v="2017-04-20T00:00:00"/>
    <x v="0"/>
    <n v="50"/>
    <n v="125"/>
    <n v="114"/>
    <n v="320"/>
    <n v="182"/>
  </r>
  <r>
    <x v="0"/>
    <x v="1"/>
    <d v="2017-04-21T00:00:00"/>
    <x v="1"/>
    <n v="58"/>
    <n v="150"/>
    <n v="118"/>
    <n v="328"/>
    <n v="220"/>
  </r>
  <r>
    <x v="0"/>
    <x v="1"/>
    <d v="2017-04-21T00:00:00"/>
    <x v="0"/>
    <n v="51"/>
    <n v="125"/>
    <n v="114"/>
    <n v="327"/>
    <n v="175"/>
  </r>
  <r>
    <x v="0"/>
    <x v="1"/>
    <d v="2017-04-21T00:00:00"/>
    <x v="1"/>
    <n v="64"/>
    <n v="150"/>
    <n v="118"/>
    <n v="326"/>
    <n v="231"/>
  </r>
  <r>
    <x v="0"/>
    <x v="1"/>
    <d v="2017-04-21T00:00:00"/>
    <x v="1"/>
    <n v="58"/>
    <n v="150"/>
    <n v="118"/>
    <n v="325"/>
    <n v="205"/>
  </r>
  <r>
    <x v="0"/>
    <x v="1"/>
    <d v="2017-04-21T00:00:00"/>
    <x v="0"/>
    <n v="53"/>
    <n v="125"/>
    <n v="114"/>
    <n v="324"/>
    <n v="191"/>
  </r>
  <r>
    <x v="0"/>
    <x v="1"/>
    <d v="2017-04-21T00:00:00"/>
    <x v="0"/>
    <n v="51"/>
    <n v="125"/>
    <n v="114"/>
    <n v="322"/>
    <n v="187"/>
  </r>
  <r>
    <x v="0"/>
    <x v="1"/>
    <d v="2017-04-21T00:00:00"/>
    <x v="2"/>
    <n v="44"/>
    <n v="170"/>
    <n v="123"/>
    <n v="329"/>
    <n v="151"/>
  </r>
  <r>
    <x v="0"/>
    <x v="1"/>
    <d v="2017-04-21T00:00:00"/>
    <x v="1"/>
    <n v="44"/>
    <n v="150"/>
    <n v="118"/>
    <n v="323"/>
    <n v="156"/>
  </r>
  <r>
    <x v="0"/>
    <x v="1"/>
    <d v="2017-04-24T00:00:00"/>
    <x v="0"/>
    <n v="57"/>
    <n v="125"/>
    <n v="114"/>
    <n v="335"/>
    <n v="203"/>
  </r>
  <r>
    <x v="0"/>
    <x v="1"/>
    <d v="2017-04-24T00:00:00"/>
    <x v="0"/>
    <n v="44"/>
    <n v="125"/>
    <n v="114"/>
    <n v="334"/>
    <n v="157"/>
  </r>
  <r>
    <x v="0"/>
    <x v="1"/>
    <d v="2017-04-24T00:00:00"/>
    <x v="2"/>
    <n v="55"/>
    <n v="170"/>
    <n v="123"/>
    <n v="333"/>
    <n v="195"/>
  </r>
  <r>
    <x v="0"/>
    <x v="1"/>
    <d v="2017-04-24T00:00:00"/>
    <x v="2"/>
    <n v="35"/>
    <n v="170"/>
    <n v="123"/>
    <n v="330"/>
    <n v="128"/>
  </r>
  <r>
    <x v="0"/>
    <x v="1"/>
    <d v="2017-04-24T00:00:00"/>
    <x v="2"/>
    <n v="53"/>
    <n v="170"/>
    <n v="123"/>
    <n v="332"/>
    <n v="191"/>
  </r>
  <r>
    <x v="0"/>
    <x v="1"/>
    <d v="2017-04-24T00:00:00"/>
    <x v="0"/>
    <n v="53"/>
    <n v="125"/>
    <n v="114"/>
    <n v="331"/>
    <n v="183"/>
  </r>
  <r>
    <x v="0"/>
    <x v="1"/>
    <d v="2017-04-25T00:00:00"/>
    <x v="1"/>
    <n v="66"/>
    <n v="150"/>
    <n v="118"/>
    <n v="336"/>
    <n v="309"/>
  </r>
  <r>
    <x v="0"/>
    <x v="1"/>
    <d v="2017-04-25T00:00:00"/>
    <x v="2"/>
    <n v="32"/>
    <n v="170"/>
    <n v="123"/>
    <n v="337"/>
    <n v="111"/>
  </r>
  <r>
    <x v="0"/>
    <x v="1"/>
    <d v="2017-04-25T00:00:00"/>
    <x v="1"/>
    <n v="47"/>
    <n v="150"/>
    <n v="118"/>
    <n v="338"/>
    <n v="169"/>
  </r>
  <r>
    <x v="0"/>
    <x v="1"/>
    <d v="2017-04-26T00:00:00"/>
    <x v="1"/>
    <n v="43"/>
    <n v="150"/>
    <n v="118"/>
    <n v="341"/>
    <n v="148"/>
  </r>
  <r>
    <x v="0"/>
    <x v="1"/>
    <d v="2017-04-26T00:00:00"/>
    <x v="1"/>
    <n v="50"/>
    <n v="150"/>
    <n v="118"/>
    <n v="342"/>
    <n v="175"/>
  </r>
  <r>
    <x v="0"/>
    <x v="1"/>
    <d v="2017-04-26T00:00:00"/>
    <x v="2"/>
    <n v="54"/>
    <n v="170"/>
    <n v="123"/>
    <n v="340"/>
    <n v="199"/>
  </r>
  <r>
    <x v="0"/>
    <x v="1"/>
    <d v="2017-04-26T00:00:00"/>
    <x v="1"/>
    <n v="64"/>
    <n v="150"/>
    <n v="118"/>
    <n v="339"/>
    <n v="231"/>
  </r>
  <r>
    <x v="0"/>
    <x v="1"/>
    <d v="2017-04-26T00:00:00"/>
    <x v="0"/>
    <n v="57"/>
    <n v="125"/>
    <n v="114"/>
    <n v="343"/>
    <n v="198"/>
  </r>
  <r>
    <x v="0"/>
    <x v="1"/>
    <d v="2017-04-27T00:00:00"/>
    <x v="1"/>
    <n v="65"/>
    <n v="150"/>
    <n v="118"/>
    <n v="344"/>
    <n v="234"/>
  </r>
  <r>
    <x v="0"/>
    <x v="1"/>
    <d v="2017-04-27T00:00:00"/>
    <x v="0"/>
    <n v="35"/>
    <n v="125"/>
    <n v="114"/>
    <n v="345"/>
    <n v="126"/>
  </r>
  <r>
    <x v="0"/>
    <x v="1"/>
    <d v="2017-04-27T00:00:00"/>
    <x v="0"/>
    <n v="60"/>
    <n v="125"/>
    <n v="114"/>
    <n v="346"/>
    <n v="211"/>
  </r>
  <r>
    <x v="0"/>
    <x v="1"/>
    <d v="2017-04-28T00:00:00"/>
    <x v="2"/>
    <n v="35"/>
    <n v="170"/>
    <n v="123"/>
    <n v="349"/>
    <n v="129"/>
  </r>
  <r>
    <x v="0"/>
    <x v="1"/>
    <d v="2017-04-28T00:00:00"/>
    <x v="2"/>
    <n v="44"/>
    <n v="170"/>
    <n v="123"/>
    <n v="354"/>
    <n v="160"/>
  </r>
  <r>
    <x v="0"/>
    <x v="1"/>
    <d v="2017-04-28T00:00:00"/>
    <x v="2"/>
    <n v="51"/>
    <n v="170"/>
    <n v="123"/>
    <n v="353"/>
    <n v="182"/>
  </r>
  <r>
    <x v="0"/>
    <x v="1"/>
    <d v="2017-04-28T00:00:00"/>
    <x v="2"/>
    <n v="43"/>
    <n v="170"/>
    <n v="123"/>
    <n v="355"/>
    <n v="156"/>
  </r>
  <r>
    <x v="0"/>
    <x v="1"/>
    <d v="2017-04-28T00:00:00"/>
    <x v="0"/>
    <n v="60"/>
    <n v="125"/>
    <n v="114"/>
    <n v="352"/>
    <n v="221"/>
  </r>
  <r>
    <x v="0"/>
    <x v="1"/>
    <d v="2017-04-28T00:00:00"/>
    <x v="0"/>
    <n v="38"/>
    <n v="125"/>
    <n v="114"/>
    <n v="348"/>
    <n v="131"/>
  </r>
  <r>
    <x v="0"/>
    <x v="1"/>
    <d v="2017-04-28T00:00:00"/>
    <x v="0"/>
    <n v="36"/>
    <n v="125"/>
    <n v="114"/>
    <n v="347"/>
    <n v="139"/>
  </r>
  <r>
    <x v="0"/>
    <x v="1"/>
    <d v="2017-04-28T00:00:00"/>
    <x v="0"/>
    <n v="54"/>
    <n v="125"/>
    <n v="114"/>
    <n v="351"/>
    <n v="190"/>
  </r>
  <r>
    <x v="0"/>
    <x v="1"/>
    <d v="2017-04-28T00:00:00"/>
    <x v="0"/>
    <n v="46"/>
    <n v="125"/>
    <n v="114"/>
    <n v="350"/>
    <n v="163"/>
  </r>
  <r>
    <x v="0"/>
    <x v="1"/>
    <d v="2017-05-01T00:00:00"/>
    <x v="0"/>
    <n v="39"/>
    <n v="125"/>
    <n v="114"/>
    <n v="356"/>
    <n v="136"/>
  </r>
  <r>
    <x v="0"/>
    <x v="1"/>
    <d v="2017-05-01T00:00:00"/>
    <x v="0"/>
    <n v="52"/>
    <n v="125"/>
    <n v="114"/>
    <n v="357"/>
    <n v="185"/>
  </r>
  <r>
    <x v="0"/>
    <x v="1"/>
    <d v="2017-05-02T00:00:00"/>
    <x v="1"/>
    <n v="52"/>
    <n v="150"/>
    <n v="118"/>
    <n v="359"/>
    <n v="180"/>
  </r>
  <r>
    <x v="0"/>
    <x v="1"/>
    <d v="2017-05-02T00:00:00"/>
    <x v="2"/>
    <n v="49"/>
    <n v="170"/>
    <n v="123"/>
    <n v="360"/>
    <n v="173"/>
  </r>
  <r>
    <x v="0"/>
    <x v="1"/>
    <d v="2017-05-02T00:00:00"/>
    <x v="0"/>
    <n v="61"/>
    <n v="125"/>
    <n v="114"/>
    <n v="358"/>
    <n v="210"/>
  </r>
  <r>
    <x v="0"/>
    <x v="1"/>
    <d v="2017-05-03T00:00:00"/>
    <x v="2"/>
    <n v="46"/>
    <n v="170"/>
    <n v="123"/>
    <n v="362"/>
    <n v="158"/>
  </r>
  <r>
    <x v="0"/>
    <x v="1"/>
    <d v="2017-05-03T00:00:00"/>
    <x v="2"/>
    <n v="36"/>
    <n v="170"/>
    <n v="123"/>
    <n v="363"/>
    <n v="169"/>
  </r>
  <r>
    <x v="0"/>
    <x v="1"/>
    <d v="2017-05-03T00:00:00"/>
    <x v="1"/>
    <n v="52"/>
    <n v="150"/>
    <n v="118"/>
    <n v="364"/>
    <n v="181"/>
  </r>
  <r>
    <x v="0"/>
    <x v="1"/>
    <d v="2017-05-03T00:00:00"/>
    <x v="2"/>
    <n v="49"/>
    <n v="170"/>
    <n v="123"/>
    <n v="361"/>
    <n v="172"/>
  </r>
  <r>
    <x v="0"/>
    <x v="1"/>
    <d v="2017-05-04T00:00:00"/>
    <x v="0"/>
    <n v="43"/>
    <n v="125"/>
    <n v="114"/>
    <n v="365"/>
    <n v="148"/>
  </r>
  <r>
    <x v="0"/>
    <x v="1"/>
    <d v="2017-05-04T00:00:00"/>
    <x v="0"/>
    <n v="35"/>
    <n v="125"/>
    <n v="114"/>
    <n v="369"/>
    <n v="121"/>
  </r>
  <r>
    <x v="0"/>
    <x v="1"/>
    <d v="2017-05-04T00:00:00"/>
    <x v="2"/>
    <n v="42"/>
    <n v="170"/>
    <n v="123"/>
    <n v="368"/>
    <n v="153"/>
  </r>
  <r>
    <x v="0"/>
    <x v="1"/>
    <d v="2017-05-04T00:00:00"/>
    <x v="0"/>
    <n v="50"/>
    <n v="125"/>
    <n v="114"/>
    <n v="367"/>
    <n v="234"/>
  </r>
  <r>
    <x v="0"/>
    <x v="1"/>
    <d v="2017-05-04T00:00:00"/>
    <x v="2"/>
    <n v="37"/>
    <n v="170"/>
    <n v="123"/>
    <n v="366"/>
    <n v="128"/>
  </r>
  <r>
    <x v="0"/>
    <x v="1"/>
    <d v="2017-05-05T00:00:00"/>
    <x v="0"/>
    <n v="55"/>
    <n v="125"/>
    <n v="114"/>
    <n v="376"/>
    <n v="196"/>
  </r>
  <r>
    <x v="0"/>
    <x v="1"/>
    <d v="2017-05-05T00:00:00"/>
    <x v="2"/>
    <n v="32"/>
    <n v="170"/>
    <n v="123"/>
    <n v="370"/>
    <n v="111"/>
  </r>
  <r>
    <x v="0"/>
    <x v="1"/>
    <d v="2017-05-05T00:00:00"/>
    <x v="1"/>
    <n v="63"/>
    <n v="150"/>
    <n v="118"/>
    <n v="371"/>
    <n v="229"/>
  </r>
  <r>
    <x v="0"/>
    <x v="1"/>
    <d v="2017-05-05T00:00:00"/>
    <x v="1"/>
    <n v="44"/>
    <n v="150"/>
    <n v="118"/>
    <n v="372"/>
    <n v="159"/>
  </r>
  <r>
    <x v="0"/>
    <x v="1"/>
    <d v="2017-05-05T00:00:00"/>
    <x v="1"/>
    <n v="46"/>
    <n v="150"/>
    <n v="118"/>
    <n v="373"/>
    <n v="156"/>
  </r>
  <r>
    <x v="0"/>
    <x v="1"/>
    <d v="2017-05-05T00:00:00"/>
    <x v="0"/>
    <n v="61"/>
    <n v="125"/>
    <n v="114"/>
    <n v="374"/>
    <n v="218"/>
  </r>
  <r>
    <x v="0"/>
    <x v="1"/>
    <d v="2017-05-05T00:00:00"/>
    <x v="1"/>
    <n v="62"/>
    <n v="150"/>
    <n v="118"/>
    <n v="375"/>
    <n v="220"/>
  </r>
  <r>
    <x v="0"/>
    <x v="1"/>
    <d v="2017-05-08T00:00:00"/>
    <x v="0"/>
    <n v="59"/>
    <n v="125"/>
    <n v="114"/>
    <n v="382"/>
    <n v="203"/>
  </r>
  <r>
    <x v="0"/>
    <x v="1"/>
    <d v="2017-05-08T00:00:00"/>
    <x v="0"/>
    <n v="57"/>
    <n v="125"/>
    <n v="114"/>
    <n v="381"/>
    <n v="210"/>
  </r>
  <r>
    <x v="0"/>
    <x v="1"/>
    <d v="2017-05-08T00:00:00"/>
    <x v="1"/>
    <n v="52"/>
    <n v="150"/>
    <n v="118"/>
    <n v="380"/>
    <n v="244"/>
  </r>
  <r>
    <x v="0"/>
    <x v="1"/>
    <d v="2017-05-08T00:00:00"/>
    <x v="2"/>
    <n v="56"/>
    <n v="170"/>
    <n v="123"/>
    <n v="379"/>
    <n v="192"/>
  </r>
  <r>
    <x v="0"/>
    <x v="1"/>
    <d v="2017-05-08T00:00:00"/>
    <x v="1"/>
    <n v="60"/>
    <n v="150"/>
    <n v="118"/>
    <n v="377"/>
    <n v="209"/>
  </r>
  <r>
    <x v="0"/>
    <x v="1"/>
    <d v="2017-05-08T00:00:00"/>
    <x v="0"/>
    <n v="47"/>
    <n v="125"/>
    <n v="114"/>
    <n v="378"/>
    <n v="168"/>
  </r>
  <r>
    <x v="0"/>
    <x v="1"/>
    <d v="2017-05-09T00:00:00"/>
    <x v="1"/>
    <n v="66"/>
    <n v="150"/>
    <n v="118"/>
    <n v="387"/>
    <n v="238"/>
  </r>
  <r>
    <x v="0"/>
    <x v="1"/>
    <d v="2017-05-09T00:00:00"/>
    <x v="2"/>
    <n v="37"/>
    <n v="170"/>
    <n v="123"/>
    <n v="383"/>
    <n v="131"/>
  </r>
  <r>
    <x v="0"/>
    <x v="1"/>
    <d v="2017-05-09T00:00:00"/>
    <x v="2"/>
    <n v="51"/>
    <n v="170"/>
    <n v="123"/>
    <n v="388"/>
    <n v="177"/>
  </r>
  <r>
    <x v="0"/>
    <x v="1"/>
    <d v="2017-05-09T00:00:00"/>
    <x v="1"/>
    <n v="41"/>
    <n v="150"/>
    <n v="118"/>
    <n v="386"/>
    <n v="158"/>
  </r>
  <r>
    <x v="0"/>
    <x v="1"/>
    <d v="2017-05-09T00:00:00"/>
    <x v="0"/>
    <n v="59"/>
    <n v="125"/>
    <n v="114"/>
    <n v="384"/>
    <n v="206"/>
  </r>
  <r>
    <x v="0"/>
    <x v="1"/>
    <d v="2017-05-09T00:00:00"/>
    <x v="2"/>
    <n v="40"/>
    <n v="170"/>
    <n v="123"/>
    <n v="385"/>
    <n v="139"/>
  </r>
  <r>
    <x v="0"/>
    <x v="1"/>
    <d v="2017-05-10T00:00:00"/>
    <x v="2"/>
    <n v="51"/>
    <n v="170"/>
    <n v="123"/>
    <n v="389"/>
    <n v="175"/>
  </r>
  <r>
    <x v="0"/>
    <x v="1"/>
    <d v="2017-05-10T00:00:00"/>
    <x v="2"/>
    <n v="51"/>
    <n v="170"/>
    <n v="123"/>
    <n v="390"/>
    <n v="184"/>
  </r>
  <r>
    <x v="0"/>
    <x v="1"/>
    <d v="2017-05-10T00:00:00"/>
    <x v="2"/>
    <n v="54"/>
    <n v="170"/>
    <n v="123"/>
    <n v="391"/>
    <n v="199"/>
  </r>
  <r>
    <x v="0"/>
    <x v="1"/>
    <d v="2017-05-11T00:00:00"/>
    <x v="2"/>
    <n v="49"/>
    <n v="170"/>
    <n v="123"/>
    <n v="392"/>
    <n v="176"/>
  </r>
  <r>
    <x v="0"/>
    <x v="1"/>
    <d v="2017-05-11T00:00:00"/>
    <x v="0"/>
    <n v="53"/>
    <n v="125"/>
    <n v="114"/>
    <n v="393"/>
    <n v="193"/>
  </r>
  <r>
    <x v="0"/>
    <x v="1"/>
    <d v="2017-05-11T00:00:00"/>
    <x v="0"/>
    <n v="57"/>
    <n v="125"/>
    <n v="114"/>
    <n v="394"/>
    <n v="264"/>
  </r>
  <r>
    <x v="0"/>
    <x v="1"/>
    <d v="2017-05-11T00:00:00"/>
    <x v="2"/>
    <n v="53"/>
    <n v="170"/>
    <n v="123"/>
    <n v="395"/>
    <n v="191"/>
  </r>
  <r>
    <x v="0"/>
    <x v="1"/>
    <d v="2017-05-11T00:00:00"/>
    <x v="0"/>
    <n v="50"/>
    <n v="125"/>
    <n v="114"/>
    <n v="396"/>
    <n v="174"/>
  </r>
  <r>
    <x v="0"/>
    <x v="1"/>
    <d v="2017-05-11T00:00:00"/>
    <x v="1"/>
    <n v="56"/>
    <n v="150"/>
    <n v="118"/>
    <n v="397"/>
    <n v="211"/>
  </r>
  <r>
    <x v="0"/>
    <x v="1"/>
    <d v="2017-05-12T00:00:00"/>
    <x v="2"/>
    <n v="43"/>
    <n v="170"/>
    <n v="123"/>
    <n v="402"/>
    <n v="156"/>
  </r>
  <r>
    <x v="0"/>
    <x v="1"/>
    <d v="2017-05-12T00:00:00"/>
    <x v="0"/>
    <n v="60"/>
    <n v="125"/>
    <n v="114"/>
    <n v="404"/>
    <n v="217"/>
  </r>
  <r>
    <x v="0"/>
    <x v="1"/>
    <d v="2017-05-12T00:00:00"/>
    <x v="0"/>
    <n v="45"/>
    <n v="125"/>
    <n v="114"/>
    <n v="403"/>
    <n v="164"/>
  </r>
  <r>
    <x v="0"/>
    <x v="1"/>
    <d v="2017-05-12T00:00:00"/>
    <x v="0"/>
    <n v="51"/>
    <n v="125"/>
    <n v="114"/>
    <n v="400"/>
    <n v="176"/>
  </r>
  <r>
    <x v="0"/>
    <x v="1"/>
    <d v="2017-05-12T00:00:00"/>
    <x v="0"/>
    <n v="60"/>
    <n v="125"/>
    <n v="114"/>
    <n v="399"/>
    <n v="217"/>
  </r>
  <r>
    <x v="0"/>
    <x v="1"/>
    <d v="2017-05-12T00:00:00"/>
    <x v="0"/>
    <n v="48"/>
    <n v="125"/>
    <n v="114"/>
    <n v="398"/>
    <n v="167"/>
  </r>
  <r>
    <x v="0"/>
    <x v="1"/>
    <d v="2017-05-12T00:00:00"/>
    <x v="0"/>
    <n v="49"/>
    <n v="125"/>
    <n v="114"/>
    <n v="401"/>
    <n v="178"/>
  </r>
  <r>
    <x v="0"/>
    <x v="1"/>
    <d v="2017-05-15T00:00:00"/>
    <x v="2"/>
    <n v="47"/>
    <n v="170"/>
    <n v="123"/>
    <n v="409"/>
    <n v="167"/>
  </r>
  <r>
    <x v="0"/>
    <x v="1"/>
    <d v="2017-05-15T00:00:00"/>
    <x v="1"/>
    <n v="56"/>
    <n v="150"/>
    <n v="118"/>
    <n v="405"/>
    <n v="203"/>
  </r>
  <r>
    <x v="0"/>
    <x v="1"/>
    <d v="2017-05-15T00:00:00"/>
    <x v="2"/>
    <n v="30"/>
    <n v="170"/>
    <n v="123"/>
    <n v="406"/>
    <n v="110"/>
  </r>
  <r>
    <x v="0"/>
    <x v="1"/>
    <d v="2017-05-15T00:00:00"/>
    <x v="2"/>
    <n v="47"/>
    <n v="170"/>
    <n v="123"/>
    <n v="407"/>
    <n v="163"/>
  </r>
  <r>
    <x v="0"/>
    <x v="1"/>
    <d v="2017-05-15T00:00:00"/>
    <x v="0"/>
    <n v="37"/>
    <n v="125"/>
    <n v="114"/>
    <n v="408"/>
    <n v="170"/>
  </r>
  <r>
    <x v="0"/>
    <x v="1"/>
    <d v="2017-05-16T00:00:00"/>
    <x v="0"/>
    <n v="46"/>
    <n v="125"/>
    <n v="114"/>
    <n v="415"/>
    <n v="169"/>
  </r>
  <r>
    <x v="0"/>
    <x v="1"/>
    <d v="2017-05-16T00:00:00"/>
    <x v="0"/>
    <n v="52"/>
    <n v="125"/>
    <n v="114"/>
    <n v="414"/>
    <n v="190"/>
  </r>
  <r>
    <x v="0"/>
    <x v="1"/>
    <d v="2017-05-16T00:00:00"/>
    <x v="1"/>
    <n v="64"/>
    <n v="150"/>
    <n v="118"/>
    <n v="413"/>
    <n v="300"/>
  </r>
  <r>
    <x v="0"/>
    <x v="1"/>
    <d v="2017-05-16T00:00:00"/>
    <x v="1"/>
    <n v="60"/>
    <n v="150"/>
    <n v="118"/>
    <n v="412"/>
    <n v="208"/>
  </r>
  <r>
    <x v="0"/>
    <x v="1"/>
    <d v="2017-05-16T00:00:00"/>
    <x v="2"/>
    <n v="46"/>
    <n v="170"/>
    <n v="123"/>
    <n v="410"/>
    <n v="166"/>
  </r>
  <r>
    <x v="0"/>
    <x v="1"/>
    <d v="2017-05-16T00:00:00"/>
    <x v="0"/>
    <n v="52"/>
    <n v="125"/>
    <n v="114"/>
    <n v="411"/>
    <n v="189"/>
  </r>
  <r>
    <x v="0"/>
    <x v="1"/>
    <d v="2017-05-17T00:00:00"/>
    <x v="1"/>
    <n v="55"/>
    <n v="150"/>
    <n v="118"/>
    <n v="419"/>
    <n v="195"/>
  </r>
  <r>
    <x v="0"/>
    <x v="1"/>
    <d v="2017-05-17T00:00:00"/>
    <x v="2"/>
    <n v="40"/>
    <n v="170"/>
    <n v="123"/>
    <n v="421"/>
    <n v="145"/>
  </r>
  <r>
    <x v="0"/>
    <x v="1"/>
    <d v="2017-05-17T00:00:00"/>
    <x v="2"/>
    <n v="34"/>
    <n v="170"/>
    <n v="123"/>
    <n v="420"/>
    <n v="125"/>
  </r>
  <r>
    <x v="0"/>
    <x v="1"/>
    <d v="2017-05-17T00:00:00"/>
    <x v="0"/>
    <n v="48"/>
    <n v="125"/>
    <n v="114"/>
    <n v="417"/>
    <n v="170"/>
  </r>
  <r>
    <x v="0"/>
    <x v="1"/>
    <d v="2017-05-17T00:00:00"/>
    <x v="0"/>
    <n v="53"/>
    <n v="125"/>
    <n v="114"/>
    <n v="416"/>
    <n v="186"/>
  </r>
  <r>
    <x v="0"/>
    <x v="1"/>
    <d v="2017-05-17T00:00:00"/>
    <x v="1"/>
    <n v="51"/>
    <n v="150"/>
    <n v="118"/>
    <n v="418"/>
    <n v="181"/>
  </r>
  <r>
    <x v="0"/>
    <x v="1"/>
    <d v="2017-05-18T00:00:00"/>
    <x v="0"/>
    <n v="45"/>
    <n v="125"/>
    <n v="114"/>
    <n v="429"/>
    <n v="162"/>
  </r>
  <r>
    <x v="0"/>
    <x v="1"/>
    <d v="2017-05-18T00:00:00"/>
    <x v="0"/>
    <n v="57"/>
    <n v="125"/>
    <n v="114"/>
    <n v="422"/>
    <n v="210"/>
  </r>
  <r>
    <x v="0"/>
    <x v="1"/>
    <d v="2017-05-18T00:00:00"/>
    <x v="1"/>
    <n v="43"/>
    <n v="150"/>
    <n v="118"/>
    <n v="430"/>
    <n v="153"/>
  </r>
  <r>
    <x v="0"/>
    <x v="1"/>
    <d v="2017-05-18T00:00:00"/>
    <x v="1"/>
    <n v="51"/>
    <n v="150"/>
    <n v="118"/>
    <n v="428"/>
    <n v="175"/>
  </r>
  <r>
    <x v="0"/>
    <x v="1"/>
    <d v="2017-05-18T00:00:00"/>
    <x v="0"/>
    <n v="51"/>
    <n v="125"/>
    <n v="114"/>
    <n v="427"/>
    <n v="179"/>
  </r>
  <r>
    <x v="0"/>
    <x v="1"/>
    <d v="2017-05-18T00:00:00"/>
    <x v="1"/>
    <n v="55"/>
    <n v="150"/>
    <n v="118"/>
    <n v="426"/>
    <n v="191"/>
  </r>
  <r>
    <x v="0"/>
    <x v="1"/>
    <d v="2017-05-18T00:00:00"/>
    <x v="2"/>
    <n v="53"/>
    <n v="170"/>
    <n v="123"/>
    <n v="425"/>
    <n v="184"/>
  </r>
  <r>
    <x v="0"/>
    <x v="1"/>
    <d v="2017-05-18T00:00:00"/>
    <x v="1"/>
    <n v="52"/>
    <n v="150"/>
    <n v="118"/>
    <n v="424"/>
    <n v="190"/>
  </r>
  <r>
    <x v="0"/>
    <x v="1"/>
    <d v="2017-05-18T00:00:00"/>
    <x v="0"/>
    <n v="35"/>
    <n v="125"/>
    <n v="114"/>
    <n v="423"/>
    <n v="131"/>
  </r>
  <r>
    <x v="0"/>
    <x v="1"/>
    <d v="2017-05-19T00:00:00"/>
    <x v="2"/>
    <n v="30"/>
    <n v="170"/>
    <n v="123"/>
    <n v="439"/>
    <n v="104"/>
  </r>
  <r>
    <x v="0"/>
    <x v="1"/>
    <d v="2017-05-19T00:00:00"/>
    <x v="1"/>
    <n v="57"/>
    <n v="150"/>
    <n v="118"/>
    <n v="432"/>
    <n v="210"/>
  </r>
  <r>
    <x v="0"/>
    <x v="1"/>
    <d v="2017-05-19T00:00:00"/>
    <x v="2"/>
    <n v="42"/>
    <n v="170"/>
    <n v="123"/>
    <n v="433"/>
    <n v="194"/>
  </r>
  <r>
    <x v="0"/>
    <x v="1"/>
    <d v="2017-05-19T00:00:00"/>
    <x v="2"/>
    <n v="38"/>
    <n v="170"/>
    <n v="123"/>
    <n v="434"/>
    <n v="139"/>
  </r>
  <r>
    <x v="0"/>
    <x v="1"/>
    <d v="2017-05-19T00:00:00"/>
    <x v="2"/>
    <n v="43"/>
    <n v="170"/>
    <n v="123"/>
    <n v="435"/>
    <n v="149"/>
  </r>
  <r>
    <x v="0"/>
    <x v="1"/>
    <d v="2017-05-19T00:00:00"/>
    <x v="2"/>
    <n v="50"/>
    <n v="170"/>
    <n v="123"/>
    <n v="436"/>
    <n v="182"/>
  </r>
  <r>
    <x v="0"/>
    <x v="1"/>
    <d v="2017-05-19T00:00:00"/>
    <x v="0"/>
    <n v="48"/>
    <n v="125"/>
    <n v="114"/>
    <n v="437"/>
    <n v="168"/>
  </r>
  <r>
    <x v="0"/>
    <x v="1"/>
    <d v="2017-05-19T00:00:00"/>
    <x v="2"/>
    <n v="56"/>
    <n v="170"/>
    <n v="123"/>
    <n v="438"/>
    <n v="204"/>
  </r>
  <r>
    <x v="0"/>
    <x v="1"/>
    <d v="2017-05-19T00:00:00"/>
    <x v="2"/>
    <n v="49"/>
    <n v="170"/>
    <n v="123"/>
    <n v="431"/>
    <n v="179"/>
  </r>
  <r>
    <x v="0"/>
    <x v="1"/>
    <d v="2017-05-22T00:00:00"/>
    <x v="0"/>
    <n v="60"/>
    <n v="125"/>
    <n v="114"/>
    <n v="442"/>
    <n v="210"/>
  </r>
  <r>
    <x v="0"/>
    <x v="1"/>
    <d v="2017-05-22T00:00:00"/>
    <x v="0"/>
    <n v="57"/>
    <n v="125"/>
    <n v="114"/>
    <n v="441"/>
    <n v="268"/>
  </r>
  <r>
    <x v="0"/>
    <x v="1"/>
    <d v="2017-05-22T00:00:00"/>
    <x v="2"/>
    <n v="30"/>
    <n v="170"/>
    <n v="123"/>
    <n v="440"/>
    <n v="104"/>
  </r>
  <r>
    <x v="0"/>
    <x v="1"/>
    <d v="2017-05-23T00:00:00"/>
    <x v="0"/>
    <n v="45"/>
    <n v="125"/>
    <n v="114"/>
    <n v="443"/>
    <n v="161"/>
  </r>
  <r>
    <x v="0"/>
    <x v="1"/>
    <d v="2017-05-23T00:00:00"/>
    <x v="1"/>
    <n v="46"/>
    <n v="150"/>
    <n v="118"/>
    <n v="444"/>
    <n v="212"/>
  </r>
  <r>
    <x v="0"/>
    <x v="1"/>
    <d v="2017-05-23T00:00:00"/>
    <x v="1"/>
    <n v="45"/>
    <n v="150"/>
    <n v="118"/>
    <n v="445"/>
    <n v="158"/>
  </r>
  <r>
    <x v="0"/>
    <x v="1"/>
    <d v="2017-05-23T00:00:00"/>
    <x v="2"/>
    <n v="48"/>
    <n v="170"/>
    <n v="123"/>
    <n v="446"/>
    <n v="165"/>
  </r>
  <r>
    <x v="0"/>
    <x v="1"/>
    <d v="2017-05-23T00:00:00"/>
    <x v="0"/>
    <n v="47"/>
    <n v="125"/>
    <n v="114"/>
    <n v="447"/>
    <n v="167"/>
  </r>
  <r>
    <x v="0"/>
    <x v="1"/>
    <d v="2017-05-23T00:00:00"/>
    <x v="0"/>
    <n v="40"/>
    <n v="125"/>
    <n v="114"/>
    <n v="448"/>
    <n v="145"/>
  </r>
  <r>
    <x v="0"/>
    <x v="1"/>
    <d v="2017-05-23T00:00:00"/>
    <x v="1"/>
    <n v="45"/>
    <n v="150"/>
    <n v="118"/>
    <n v="449"/>
    <n v="158"/>
  </r>
  <r>
    <x v="0"/>
    <x v="1"/>
    <d v="2017-05-24T00:00:00"/>
    <x v="0"/>
    <n v="51"/>
    <n v="125"/>
    <n v="114"/>
    <n v="450"/>
    <n v="236"/>
  </r>
  <r>
    <x v="0"/>
    <x v="1"/>
    <d v="2017-05-24T00:00:00"/>
    <x v="2"/>
    <n v="44"/>
    <n v="170"/>
    <n v="123"/>
    <n v="456"/>
    <n v="160"/>
  </r>
  <r>
    <x v="0"/>
    <x v="1"/>
    <d v="2017-05-24T00:00:00"/>
    <x v="0"/>
    <n v="55"/>
    <n v="125"/>
    <n v="114"/>
    <n v="455"/>
    <n v="191"/>
  </r>
  <r>
    <x v="0"/>
    <x v="1"/>
    <d v="2017-05-24T00:00:00"/>
    <x v="1"/>
    <n v="54"/>
    <n v="150"/>
    <n v="118"/>
    <n v="454"/>
    <n v="197"/>
  </r>
  <r>
    <x v="0"/>
    <x v="1"/>
    <d v="2017-05-24T00:00:00"/>
    <x v="2"/>
    <n v="50"/>
    <n v="170"/>
    <n v="123"/>
    <n v="453"/>
    <n v="232"/>
  </r>
  <r>
    <x v="0"/>
    <x v="1"/>
    <d v="2017-05-24T00:00:00"/>
    <x v="2"/>
    <n v="33"/>
    <n v="170"/>
    <n v="123"/>
    <n v="451"/>
    <n v="120"/>
  </r>
  <r>
    <x v="0"/>
    <x v="1"/>
    <d v="2017-05-24T00:00:00"/>
    <x v="2"/>
    <n v="50"/>
    <n v="170"/>
    <n v="123"/>
    <n v="452"/>
    <n v="183"/>
  </r>
  <r>
    <x v="0"/>
    <x v="1"/>
    <d v="2017-05-25T00:00:00"/>
    <x v="2"/>
    <n v="35"/>
    <n v="170"/>
    <n v="123"/>
    <n v="462"/>
    <n v="128"/>
  </r>
  <r>
    <x v="0"/>
    <x v="1"/>
    <d v="2017-05-25T00:00:00"/>
    <x v="0"/>
    <n v="46"/>
    <n v="125"/>
    <n v="114"/>
    <n v="457"/>
    <n v="169"/>
  </r>
  <r>
    <x v="0"/>
    <x v="1"/>
    <d v="2017-05-25T00:00:00"/>
    <x v="1"/>
    <n v="40"/>
    <n v="150"/>
    <n v="118"/>
    <n v="465"/>
    <n v="143"/>
  </r>
  <r>
    <x v="0"/>
    <x v="1"/>
    <d v="2017-05-25T00:00:00"/>
    <x v="2"/>
    <n v="38"/>
    <n v="170"/>
    <n v="123"/>
    <n v="464"/>
    <n v="145"/>
  </r>
  <r>
    <x v="0"/>
    <x v="1"/>
    <d v="2017-05-25T00:00:00"/>
    <x v="1"/>
    <n v="48"/>
    <n v="150"/>
    <n v="118"/>
    <n v="463"/>
    <n v="174"/>
  </r>
  <r>
    <x v="0"/>
    <x v="1"/>
    <d v="2017-05-25T00:00:00"/>
    <x v="1"/>
    <n v="63"/>
    <n v="150"/>
    <n v="118"/>
    <n v="461"/>
    <n v="214"/>
  </r>
  <r>
    <x v="0"/>
    <x v="1"/>
    <d v="2017-05-25T00:00:00"/>
    <x v="1"/>
    <n v="40"/>
    <n v="150"/>
    <n v="118"/>
    <n v="460"/>
    <n v="143"/>
  </r>
  <r>
    <x v="0"/>
    <x v="1"/>
    <d v="2017-05-25T00:00:00"/>
    <x v="0"/>
    <n v="37"/>
    <n v="125"/>
    <n v="114"/>
    <n v="458"/>
    <n v="135"/>
  </r>
  <r>
    <x v="0"/>
    <x v="1"/>
    <d v="2017-05-25T00:00:00"/>
    <x v="0"/>
    <n v="48"/>
    <n v="125"/>
    <n v="114"/>
    <n v="459"/>
    <n v="176"/>
  </r>
  <r>
    <x v="0"/>
    <x v="1"/>
    <d v="2017-05-26T00:00:00"/>
    <x v="1"/>
    <n v="52"/>
    <n v="150"/>
    <n v="118"/>
    <n v="466"/>
    <n v="244"/>
  </r>
  <r>
    <x v="0"/>
    <x v="1"/>
    <d v="2017-05-26T00:00:00"/>
    <x v="0"/>
    <n v="46"/>
    <n v="125"/>
    <n v="114"/>
    <n v="467"/>
    <n v="212"/>
  </r>
  <r>
    <x v="0"/>
    <x v="1"/>
    <d v="2017-05-26T00:00:00"/>
    <x v="2"/>
    <n v="43"/>
    <n v="170"/>
    <n v="123"/>
    <n v="468"/>
    <n v="155"/>
  </r>
  <r>
    <x v="0"/>
    <x v="1"/>
    <d v="2017-05-26T00:00:00"/>
    <x v="1"/>
    <n v="42"/>
    <n v="150"/>
    <n v="118"/>
    <n v="469"/>
    <n v="146"/>
  </r>
  <r>
    <x v="0"/>
    <x v="1"/>
    <d v="2017-05-26T00:00:00"/>
    <x v="2"/>
    <n v="55"/>
    <n v="170"/>
    <n v="123"/>
    <n v="470"/>
    <n v="203"/>
  </r>
  <r>
    <x v="0"/>
    <x v="1"/>
    <d v="2017-05-29T00:00:00"/>
    <x v="1"/>
    <n v="57"/>
    <n v="150"/>
    <n v="118"/>
    <n v="471"/>
    <n v="208"/>
  </r>
  <r>
    <x v="0"/>
    <x v="1"/>
    <d v="2017-05-29T00:00:00"/>
    <x v="0"/>
    <n v="39"/>
    <n v="125"/>
    <n v="114"/>
    <n v="472"/>
    <n v="150"/>
  </r>
  <r>
    <x v="0"/>
    <x v="1"/>
    <d v="2017-05-29T00:00:00"/>
    <x v="0"/>
    <n v="36"/>
    <n v="125"/>
    <n v="114"/>
    <n v="473"/>
    <n v="167"/>
  </r>
  <r>
    <x v="0"/>
    <x v="1"/>
    <d v="2017-05-30T00:00:00"/>
    <x v="0"/>
    <n v="38"/>
    <n v="125"/>
    <n v="114"/>
    <n v="477"/>
    <n v="137"/>
  </r>
  <r>
    <x v="0"/>
    <x v="1"/>
    <d v="2017-05-30T00:00:00"/>
    <x v="0"/>
    <n v="45"/>
    <n v="125"/>
    <n v="114"/>
    <n v="476"/>
    <n v="212"/>
  </r>
  <r>
    <x v="0"/>
    <x v="1"/>
    <d v="2017-05-30T00:00:00"/>
    <x v="1"/>
    <n v="64"/>
    <n v="150"/>
    <n v="118"/>
    <n v="475"/>
    <n v="233"/>
  </r>
  <r>
    <x v="0"/>
    <x v="1"/>
    <d v="2017-05-30T00:00:00"/>
    <x v="2"/>
    <n v="48"/>
    <n v="170"/>
    <n v="123"/>
    <n v="474"/>
    <n v="166"/>
  </r>
  <r>
    <x v="0"/>
    <x v="1"/>
    <d v="2017-05-31T00:00:00"/>
    <x v="1"/>
    <n v="66"/>
    <n v="150"/>
    <n v="118"/>
    <n v="479"/>
    <n v="227"/>
  </r>
  <r>
    <x v="0"/>
    <x v="1"/>
    <d v="2017-05-31T00:00:00"/>
    <x v="2"/>
    <n v="50"/>
    <n v="170"/>
    <n v="123"/>
    <n v="480"/>
    <n v="178"/>
  </r>
  <r>
    <x v="0"/>
    <x v="1"/>
    <d v="2017-05-31T00:00:00"/>
    <x v="0"/>
    <n v="36"/>
    <n v="125"/>
    <n v="114"/>
    <n v="481"/>
    <n v="169"/>
  </r>
  <r>
    <x v="0"/>
    <x v="1"/>
    <d v="2017-05-31T00:00:00"/>
    <x v="1"/>
    <n v="63"/>
    <n v="150"/>
    <n v="118"/>
    <n v="478"/>
    <n v="228"/>
  </r>
  <r>
    <x v="0"/>
    <x v="1"/>
    <d v="2017-06-01T00:00:00"/>
    <x v="1"/>
    <n v="60"/>
    <n v="150"/>
    <n v="118"/>
    <n v="483"/>
    <n v="215"/>
  </r>
  <r>
    <x v="0"/>
    <x v="1"/>
    <d v="2017-06-01T00:00:00"/>
    <x v="2"/>
    <n v="43"/>
    <n v="170"/>
    <n v="123"/>
    <n v="490"/>
    <n v="149"/>
  </r>
  <r>
    <x v="0"/>
    <x v="1"/>
    <d v="2017-06-01T00:00:00"/>
    <x v="1"/>
    <n v="52"/>
    <n v="150"/>
    <n v="118"/>
    <n v="489"/>
    <n v="192"/>
  </r>
  <r>
    <x v="0"/>
    <x v="1"/>
    <d v="2017-06-01T00:00:00"/>
    <x v="0"/>
    <n v="38"/>
    <n v="125"/>
    <n v="114"/>
    <n v="488"/>
    <n v="133"/>
  </r>
  <r>
    <x v="0"/>
    <x v="1"/>
    <d v="2017-06-01T00:00:00"/>
    <x v="0"/>
    <n v="36"/>
    <n v="125"/>
    <n v="114"/>
    <n v="487"/>
    <n v="128"/>
  </r>
  <r>
    <x v="0"/>
    <x v="1"/>
    <d v="2017-06-01T00:00:00"/>
    <x v="2"/>
    <n v="48"/>
    <n v="170"/>
    <n v="123"/>
    <n v="486"/>
    <n v="166"/>
  </r>
  <r>
    <x v="0"/>
    <x v="1"/>
    <d v="2017-06-01T00:00:00"/>
    <x v="0"/>
    <n v="60"/>
    <n v="125"/>
    <n v="114"/>
    <n v="484"/>
    <n v="208"/>
  </r>
  <r>
    <x v="0"/>
    <x v="1"/>
    <d v="2017-06-01T00:00:00"/>
    <x v="0"/>
    <n v="35"/>
    <n v="125"/>
    <n v="114"/>
    <n v="482"/>
    <n v="121"/>
  </r>
  <r>
    <x v="0"/>
    <x v="1"/>
    <d v="2017-06-01T00:00:00"/>
    <x v="2"/>
    <n v="56"/>
    <n v="170"/>
    <n v="123"/>
    <n v="485"/>
    <n v="197"/>
  </r>
  <r>
    <x v="0"/>
    <x v="1"/>
    <d v="2017-06-02T00:00:00"/>
    <x v="2"/>
    <n v="54"/>
    <n v="170"/>
    <n v="123"/>
    <n v="494"/>
    <n v="194"/>
  </r>
  <r>
    <x v="0"/>
    <x v="1"/>
    <d v="2017-06-02T00:00:00"/>
    <x v="0"/>
    <n v="57"/>
    <n v="125"/>
    <n v="114"/>
    <n v="493"/>
    <n v="199"/>
  </r>
  <r>
    <x v="0"/>
    <x v="1"/>
    <d v="2017-06-02T00:00:00"/>
    <x v="2"/>
    <n v="49"/>
    <n v="170"/>
    <n v="123"/>
    <n v="495"/>
    <n v="180"/>
  </r>
  <r>
    <x v="0"/>
    <x v="1"/>
    <d v="2017-06-02T00:00:00"/>
    <x v="0"/>
    <n v="61"/>
    <n v="125"/>
    <n v="114"/>
    <n v="491"/>
    <n v="215"/>
  </r>
  <r>
    <x v="0"/>
    <x v="1"/>
    <d v="2017-06-02T00:00:00"/>
    <x v="0"/>
    <n v="46"/>
    <n v="125"/>
    <n v="114"/>
    <n v="495"/>
    <n v="160"/>
  </r>
  <r>
    <x v="0"/>
    <x v="1"/>
    <d v="2017-06-05T00:00:00"/>
    <x v="2"/>
    <n v="52"/>
    <n v="170"/>
    <n v="123"/>
    <n v="496"/>
    <n v="243"/>
  </r>
  <r>
    <x v="0"/>
    <x v="1"/>
    <d v="2017-06-05T00:00:00"/>
    <x v="0"/>
    <n v="37"/>
    <n v="125"/>
    <n v="114"/>
    <n v="497"/>
    <n v="136"/>
  </r>
  <r>
    <x v="0"/>
    <x v="1"/>
    <d v="2017-06-06T00:00:00"/>
    <x v="1"/>
    <n v="49"/>
    <n v="150"/>
    <n v="118"/>
    <n v="498"/>
    <n v="173"/>
  </r>
  <r>
    <x v="0"/>
    <x v="1"/>
    <d v="2017-06-06T00:00:00"/>
    <x v="0"/>
    <n v="48"/>
    <n v="125"/>
    <n v="114"/>
    <n v="499"/>
    <n v="174"/>
  </r>
  <r>
    <x v="0"/>
    <x v="1"/>
    <d v="2017-06-06T00:00:00"/>
    <x v="2"/>
    <n v="48"/>
    <n v="170"/>
    <n v="123"/>
    <n v="500"/>
    <n v="177"/>
  </r>
  <r>
    <x v="0"/>
    <x v="1"/>
    <d v="2017-06-06T00:00:00"/>
    <x v="2"/>
    <n v="46"/>
    <n v="170"/>
    <n v="123"/>
    <n v="501"/>
    <n v="161"/>
  </r>
  <r>
    <x v="0"/>
    <x v="1"/>
    <d v="2017-06-07T00:00:00"/>
    <x v="1"/>
    <n v="45"/>
    <n v="150"/>
    <n v="118"/>
    <n v="502"/>
    <n v="158"/>
  </r>
  <r>
    <x v="0"/>
    <x v="1"/>
    <d v="2017-06-07T00:00:00"/>
    <x v="1"/>
    <n v="45"/>
    <n v="150"/>
    <n v="118"/>
    <n v="507"/>
    <n v="165"/>
  </r>
  <r>
    <x v="0"/>
    <x v="1"/>
    <d v="2017-06-07T00:00:00"/>
    <x v="1"/>
    <n v="44"/>
    <n v="150"/>
    <n v="118"/>
    <n v="506"/>
    <n v="155"/>
  </r>
  <r>
    <x v="0"/>
    <x v="1"/>
    <d v="2017-06-07T00:00:00"/>
    <x v="1"/>
    <n v="58"/>
    <n v="150"/>
    <n v="118"/>
    <n v="505"/>
    <n v="273"/>
  </r>
  <r>
    <x v="0"/>
    <x v="1"/>
    <d v="2017-06-07T00:00:00"/>
    <x v="2"/>
    <n v="46"/>
    <n v="170"/>
    <n v="123"/>
    <n v="503"/>
    <n v="162"/>
  </r>
  <r>
    <x v="0"/>
    <x v="1"/>
    <d v="2017-06-07T00:00:00"/>
    <x v="0"/>
    <n v="52"/>
    <n v="125"/>
    <n v="114"/>
    <n v="504"/>
    <n v="183"/>
  </r>
  <r>
    <x v="0"/>
    <x v="1"/>
    <d v="2017-06-08T00:00:00"/>
    <x v="0"/>
    <n v="39"/>
    <n v="125"/>
    <n v="114"/>
    <n v="508"/>
    <n v="139"/>
  </r>
  <r>
    <x v="0"/>
    <x v="1"/>
    <d v="2017-06-08T00:00:00"/>
    <x v="0"/>
    <n v="54"/>
    <n v="125"/>
    <n v="114"/>
    <n v="509"/>
    <n v="197"/>
  </r>
  <r>
    <x v="0"/>
    <x v="1"/>
    <d v="2017-06-09T00:00:00"/>
    <x v="0"/>
    <n v="44"/>
    <n v="125"/>
    <n v="114"/>
    <n v="513"/>
    <n v="160"/>
  </r>
  <r>
    <x v="0"/>
    <x v="1"/>
    <d v="2017-06-09T00:00:00"/>
    <x v="0"/>
    <n v="47"/>
    <n v="125"/>
    <n v="114"/>
    <n v="516"/>
    <n v="171"/>
  </r>
  <r>
    <x v="0"/>
    <x v="1"/>
    <d v="2017-06-09T00:00:00"/>
    <x v="1"/>
    <n v="58"/>
    <n v="150"/>
    <n v="118"/>
    <n v="514"/>
    <n v="271"/>
  </r>
  <r>
    <x v="0"/>
    <x v="1"/>
    <d v="2017-06-09T00:00:00"/>
    <x v="1"/>
    <n v="56"/>
    <n v="150"/>
    <n v="118"/>
    <n v="511"/>
    <n v="198"/>
  </r>
  <r>
    <x v="0"/>
    <x v="1"/>
    <d v="2017-06-09T00:00:00"/>
    <x v="1"/>
    <n v="44"/>
    <n v="150"/>
    <n v="118"/>
    <n v="510"/>
    <n v="156"/>
  </r>
  <r>
    <x v="0"/>
    <x v="1"/>
    <d v="2017-06-09T00:00:00"/>
    <x v="1"/>
    <n v="61"/>
    <n v="150"/>
    <n v="118"/>
    <n v="512"/>
    <n v="221"/>
  </r>
  <r>
    <x v="0"/>
    <x v="1"/>
    <d v="2017-06-09T00:00:00"/>
    <x v="1"/>
    <n v="53"/>
    <n v="150"/>
    <n v="118"/>
    <n v="515"/>
    <n v="184"/>
  </r>
  <r>
    <x v="0"/>
    <x v="1"/>
    <d v="2017-06-12T00:00:00"/>
    <x v="2"/>
    <n v="40"/>
    <n v="170"/>
    <n v="123"/>
    <n v="517"/>
    <n v="144"/>
  </r>
  <r>
    <x v="0"/>
    <x v="1"/>
    <d v="2017-06-12T00:00:00"/>
    <x v="1"/>
    <n v="42"/>
    <n v="150"/>
    <n v="118"/>
    <n v="518"/>
    <n v="148"/>
  </r>
  <r>
    <x v="0"/>
    <x v="1"/>
    <d v="2017-06-13T00:00:00"/>
    <x v="0"/>
    <n v="37"/>
    <n v="125"/>
    <n v="114"/>
    <n v="522"/>
    <n v="128"/>
  </r>
  <r>
    <x v="0"/>
    <x v="1"/>
    <d v="2017-06-13T00:00:00"/>
    <x v="0"/>
    <n v="40"/>
    <n v="125"/>
    <n v="114"/>
    <n v="527"/>
    <n v="138"/>
  </r>
  <r>
    <x v="0"/>
    <x v="1"/>
    <d v="2017-06-13T00:00:00"/>
    <x v="0"/>
    <n v="53"/>
    <n v="125"/>
    <n v="114"/>
    <n v="526"/>
    <n v="193"/>
  </r>
  <r>
    <x v="0"/>
    <x v="1"/>
    <d v="2017-06-13T00:00:00"/>
    <x v="2"/>
    <n v="52"/>
    <n v="170"/>
    <n v="123"/>
    <n v="525"/>
    <n v="179"/>
  </r>
  <r>
    <x v="0"/>
    <x v="1"/>
    <d v="2017-06-13T00:00:00"/>
    <x v="2"/>
    <n v="43"/>
    <n v="170"/>
    <n v="123"/>
    <n v="523"/>
    <n v="152"/>
  </r>
  <r>
    <x v="0"/>
    <x v="1"/>
    <d v="2017-06-13T00:00:00"/>
    <x v="2"/>
    <n v="44"/>
    <n v="170"/>
    <n v="123"/>
    <n v="521"/>
    <n v="161"/>
  </r>
  <r>
    <x v="0"/>
    <x v="1"/>
    <d v="2017-06-13T00:00:00"/>
    <x v="1"/>
    <n v="63"/>
    <n v="150"/>
    <n v="118"/>
    <n v="520"/>
    <n v="227"/>
  </r>
  <r>
    <x v="0"/>
    <x v="1"/>
    <d v="2017-06-13T00:00:00"/>
    <x v="0"/>
    <n v="51"/>
    <n v="125"/>
    <n v="114"/>
    <n v="519"/>
    <n v="184"/>
  </r>
  <r>
    <x v="0"/>
    <x v="1"/>
    <d v="2017-06-13T00:00:00"/>
    <x v="0"/>
    <n v="40"/>
    <n v="125"/>
    <n v="114"/>
    <n v="524"/>
    <n v="147"/>
  </r>
  <r>
    <x v="0"/>
    <x v="1"/>
    <d v="2017-06-14T00:00:00"/>
    <x v="0"/>
    <n v="49"/>
    <n v="125"/>
    <n v="114"/>
    <n v="528"/>
    <n v="176"/>
  </r>
  <r>
    <x v="0"/>
    <x v="1"/>
    <d v="2017-06-14T00:00:00"/>
    <x v="2"/>
    <n v="36"/>
    <n v="170"/>
    <n v="123"/>
    <n v="529"/>
    <n v="124"/>
  </r>
  <r>
    <x v="0"/>
    <x v="1"/>
    <d v="2017-06-15T00:00:00"/>
    <x v="0"/>
    <n v="48"/>
    <n v="125"/>
    <n v="114"/>
    <n v="531"/>
    <n v="178"/>
  </r>
  <r>
    <x v="0"/>
    <x v="1"/>
    <d v="2017-06-15T00:00:00"/>
    <x v="2"/>
    <n v="47"/>
    <n v="170"/>
    <n v="123"/>
    <n v="537"/>
    <n v="166"/>
  </r>
  <r>
    <x v="0"/>
    <x v="1"/>
    <d v="2017-06-15T00:00:00"/>
    <x v="0"/>
    <n v="55"/>
    <n v="125"/>
    <n v="114"/>
    <n v="536"/>
    <n v="193"/>
  </r>
  <r>
    <x v="0"/>
    <x v="1"/>
    <d v="2017-06-15T00:00:00"/>
    <x v="2"/>
    <n v="54"/>
    <n v="170"/>
    <n v="123"/>
    <n v="535"/>
    <n v="190"/>
  </r>
  <r>
    <x v="0"/>
    <x v="1"/>
    <d v="2017-06-15T00:00:00"/>
    <x v="1"/>
    <n v="65"/>
    <n v="150"/>
    <n v="118"/>
    <n v="532"/>
    <n v="235"/>
  </r>
  <r>
    <x v="0"/>
    <x v="1"/>
    <d v="2017-06-15T00:00:00"/>
    <x v="1"/>
    <n v="51"/>
    <n v="150"/>
    <n v="118"/>
    <n v="530"/>
    <n v="175"/>
  </r>
  <r>
    <x v="0"/>
    <x v="1"/>
    <d v="2017-06-15T00:00:00"/>
    <x v="0"/>
    <n v="53"/>
    <n v="125"/>
    <n v="114"/>
    <n v="534"/>
    <n v="193"/>
  </r>
  <r>
    <x v="0"/>
    <x v="1"/>
    <d v="2017-06-15T00:00:00"/>
    <x v="2"/>
    <n v="53"/>
    <n v="170"/>
    <n v="123"/>
    <n v="533"/>
    <n v="185"/>
  </r>
  <r>
    <x v="0"/>
    <x v="1"/>
    <d v="2017-06-16T00:00:00"/>
    <x v="1"/>
    <n v="55"/>
    <n v="150"/>
    <n v="118"/>
    <n v="538"/>
    <n v="206"/>
  </r>
  <r>
    <x v="0"/>
    <x v="1"/>
    <d v="2017-06-16T00:00:00"/>
    <x v="0"/>
    <n v="39"/>
    <n v="125"/>
    <n v="114"/>
    <n v="539"/>
    <n v="136"/>
  </r>
  <r>
    <x v="0"/>
    <x v="1"/>
    <d v="2017-06-16T00:00:00"/>
    <x v="0"/>
    <n v="53"/>
    <n v="125"/>
    <n v="114"/>
    <n v="540"/>
    <n v="191"/>
  </r>
  <r>
    <x v="0"/>
    <x v="1"/>
    <d v="2017-06-16T00:00:00"/>
    <x v="0"/>
    <n v="50"/>
    <n v="125"/>
    <n v="114"/>
    <n v="541"/>
    <n v="172"/>
  </r>
  <r>
    <x v="0"/>
    <x v="1"/>
    <d v="2017-06-19T00:00:00"/>
    <x v="0"/>
    <n v="35"/>
    <n v="125"/>
    <n v="114"/>
    <n v="542"/>
    <n v="129"/>
  </r>
  <r>
    <x v="0"/>
    <x v="1"/>
    <d v="2017-06-19T00:00:00"/>
    <x v="0"/>
    <n v="35"/>
    <n v="125"/>
    <n v="114"/>
    <n v="548"/>
    <n v="122"/>
  </r>
  <r>
    <x v="0"/>
    <x v="1"/>
    <d v="2017-06-19T00:00:00"/>
    <x v="2"/>
    <n v="32"/>
    <n v="170"/>
    <n v="123"/>
    <n v="547"/>
    <n v="113"/>
  </r>
  <r>
    <x v="0"/>
    <x v="1"/>
    <d v="2017-06-19T00:00:00"/>
    <x v="0"/>
    <n v="48"/>
    <n v="125"/>
    <n v="114"/>
    <n v="546"/>
    <n v="170"/>
  </r>
  <r>
    <x v="0"/>
    <x v="1"/>
    <d v="2017-06-19T00:00:00"/>
    <x v="1"/>
    <n v="46"/>
    <n v="150"/>
    <n v="118"/>
    <n v="545"/>
    <n v="161"/>
  </r>
  <r>
    <x v="0"/>
    <x v="1"/>
    <d v="2017-06-19T00:00:00"/>
    <x v="1"/>
    <n v="49"/>
    <n v="150"/>
    <n v="118"/>
    <n v="543"/>
    <n v="175"/>
  </r>
  <r>
    <x v="0"/>
    <x v="1"/>
    <d v="2017-06-19T00:00:00"/>
    <x v="0"/>
    <n v="46"/>
    <n v="125"/>
    <n v="114"/>
    <n v="544"/>
    <n v="167"/>
  </r>
  <r>
    <x v="0"/>
    <x v="1"/>
    <d v="2017-06-20T00:00:00"/>
    <x v="1"/>
    <n v="40"/>
    <n v="150"/>
    <n v="118"/>
    <n v="549"/>
    <n v="147"/>
  </r>
  <r>
    <x v="0"/>
    <x v="1"/>
    <d v="2017-06-20T00:00:00"/>
    <x v="0"/>
    <n v="39"/>
    <n v="125"/>
    <n v="114"/>
    <n v="554"/>
    <n v="182"/>
  </r>
  <r>
    <x v="0"/>
    <x v="1"/>
    <d v="2017-06-20T00:00:00"/>
    <x v="2"/>
    <n v="54"/>
    <n v="170"/>
    <n v="123"/>
    <n v="553"/>
    <n v="194"/>
  </r>
  <r>
    <x v="0"/>
    <x v="1"/>
    <d v="2017-06-20T00:00:00"/>
    <x v="0"/>
    <n v="40"/>
    <n v="125"/>
    <n v="114"/>
    <n v="550"/>
    <n v="141"/>
  </r>
  <r>
    <x v="0"/>
    <x v="1"/>
    <d v="2017-06-20T00:00:00"/>
    <x v="0"/>
    <n v="54"/>
    <n v="125"/>
    <n v="114"/>
    <n v="551"/>
    <n v="190"/>
  </r>
  <r>
    <x v="0"/>
    <x v="1"/>
    <d v="2017-06-20T00:00:00"/>
    <x v="0"/>
    <n v="60"/>
    <n v="125"/>
    <n v="114"/>
    <n v="552"/>
    <n v="221"/>
  </r>
  <r>
    <x v="0"/>
    <x v="1"/>
    <d v="2017-06-21T00:00:00"/>
    <x v="0"/>
    <n v="47"/>
    <n v="125"/>
    <n v="114"/>
    <n v="562"/>
    <n v="170"/>
  </r>
  <r>
    <x v="0"/>
    <x v="1"/>
    <d v="2017-06-21T00:00:00"/>
    <x v="1"/>
    <n v="54"/>
    <n v="150"/>
    <n v="118"/>
    <n v="563"/>
    <n v="194"/>
  </r>
  <r>
    <x v="0"/>
    <x v="1"/>
    <d v="2017-06-21T00:00:00"/>
    <x v="0"/>
    <n v="40"/>
    <n v="125"/>
    <n v="114"/>
    <n v="561"/>
    <n v="142"/>
  </r>
  <r>
    <x v="0"/>
    <x v="1"/>
    <d v="2017-06-21T00:00:00"/>
    <x v="0"/>
    <n v="40"/>
    <n v="125"/>
    <n v="114"/>
    <n v="560"/>
    <n v="140"/>
  </r>
  <r>
    <x v="0"/>
    <x v="1"/>
    <d v="2017-06-21T00:00:00"/>
    <x v="1"/>
    <n v="44"/>
    <n v="150"/>
    <n v="118"/>
    <n v="559"/>
    <n v="161"/>
  </r>
  <r>
    <x v="0"/>
    <x v="1"/>
    <d v="2017-06-21T00:00:00"/>
    <x v="0"/>
    <n v="49"/>
    <n v="125"/>
    <n v="114"/>
    <n v="558"/>
    <n v="171"/>
  </r>
  <r>
    <x v="0"/>
    <x v="1"/>
    <d v="2017-06-21T00:00:00"/>
    <x v="0"/>
    <n v="41"/>
    <n v="125"/>
    <n v="114"/>
    <n v="557"/>
    <n v="147"/>
  </r>
  <r>
    <x v="0"/>
    <x v="1"/>
    <d v="2017-06-21T00:00:00"/>
    <x v="0"/>
    <n v="58"/>
    <n v="125"/>
    <n v="114"/>
    <n v="556"/>
    <n v="210"/>
  </r>
  <r>
    <x v="0"/>
    <x v="1"/>
    <d v="2017-06-21T00:00:00"/>
    <x v="0"/>
    <n v="58"/>
    <n v="125"/>
    <n v="114"/>
    <n v="555"/>
    <n v="267"/>
  </r>
  <r>
    <x v="0"/>
    <x v="1"/>
    <d v="2017-06-22T00:00:00"/>
    <x v="2"/>
    <n v="46"/>
    <n v="170"/>
    <n v="123"/>
    <n v="565"/>
    <n v="169"/>
  </r>
  <r>
    <x v="0"/>
    <x v="1"/>
    <d v="2017-06-22T00:00:00"/>
    <x v="1"/>
    <n v="53"/>
    <n v="150"/>
    <n v="118"/>
    <n v="566"/>
    <n v="183"/>
  </r>
  <r>
    <x v="0"/>
    <x v="1"/>
    <d v="2017-06-22T00:00:00"/>
    <x v="1"/>
    <n v="42"/>
    <n v="150"/>
    <n v="118"/>
    <n v="567"/>
    <n v="193"/>
  </r>
  <r>
    <x v="0"/>
    <x v="1"/>
    <d v="2017-06-22T00:00:00"/>
    <x v="1"/>
    <n v="60"/>
    <n v="150"/>
    <n v="118"/>
    <n v="568"/>
    <n v="213"/>
  </r>
  <r>
    <x v="0"/>
    <x v="1"/>
    <d v="2017-06-22T00:00:00"/>
    <x v="0"/>
    <n v="46"/>
    <n v="125"/>
    <n v="114"/>
    <n v="564"/>
    <n v="160"/>
  </r>
  <r>
    <x v="0"/>
    <x v="1"/>
    <d v="2017-06-23T00:00:00"/>
    <x v="0"/>
    <n v="61"/>
    <n v="125"/>
    <n v="114"/>
    <n v="569"/>
    <n v="281"/>
  </r>
  <r>
    <x v="0"/>
    <x v="1"/>
    <d v="2017-06-23T00:00:00"/>
    <x v="2"/>
    <n v="40"/>
    <n v="170"/>
    <n v="123"/>
    <n v="574"/>
    <n v="143"/>
  </r>
  <r>
    <x v="0"/>
    <x v="1"/>
    <d v="2017-06-23T00:00:00"/>
    <x v="1"/>
    <n v="65"/>
    <n v="150"/>
    <n v="118"/>
    <n v="576"/>
    <n v="246"/>
  </r>
  <r>
    <x v="0"/>
    <x v="1"/>
    <d v="2017-06-23T00:00:00"/>
    <x v="2"/>
    <n v="32"/>
    <n v="170"/>
    <n v="123"/>
    <n v="577"/>
    <n v="117"/>
  </r>
  <r>
    <x v="0"/>
    <x v="1"/>
    <d v="2017-06-23T00:00:00"/>
    <x v="0"/>
    <n v="61"/>
    <n v="125"/>
    <n v="114"/>
    <n v="575"/>
    <n v="219"/>
  </r>
  <r>
    <x v="0"/>
    <x v="1"/>
    <d v="2017-06-23T00:00:00"/>
    <x v="0"/>
    <n v="45"/>
    <n v="125"/>
    <n v="114"/>
    <n v="573"/>
    <n v="164"/>
  </r>
  <r>
    <x v="0"/>
    <x v="1"/>
    <d v="2017-06-23T00:00:00"/>
    <x v="1"/>
    <n v="51"/>
    <n v="150"/>
    <n v="118"/>
    <n v="572"/>
    <n v="185"/>
  </r>
  <r>
    <x v="0"/>
    <x v="1"/>
    <d v="2017-06-23T00:00:00"/>
    <x v="1"/>
    <n v="65"/>
    <n v="150"/>
    <n v="118"/>
    <n v="570"/>
    <n v="229"/>
  </r>
  <r>
    <x v="0"/>
    <x v="1"/>
    <d v="2017-06-23T00:00:00"/>
    <x v="2"/>
    <n v="38"/>
    <n v="170"/>
    <n v="123"/>
    <n v="571"/>
    <n v="136"/>
  </r>
  <r>
    <x v="0"/>
    <x v="1"/>
    <d v="2017-06-26T00:00:00"/>
    <x v="2"/>
    <n v="39"/>
    <n v="170"/>
    <n v="123"/>
    <n v="578"/>
    <n v="134"/>
  </r>
  <r>
    <x v="0"/>
    <x v="1"/>
    <d v="2017-06-26T00:00:00"/>
    <x v="0"/>
    <n v="41"/>
    <n v="125"/>
    <n v="114"/>
    <n v="579"/>
    <n v="150"/>
  </r>
  <r>
    <x v="0"/>
    <x v="1"/>
    <d v="2017-06-26T00:00:00"/>
    <x v="0"/>
    <n v="41"/>
    <n v="125"/>
    <n v="114"/>
    <n v="580"/>
    <n v="144"/>
  </r>
  <r>
    <x v="0"/>
    <x v="1"/>
    <d v="2017-06-26T00:00:00"/>
    <x v="1"/>
    <n v="47"/>
    <n v="150"/>
    <n v="118"/>
    <n v="581"/>
    <n v="166"/>
  </r>
  <r>
    <x v="0"/>
    <x v="1"/>
    <d v="2017-06-26T00:00:00"/>
    <x v="0"/>
    <n v="40"/>
    <n v="125"/>
    <n v="114"/>
    <n v="582"/>
    <n v="147"/>
  </r>
  <r>
    <x v="0"/>
    <x v="1"/>
    <d v="2017-06-26T00:00:00"/>
    <x v="0"/>
    <n v="58"/>
    <n v="125"/>
    <n v="114"/>
    <n v="583"/>
    <n v="205"/>
  </r>
  <r>
    <x v="0"/>
    <x v="1"/>
    <d v="2017-06-27T00:00:00"/>
    <x v="0"/>
    <n v="36"/>
    <n v="125"/>
    <n v="114"/>
    <n v="588"/>
    <n v="169"/>
  </r>
  <r>
    <x v="0"/>
    <x v="1"/>
    <d v="2017-06-27T00:00:00"/>
    <x v="0"/>
    <n v="55"/>
    <n v="125"/>
    <n v="114"/>
    <n v="584"/>
    <n v="192"/>
  </r>
  <r>
    <x v="0"/>
    <x v="1"/>
    <d v="2017-06-27T00:00:00"/>
    <x v="1"/>
    <n v="52"/>
    <n v="150"/>
    <n v="118"/>
    <n v="590"/>
    <n v="182"/>
  </r>
  <r>
    <x v="0"/>
    <x v="1"/>
    <d v="2017-06-27T00:00:00"/>
    <x v="0"/>
    <n v="56"/>
    <n v="125"/>
    <n v="114"/>
    <n v="589"/>
    <n v="204"/>
  </r>
  <r>
    <x v="0"/>
    <x v="1"/>
    <d v="2017-06-27T00:00:00"/>
    <x v="0"/>
    <n v="35"/>
    <n v="125"/>
    <n v="114"/>
    <n v="587"/>
    <n v="161"/>
  </r>
  <r>
    <x v="0"/>
    <x v="1"/>
    <d v="2017-06-27T00:00:00"/>
    <x v="1"/>
    <n v="44"/>
    <n v="150"/>
    <n v="118"/>
    <n v="585"/>
    <n v="162"/>
  </r>
  <r>
    <x v="0"/>
    <x v="1"/>
    <d v="2017-06-27T00:00:00"/>
    <x v="0"/>
    <n v="59"/>
    <n v="125"/>
    <n v="114"/>
    <n v="586"/>
    <n v="216"/>
  </r>
  <r>
    <x v="0"/>
    <x v="1"/>
    <d v="2017-06-28T00:00:00"/>
    <x v="2"/>
    <n v="51"/>
    <n v="170"/>
    <n v="123"/>
    <n v="591"/>
    <n v="182"/>
  </r>
  <r>
    <x v="0"/>
    <x v="1"/>
    <d v="2017-06-28T00:00:00"/>
    <x v="1"/>
    <n v="50"/>
    <n v="150"/>
    <n v="118"/>
    <n v="592"/>
    <n v="178"/>
  </r>
  <r>
    <x v="0"/>
    <x v="1"/>
    <d v="2017-06-28T00:00:00"/>
    <x v="0"/>
    <n v="46"/>
    <n v="125"/>
    <n v="114"/>
    <n v="593"/>
    <n v="163"/>
  </r>
  <r>
    <x v="0"/>
    <x v="1"/>
    <d v="2017-06-28T00:00:00"/>
    <x v="2"/>
    <n v="46"/>
    <n v="170"/>
    <n v="123"/>
    <n v="594"/>
    <n v="159"/>
  </r>
  <r>
    <x v="0"/>
    <x v="1"/>
    <d v="2017-06-28T00:00:00"/>
    <x v="1"/>
    <n v="47"/>
    <n v="150"/>
    <n v="118"/>
    <n v="595"/>
    <n v="216"/>
  </r>
  <r>
    <x v="0"/>
    <x v="1"/>
    <d v="2017-06-28T00:00:00"/>
    <x v="0"/>
    <n v="38"/>
    <n v="125"/>
    <n v="114"/>
    <n v="596"/>
    <n v="131"/>
  </r>
  <r>
    <x v="0"/>
    <x v="1"/>
    <d v="2017-06-28T00:00:00"/>
    <x v="2"/>
    <n v="36"/>
    <n v="170"/>
    <n v="123"/>
    <n v="597"/>
    <n v="128"/>
  </r>
  <r>
    <x v="0"/>
    <x v="1"/>
    <d v="2017-06-29T00:00:00"/>
    <x v="1"/>
    <n v="52"/>
    <n v="150"/>
    <n v="118"/>
    <n v="605"/>
    <n v="191"/>
  </r>
  <r>
    <x v="0"/>
    <x v="1"/>
    <d v="2017-06-29T00:00:00"/>
    <x v="2"/>
    <n v="56"/>
    <n v="170"/>
    <n v="123"/>
    <n v="606"/>
    <n v="193"/>
  </r>
  <r>
    <x v="0"/>
    <x v="1"/>
    <d v="2017-06-29T00:00:00"/>
    <x v="0"/>
    <n v="51"/>
    <n v="125"/>
    <n v="114"/>
    <n v="604"/>
    <n v="183"/>
  </r>
  <r>
    <x v="0"/>
    <x v="1"/>
    <d v="2017-06-29T00:00:00"/>
    <x v="1"/>
    <n v="60"/>
    <n v="150"/>
    <n v="118"/>
    <n v="603"/>
    <n v="276"/>
  </r>
  <r>
    <x v="0"/>
    <x v="1"/>
    <d v="2017-06-29T00:00:00"/>
    <x v="0"/>
    <n v="60"/>
    <n v="125"/>
    <n v="114"/>
    <n v="601"/>
    <n v="230"/>
  </r>
  <r>
    <x v="0"/>
    <x v="1"/>
    <d v="2017-06-29T00:00:00"/>
    <x v="1"/>
    <n v="56"/>
    <n v="150"/>
    <n v="118"/>
    <n v="600"/>
    <n v="262"/>
  </r>
  <r>
    <x v="0"/>
    <x v="1"/>
    <d v="2017-06-29T00:00:00"/>
    <x v="1"/>
    <n v="45"/>
    <n v="150"/>
    <n v="118"/>
    <n v="598"/>
    <n v="156"/>
  </r>
  <r>
    <x v="0"/>
    <x v="1"/>
    <d v="2017-06-29T00:00:00"/>
    <x v="1"/>
    <n v="45"/>
    <n v="150"/>
    <n v="118"/>
    <n v="599"/>
    <n v="158"/>
  </r>
  <r>
    <x v="0"/>
    <x v="1"/>
    <d v="2017-06-29T00:00:00"/>
    <x v="1"/>
    <n v="43"/>
    <n v="150"/>
    <n v="118"/>
    <n v="602"/>
    <n v="153"/>
  </r>
  <r>
    <x v="0"/>
    <x v="1"/>
    <d v="2017-06-30T00:00:00"/>
    <x v="0"/>
    <n v="40"/>
    <n v="125"/>
    <n v="114"/>
    <n v="608"/>
    <n v="147"/>
  </r>
  <r>
    <x v="0"/>
    <x v="1"/>
    <d v="2017-06-30T00:00:00"/>
    <x v="1"/>
    <n v="66"/>
    <n v="150"/>
    <n v="118"/>
    <n v="609"/>
    <n v="236"/>
  </r>
  <r>
    <x v="0"/>
    <x v="1"/>
    <d v="2017-06-30T00:00:00"/>
    <x v="1"/>
    <n v="45"/>
    <n v="150"/>
    <n v="118"/>
    <n v="607"/>
    <n v="164"/>
  </r>
  <r>
    <x v="0"/>
    <x v="2"/>
    <d v="2017-07-03T00:00:00"/>
    <x v="0"/>
    <n v="40"/>
    <n v="125"/>
    <n v="114"/>
    <n v="610"/>
    <n v="143"/>
  </r>
  <r>
    <x v="0"/>
    <x v="2"/>
    <d v="2017-07-03T00:00:00"/>
    <x v="1"/>
    <n v="56"/>
    <n v="150"/>
    <n v="118"/>
    <n v="611"/>
    <n v="213"/>
  </r>
  <r>
    <x v="0"/>
    <x v="2"/>
    <d v="2017-07-04T00:00:00"/>
    <x v="2"/>
    <n v="34"/>
    <n v="170"/>
    <n v="123"/>
    <n v="612"/>
    <n v="117"/>
  </r>
  <r>
    <x v="0"/>
    <x v="2"/>
    <d v="2017-07-04T00:00:00"/>
    <x v="0"/>
    <n v="37"/>
    <n v="125"/>
    <n v="114"/>
    <n v="618"/>
    <n v="171"/>
  </r>
  <r>
    <x v="0"/>
    <x v="2"/>
    <d v="2017-07-04T00:00:00"/>
    <x v="2"/>
    <n v="47"/>
    <n v="170"/>
    <n v="123"/>
    <n v="617"/>
    <n v="173"/>
  </r>
  <r>
    <x v="0"/>
    <x v="2"/>
    <d v="2017-07-04T00:00:00"/>
    <x v="0"/>
    <n v="37"/>
    <n v="125"/>
    <n v="114"/>
    <n v="616"/>
    <n v="131"/>
  </r>
  <r>
    <x v="0"/>
    <x v="2"/>
    <d v="2017-07-04T00:00:00"/>
    <x v="2"/>
    <n v="43"/>
    <n v="170"/>
    <n v="123"/>
    <n v="615"/>
    <n v="155"/>
  </r>
  <r>
    <x v="0"/>
    <x v="2"/>
    <d v="2017-07-04T00:00:00"/>
    <x v="2"/>
    <n v="53"/>
    <n v="170"/>
    <n v="123"/>
    <n v="613"/>
    <n v="196"/>
  </r>
  <r>
    <x v="0"/>
    <x v="2"/>
    <d v="2017-07-04T00:00:00"/>
    <x v="2"/>
    <n v="45"/>
    <n v="170"/>
    <n v="123"/>
    <n v="614"/>
    <n v="168"/>
  </r>
  <r>
    <x v="0"/>
    <x v="2"/>
    <d v="2017-07-05T00:00:00"/>
    <x v="1"/>
    <n v="57"/>
    <n v="150"/>
    <n v="118"/>
    <n v="619"/>
    <n v="204"/>
  </r>
  <r>
    <x v="0"/>
    <x v="2"/>
    <d v="2017-07-05T00:00:00"/>
    <x v="1"/>
    <n v="65"/>
    <n v="150"/>
    <n v="118"/>
    <n v="620"/>
    <n v="238"/>
  </r>
  <r>
    <x v="0"/>
    <x v="2"/>
    <d v="2017-07-06T00:00:00"/>
    <x v="1"/>
    <n v="41"/>
    <n v="150"/>
    <n v="118"/>
    <n v="624"/>
    <n v="144"/>
  </r>
  <r>
    <x v="0"/>
    <x v="2"/>
    <d v="2017-07-06T00:00:00"/>
    <x v="2"/>
    <n v="31"/>
    <n v="170"/>
    <n v="123"/>
    <n v="625"/>
    <n v="114"/>
  </r>
  <r>
    <x v="0"/>
    <x v="2"/>
    <d v="2017-07-06T00:00:00"/>
    <x v="1"/>
    <n v="60"/>
    <n v="150"/>
    <n v="118"/>
    <n v="626"/>
    <n v="225"/>
  </r>
  <r>
    <x v="0"/>
    <x v="2"/>
    <d v="2017-07-06T00:00:00"/>
    <x v="0"/>
    <n v="46"/>
    <n v="125"/>
    <n v="114"/>
    <n v="621"/>
    <n v="160"/>
  </r>
  <r>
    <x v="0"/>
    <x v="2"/>
    <d v="2017-07-06T00:00:00"/>
    <x v="2"/>
    <n v="54"/>
    <n v="170"/>
    <n v="123"/>
    <n v="622"/>
    <n v="185"/>
  </r>
  <r>
    <x v="0"/>
    <x v="2"/>
    <d v="2017-07-06T00:00:00"/>
    <x v="0"/>
    <n v="41"/>
    <n v="125"/>
    <n v="114"/>
    <n v="623"/>
    <n v="148"/>
  </r>
  <r>
    <x v="0"/>
    <x v="2"/>
    <d v="2017-07-07T00:00:00"/>
    <x v="1"/>
    <n v="47"/>
    <n v="150"/>
    <n v="118"/>
    <n v="627"/>
    <n v="164"/>
  </r>
  <r>
    <x v="0"/>
    <x v="2"/>
    <d v="2017-07-07T00:00:00"/>
    <x v="0"/>
    <n v="58"/>
    <n v="125"/>
    <n v="114"/>
    <n v="628"/>
    <n v="207"/>
  </r>
  <r>
    <x v="0"/>
    <x v="2"/>
    <d v="2017-07-07T00:00:00"/>
    <x v="2"/>
    <n v="53"/>
    <n v="170"/>
    <n v="123"/>
    <n v="629"/>
    <n v="185"/>
  </r>
  <r>
    <x v="0"/>
    <x v="2"/>
    <d v="2017-07-07T00:00:00"/>
    <x v="1"/>
    <n v="44"/>
    <n v="150"/>
    <n v="118"/>
    <n v="630"/>
    <n v="160"/>
  </r>
  <r>
    <x v="0"/>
    <x v="2"/>
    <d v="2017-07-07T00:00:00"/>
    <x v="2"/>
    <n v="48"/>
    <n v="170"/>
    <n v="123"/>
    <n v="631"/>
    <n v="177"/>
  </r>
  <r>
    <x v="0"/>
    <x v="2"/>
    <d v="2017-07-07T00:00:00"/>
    <x v="2"/>
    <n v="52"/>
    <n v="170"/>
    <n v="123"/>
    <n v="632"/>
    <n v="183"/>
  </r>
  <r>
    <x v="0"/>
    <x v="2"/>
    <d v="2017-07-10T00:00:00"/>
    <x v="2"/>
    <n v="31"/>
    <n v="170"/>
    <n v="123"/>
    <n v="633"/>
    <n v="113"/>
  </r>
  <r>
    <x v="0"/>
    <x v="2"/>
    <d v="2017-07-10T00:00:00"/>
    <x v="1"/>
    <n v="55"/>
    <n v="150"/>
    <n v="118"/>
    <n v="641"/>
    <n v="202"/>
  </r>
  <r>
    <x v="0"/>
    <x v="2"/>
    <d v="2017-07-10T00:00:00"/>
    <x v="2"/>
    <n v="31"/>
    <n v="170"/>
    <n v="123"/>
    <n v="640"/>
    <n v="114"/>
  </r>
  <r>
    <x v="0"/>
    <x v="2"/>
    <d v="2017-07-10T00:00:00"/>
    <x v="2"/>
    <n v="48"/>
    <n v="170"/>
    <n v="123"/>
    <n v="639"/>
    <n v="168"/>
  </r>
  <r>
    <x v="0"/>
    <x v="2"/>
    <d v="2017-07-10T00:00:00"/>
    <x v="0"/>
    <n v="42"/>
    <n v="125"/>
    <n v="114"/>
    <n v="638"/>
    <n v="150"/>
  </r>
  <r>
    <x v="0"/>
    <x v="2"/>
    <d v="2017-07-10T00:00:00"/>
    <x v="1"/>
    <n v="42"/>
    <n v="150"/>
    <n v="118"/>
    <n v="637"/>
    <n v="153"/>
  </r>
  <r>
    <x v="0"/>
    <x v="2"/>
    <d v="2017-07-10T00:00:00"/>
    <x v="2"/>
    <n v="39"/>
    <n v="170"/>
    <n v="123"/>
    <n v="636"/>
    <n v="134"/>
  </r>
  <r>
    <x v="0"/>
    <x v="2"/>
    <d v="2017-07-10T00:00:00"/>
    <x v="0"/>
    <n v="58"/>
    <n v="125"/>
    <n v="114"/>
    <n v="634"/>
    <n v="209"/>
  </r>
  <r>
    <x v="0"/>
    <x v="2"/>
    <d v="2017-07-10T00:00:00"/>
    <x v="2"/>
    <n v="42"/>
    <n v="170"/>
    <n v="123"/>
    <n v="635"/>
    <n v="153"/>
  </r>
  <r>
    <x v="0"/>
    <x v="2"/>
    <d v="2017-07-11T00:00:00"/>
    <x v="0"/>
    <n v="51"/>
    <n v="125"/>
    <n v="114"/>
    <n v="643"/>
    <n v="184"/>
  </r>
  <r>
    <x v="0"/>
    <x v="2"/>
    <d v="2017-07-11T00:00:00"/>
    <x v="0"/>
    <n v="52"/>
    <n v="125"/>
    <n v="114"/>
    <n v="646"/>
    <n v="189"/>
  </r>
  <r>
    <x v="0"/>
    <x v="2"/>
    <d v="2017-07-11T00:00:00"/>
    <x v="0"/>
    <n v="37"/>
    <n v="125"/>
    <n v="114"/>
    <n v="642"/>
    <n v="129"/>
  </r>
  <r>
    <x v="0"/>
    <x v="2"/>
    <d v="2017-07-11T00:00:00"/>
    <x v="2"/>
    <n v="37"/>
    <n v="170"/>
    <n v="123"/>
    <n v="644"/>
    <n v="142"/>
  </r>
  <r>
    <x v="0"/>
    <x v="2"/>
    <d v="2017-07-11T00:00:00"/>
    <x v="2"/>
    <n v="47"/>
    <n v="170"/>
    <n v="123"/>
    <n v="645"/>
    <n v="171"/>
  </r>
  <r>
    <x v="0"/>
    <x v="2"/>
    <d v="2017-07-12T00:00:00"/>
    <x v="1"/>
    <n v="59"/>
    <n v="150"/>
    <n v="118"/>
    <n v="653"/>
    <n v="213"/>
  </r>
  <r>
    <x v="0"/>
    <x v="2"/>
    <d v="2017-07-12T00:00:00"/>
    <x v="1"/>
    <n v="40"/>
    <n v="150"/>
    <n v="118"/>
    <n v="647"/>
    <n v="141"/>
  </r>
  <r>
    <x v="0"/>
    <x v="2"/>
    <d v="2017-07-12T00:00:00"/>
    <x v="1"/>
    <n v="53"/>
    <n v="150"/>
    <n v="118"/>
    <n v="648"/>
    <n v="195"/>
  </r>
  <r>
    <x v="0"/>
    <x v="2"/>
    <d v="2017-07-12T00:00:00"/>
    <x v="2"/>
    <n v="34"/>
    <n v="170"/>
    <n v="123"/>
    <n v="649"/>
    <n v="124"/>
  </r>
  <r>
    <x v="0"/>
    <x v="2"/>
    <d v="2017-07-12T00:00:00"/>
    <x v="2"/>
    <n v="32"/>
    <n v="170"/>
    <n v="123"/>
    <n v="650"/>
    <n v="110"/>
  </r>
  <r>
    <x v="0"/>
    <x v="2"/>
    <d v="2017-07-12T00:00:00"/>
    <x v="1"/>
    <n v="40"/>
    <n v="150"/>
    <n v="118"/>
    <n v="651"/>
    <n v="146"/>
  </r>
  <r>
    <x v="0"/>
    <x v="2"/>
    <d v="2017-07-12T00:00:00"/>
    <x v="1"/>
    <n v="45"/>
    <n v="150"/>
    <n v="118"/>
    <n v="652"/>
    <n v="155"/>
  </r>
  <r>
    <x v="0"/>
    <x v="2"/>
    <d v="2017-07-13T00:00:00"/>
    <x v="2"/>
    <n v="47"/>
    <n v="170"/>
    <n v="123"/>
    <n v="656"/>
    <n v="167"/>
  </r>
  <r>
    <x v="0"/>
    <x v="2"/>
    <d v="2017-07-13T00:00:00"/>
    <x v="2"/>
    <n v="47"/>
    <n v="170"/>
    <n v="123"/>
    <n v="654"/>
    <n v="165"/>
  </r>
  <r>
    <x v="0"/>
    <x v="2"/>
    <d v="2017-07-13T00:00:00"/>
    <x v="1"/>
    <n v="48"/>
    <n v="150"/>
    <n v="118"/>
    <n v="655"/>
    <n v="169"/>
  </r>
  <r>
    <x v="0"/>
    <x v="2"/>
    <d v="2017-07-14T00:00:00"/>
    <x v="1"/>
    <n v="45"/>
    <n v="150"/>
    <n v="118"/>
    <n v="657"/>
    <n v="157"/>
  </r>
  <r>
    <x v="0"/>
    <x v="2"/>
    <d v="2017-07-14T00:00:00"/>
    <x v="0"/>
    <n v="39"/>
    <n v="125"/>
    <n v="114"/>
    <n v="658"/>
    <n v="142"/>
  </r>
  <r>
    <x v="0"/>
    <x v="2"/>
    <d v="2017-07-14T00:00:00"/>
    <x v="2"/>
    <n v="39"/>
    <n v="170"/>
    <n v="123"/>
    <n v="659"/>
    <n v="138"/>
  </r>
  <r>
    <x v="0"/>
    <x v="2"/>
    <d v="2017-07-14T00:00:00"/>
    <x v="0"/>
    <n v="39"/>
    <n v="125"/>
    <n v="114"/>
    <n v="660"/>
    <n v="183"/>
  </r>
  <r>
    <x v="0"/>
    <x v="2"/>
    <d v="2017-07-17T00:00:00"/>
    <x v="0"/>
    <n v="36"/>
    <n v="125"/>
    <n v="114"/>
    <n v="665"/>
    <n v="128"/>
  </r>
  <r>
    <x v="0"/>
    <x v="2"/>
    <d v="2017-07-17T00:00:00"/>
    <x v="1"/>
    <n v="62"/>
    <n v="150"/>
    <n v="118"/>
    <n v="661"/>
    <n v="225"/>
  </r>
  <r>
    <x v="0"/>
    <x v="2"/>
    <d v="2017-07-17T00:00:00"/>
    <x v="0"/>
    <n v="52"/>
    <n v="125"/>
    <n v="114"/>
    <n v="666"/>
    <n v="186"/>
  </r>
  <r>
    <x v="0"/>
    <x v="2"/>
    <d v="2017-07-17T00:00:00"/>
    <x v="2"/>
    <n v="46"/>
    <n v="170"/>
    <n v="123"/>
    <n v="663"/>
    <n v="162"/>
  </r>
  <r>
    <x v="0"/>
    <x v="2"/>
    <d v="2017-07-17T00:00:00"/>
    <x v="0"/>
    <n v="40"/>
    <n v="125"/>
    <n v="114"/>
    <n v="662"/>
    <n v="147"/>
  </r>
  <r>
    <x v="0"/>
    <x v="2"/>
    <d v="2017-07-17T00:00:00"/>
    <x v="1"/>
    <n v="54"/>
    <n v="150"/>
    <n v="118"/>
    <n v="664"/>
    <n v="192"/>
  </r>
  <r>
    <x v="0"/>
    <x v="2"/>
    <d v="2017-07-18T00:00:00"/>
    <x v="2"/>
    <n v="37"/>
    <n v="170"/>
    <n v="123"/>
    <n v="674"/>
    <n v="131"/>
  </r>
  <r>
    <x v="0"/>
    <x v="2"/>
    <d v="2017-07-18T00:00:00"/>
    <x v="0"/>
    <n v="48"/>
    <n v="125"/>
    <n v="114"/>
    <n v="675"/>
    <n v="180"/>
  </r>
  <r>
    <x v="0"/>
    <x v="2"/>
    <d v="2017-07-18T00:00:00"/>
    <x v="1"/>
    <n v="60"/>
    <n v="150"/>
    <n v="118"/>
    <n v="673"/>
    <n v="215"/>
  </r>
  <r>
    <x v="0"/>
    <x v="2"/>
    <d v="2017-07-18T00:00:00"/>
    <x v="0"/>
    <n v="59"/>
    <n v="125"/>
    <n v="114"/>
    <n v="672"/>
    <n v="212"/>
  </r>
  <r>
    <x v="0"/>
    <x v="2"/>
    <d v="2017-07-18T00:00:00"/>
    <x v="0"/>
    <n v="37"/>
    <n v="125"/>
    <n v="114"/>
    <n v="670"/>
    <n v="127"/>
  </r>
  <r>
    <x v="0"/>
    <x v="2"/>
    <d v="2017-07-18T00:00:00"/>
    <x v="1"/>
    <n v="52"/>
    <n v="150"/>
    <n v="118"/>
    <n v="669"/>
    <n v="186"/>
  </r>
  <r>
    <x v="0"/>
    <x v="2"/>
    <d v="2017-07-18T00:00:00"/>
    <x v="2"/>
    <n v="30"/>
    <n v="170"/>
    <n v="123"/>
    <n v="667"/>
    <n v="110"/>
  </r>
  <r>
    <x v="0"/>
    <x v="2"/>
    <d v="2017-07-18T00:00:00"/>
    <x v="2"/>
    <n v="41"/>
    <n v="170"/>
    <n v="123"/>
    <n v="668"/>
    <n v="144"/>
  </r>
  <r>
    <x v="0"/>
    <x v="2"/>
    <d v="2017-07-18T00:00:00"/>
    <x v="1"/>
    <n v="60"/>
    <n v="150"/>
    <n v="118"/>
    <n v="671"/>
    <n v="208"/>
  </r>
  <r>
    <x v="0"/>
    <x v="2"/>
    <d v="2017-07-19T00:00:00"/>
    <x v="0"/>
    <n v="47"/>
    <n v="125"/>
    <n v="114"/>
    <n v="678"/>
    <n v="171"/>
  </r>
  <r>
    <x v="0"/>
    <x v="2"/>
    <d v="2017-07-19T00:00:00"/>
    <x v="1"/>
    <n v="49"/>
    <n v="150"/>
    <n v="118"/>
    <n v="681"/>
    <n v="167"/>
  </r>
  <r>
    <x v="0"/>
    <x v="2"/>
    <d v="2017-07-19T00:00:00"/>
    <x v="1"/>
    <n v="54"/>
    <n v="150"/>
    <n v="118"/>
    <n v="676"/>
    <n v="191"/>
  </r>
  <r>
    <x v="0"/>
    <x v="2"/>
    <d v="2017-07-19T00:00:00"/>
    <x v="1"/>
    <n v="53"/>
    <n v="150"/>
    <n v="118"/>
    <n v="679"/>
    <n v="193"/>
  </r>
  <r>
    <x v="0"/>
    <x v="2"/>
    <d v="2017-07-19T00:00:00"/>
    <x v="2"/>
    <n v="54"/>
    <n v="170"/>
    <n v="123"/>
    <n v="677"/>
    <n v="191"/>
  </r>
  <r>
    <x v="0"/>
    <x v="2"/>
    <d v="2017-07-19T00:00:00"/>
    <x v="2"/>
    <n v="33"/>
    <n v="170"/>
    <n v="123"/>
    <n v="680"/>
    <n v="117"/>
  </r>
  <r>
    <x v="0"/>
    <x v="2"/>
    <d v="2017-07-20T00:00:00"/>
    <x v="2"/>
    <n v="37"/>
    <n v="170"/>
    <n v="123"/>
    <n v="687"/>
    <n v="136"/>
  </r>
  <r>
    <x v="0"/>
    <x v="2"/>
    <d v="2017-07-20T00:00:00"/>
    <x v="2"/>
    <n v="55"/>
    <n v="170"/>
    <n v="123"/>
    <n v="682"/>
    <n v="198"/>
  </r>
  <r>
    <x v="0"/>
    <x v="2"/>
    <d v="2017-07-20T00:00:00"/>
    <x v="2"/>
    <n v="29"/>
    <n v="170"/>
    <n v="123"/>
    <n v="690"/>
    <n v="109"/>
  </r>
  <r>
    <x v="0"/>
    <x v="2"/>
    <d v="2017-07-20T00:00:00"/>
    <x v="1"/>
    <n v="49"/>
    <n v="150"/>
    <n v="118"/>
    <n v="689"/>
    <n v="178"/>
  </r>
  <r>
    <x v="0"/>
    <x v="2"/>
    <d v="2017-07-20T00:00:00"/>
    <x v="0"/>
    <n v="37"/>
    <n v="125"/>
    <n v="114"/>
    <n v="688"/>
    <n v="174"/>
  </r>
  <r>
    <x v="0"/>
    <x v="2"/>
    <d v="2017-07-20T00:00:00"/>
    <x v="1"/>
    <n v="60"/>
    <n v="150"/>
    <n v="118"/>
    <n v="685"/>
    <n v="225"/>
  </r>
  <r>
    <x v="0"/>
    <x v="2"/>
    <d v="2017-07-20T00:00:00"/>
    <x v="0"/>
    <n v="46"/>
    <n v="125"/>
    <n v="114"/>
    <n v="683"/>
    <n v="158"/>
  </r>
  <r>
    <x v="0"/>
    <x v="2"/>
    <d v="2017-07-20T00:00:00"/>
    <x v="2"/>
    <n v="43"/>
    <n v="170"/>
    <n v="123"/>
    <n v="684"/>
    <n v="201"/>
  </r>
  <r>
    <x v="0"/>
    <x v="2"/>
    <d v="2017-07-20T00:00:00"/>
    <x v="2"/>
    <n v="49"/>
    <n v="170"/>
    <n v="123"/>
    <n v="686"/>
    <n v="172"/>
  </r>
  <r>
    <x v="0"/>
    <x v="2"/>
    <d v="2017-07-21T00:00:00"/>
    <x v="2"/>
    <n v="29"/>
    <n v="170"/>
    <n v="123"/>
    <n v="694"/>
    <n v="103"/>
  </r>
  <r>
    <x v="0"/>
    <x v="2"/>
    <d v="2017-07-21T00:00:00"/>
    <x v="1"/>
    <n v="47"/>
    <n v="150"/>
    <n v="118"/>
    <n v="698"/>
    <n v="169"/>
  </r>
  <r>
    <x v="0"/>
    <x v="2"/>
    <d v="2017-07-21T00:00:00"/>
    <x v="2"/>
    <n v="36"/>
    <n v="170"/>
    <n v="123"/>
    <n v="697"/>
    <n v="167"/>
  </r>
  <r>
    <x v="0"/>
    <x v="2"/>
    <d v="2017-07-21T00:00:00"/>
    <x v="2"/>
    <n v="30"/>
    <n v="170"/>
    <n v="123"/>
    <n v="695"/>
    <n v="108"/>
  </r>
  <r>
    <x v="0"/>
    <x v="2"/>
    <d v="2017-07-21T00:00:00"/>
    <x v="0"/>
    <n v="49"/>
    <n v="125"/>
    <n v="114"/>
    <n v="693"/>
    <n v="229"/>
  </r>
  <r>
    <x v="0"/>
    <x v="2"/>
    <d v="2017-07-21T00:00:00"/>
    <x v="2"/>
    <n v="49"/>
    <n v="170"/>
    <n v="123"/>
    <n v="692"/>
    <n v="172"/>
  </r>
  <r>
    <x v="0"/>
    <x v="2"/>
    <d v="2017-07-21T00:00:00"/>
    <x v="0"/>
    <n v="36"/>
    <n v="125"/>
    <n v="114"/>
    <n v="691"/>
    <n v="130"/>
  </r>
  <r>
    <x v="0"/>
    <x v="2"/>
    <d v="2017-07-21T00:00:00"/>
    <x v="1"/>
    <n v="55"/>
    <n v="150"/>
    <n v="118"/>
    <n v="696"/>
    <n v="189"/>
  </r>
  <r>
    <x v="0"/>
    <x v="2"/>
    <d v="2017-07-24T00:00:00"/>
    <x v="2"/>
    <n v="44"/>
    <n v="170"/>
    <n v="123"/>
    <n v="703"/>
    <n v="157"/>
  </r>
  <r>
    <x v="0"/>
    <x v="2"/>
    <d v="2017-07-24T00:00:00"/>
    <x v="0"/>
    <n v="34"/>
    <n v="125"/>
    <n v="114"/>
    <n v="699"/>
    <n v="124"/>
  </r>
  <r>
    <x v="0"/>
    <x v="2"/>
    <d v="2017-07-24T00:00:00"/>
    <x v="1"/>
    <n v="54"/>
    <n v="150"/>
    <n v="118"/>
    <n v="704"/>
    <n v="186"/>
  </r>
  <r>
    <x v="0"/>
    <x v="2"/>
    <d v="2017-07-24T00:00:00"/>
    <x v="1"/>
    <n v="54"/>
    <n v="150"/>
    <n v="118"/>
    <n v="705"/>
    <n v="193"/>
  </r>
  <r>
    <x v="0"/>
    <x v="2"/>
    <d v="2017-07-24T00:00:00"/>
    <x v="0"/>
    <n v="43"/>
    <n v="125"/>
    <n v="114"/>
    <n v="700"/>
    <n v="161"/>
  </r>
  <r>
    <x v="0"/>
    <x v="2"/>
    <d v="2017-07-24T00:00:00"/>
    <x v="1"/>
    <n v="63"/>
    <n v="150"/>
    <n v="118"/>
    <n v="701"/>
    <n v="218"/>
  </r>
  <r>
    <x v="0"/>
    <x v="2"/>
    <d v="2017-07-24T00:00:00"/>
    <x v="2"/>
    <n v="43"/>
    <n v="170"/>
    <n v="123"/>
    <n v="702"/>
    <n v="156"/>
  </r>
  <r>
    <x v="0"/>
    <x v="2"/>
    <d v="2017-07-25T00:00:00"/>
    <x v="0"/>
    <n v="45"/>
    <n v="125"/>
    <n v="114"/>
    <n v="710"/>
    <n v="159"/>
  </r>
  <r>
    <x v="0"/>
    <x v="2"/>
    <d v="2017-07-25T00:00:00"/>
    <x v="0"/>
    <n v="45"/>
    <n v="125"/>
    <n v="114"/>
    <n v="711"/>
    <n v="212"/>
  </r>
  <r>
    <x v="0"/>
    <x v="2"/>
    <d v="2017-07-25T00:00:00"/>
    <x v="1"/>
    <n v="50"/>
    <n v="150"/>
    <n v="118"/>
    <n v="709"/>
    <n v="175"/>
  </r>
  <r>
    <x v="0"/>
    <x v="2"/>
    <d v="2017-07-25T00:00:00"/>
    <x v="0"/>
    <n v="40"/>
    <n v="125"/>
    <n v="114"/>
    <n v="708"/>
    <n v="141"/>
  </r>
  <r>
    <x v="0"/>
    <x v="2"/>
    <d v="2017-07-25T00:00:00"/>
    <x v="1"/>
    <n v="50"/>
    <n v="150"/>
    <n v="118"/>
    <n v="707"/>
    <n v="172"/>
  </r>
  <r>
    <x v="0"/>
    <x v="2"/>
    <d v="2017-07-25T00:00:00"/>
    <x v="1"/>
    <n v="64"/>
    <n v="150"/>
    <n v="118"/>
    <n v="706"/>
    <n v="230"/>
  </r>
  <r>
    <x v="0"/>
    <x v="2"/>
    <d v="2017-07-26T00:00:00"/>
    <x v="0"/>
    <n v="59"/>
    <n v="125"/>
    <n v="114"/>
    <n v="713"/>
    <n v="217"/>
  </r>
  <r>
    <x v="0"/>
    <x v="2"/>
    <d v="2017-07-26T00:00:00"/>
    <x v="2"/>
    <n v="44"/>
    <n v="170"/>
    <n v="123"/>
    <n v="714"/>
    <n v="202"/>
  </r>
  <r>
    <x v="0"/>
    <x v="2"/>
    <d v="2017-07-26T00:00:00"/>
    <x v="2"/>
    <n v="49"/>
    <n v="170"/>
    <n v="123"/>
    <n v="715"/>
    <n v="229"/>
  </r>
  <r>
    <x v="0"/>
    <x v="2"/>
    <d v="2017-07-26T00:00:00"/>
    <x v="1"/>
    <n v="49"/>
    <n v="150"/>
    <n v="118"/>
    <n v="712"/>
    <n v="176"/>
  </r>
  <r>
    <x v="0"/>
    <x v="2"/>
    <d v="2017-07-27T00:00:00"/>
    <x v="1"/>
    <n v="51"/>
    <n v="150"/>
    <n v="118"/>
    <n v="719"/>
    <n v="239"/>
  </r>
  <r>
    <x v="0"/>
    <x v="2"/>
    <d v="2017-07-27T00:00:00"/>
    <x v="1"/>
    <n v="50"/>
    <n v="150"/>
    <n v="118"/>
    <n v="723"/>
    <n v="184"/>
  </r>
  <r>
    <x v="0"/>
    <x v="2"/>
    <d v="2017-07-27T00:00:00"/>
    <x v="2"/>
    <n v="49"/>
    <n v="170"/>
    <n v="123"/>
    <n v="722"/>
    <n v="227"/>
  </r>
  <r>
    <x v="0"/>
    <x v="2"/>
    <d v="2017-07-27T00:00:00"/>
    <x v="1"/>
    <n v="45"/>
    <n v="150"/>
    <n v="118"/>
    <n v="724"/>
    <n v="158"/>
  </r>
  <r>
    <x v="0"/>
    <x v="2"/>
    <d v="2017-07-27T00:00:00"/>
    <x v="2"/>
    <n v="39"/>
    <n v="170"/>
    <n v="123"/>
    <n v="718"/>
    <n v="135"/>
  </r>
  <r>
    <x v="0"/>
    <x v="2"/>
    <d v="2017-07-27T00:00:00"/>
    <x v="2"/>
    <n v="34"/>
    <n v="170"/>
    <n v="123"/>
    <n v="717"/>
    <n v="131"/>
  </r>
  <r>
    <x v="0"/>
    <x v="2"/>
    <d v="2017-07-27T00:00:00"/>
    <x v="2"/>
    <n v="40"/>
    <n v="170"/>
    <n v="123"/>
    <n v="716"/>
    <n v="188"/>
  </r>
  <r>
    <x v="0"/>
    <x v="2"/>
    <d v="2017-07-27T00:00:00"/>
    <x v="0"/>
    <n v="59"/>
    <n v="125"/>
    <n v="114"/>
    <n v="721"/>
    <n v="203"/>
  </r>
  <r>
    <x v="0"/>
    <x v="2"/>
    <d v="2017-07-27T00:00:00"/>
    <x v="0"/>
    <n v="56"/>
    <n v="125"/>
    <n v="114"/>
    <n v="720"/>
    <n v="202"/>
  </r>
  <r>
    <x v="0"/>
    <x v="2"/>
    <d v="2017-07-28T00:00:00"/>
    <x v="0"/>
    <n v="36"/>
    <n v="125"/>
    <n v="114"/>
    <n v="727"/>
    <n v="131"/>
  </r>
  <r>
    <x v="0"/>
    <x v="2"/>
    <d v="2017-07-28T00:00:00"/>
    <x v="0"/>
    <n v="38"/>
    <n v="125"/>
    <n v="114"/>
    <n v="731"/>
    <n v="175"/>
  </r>
  <r>
    <x v="0"/>
    <x v="2"/>
    <d v="2017-07-28T00:00:00"/>
    <x v="2"/>
    <n v="30"/>
    <n v="170"/>
    <n v="123"/>
    <n v="730"/>
    <n v="108"/>
  </r>
  <r>
    <x v="0"/>
    <x v="2"/>
    <d v="2017-07-28T00:00:00"/>
    <x v="0"/>
    <n v="45"/>
    <n v="125"/>
    <n v="114"/>
    <n v="728"/>
    <n v="157"/>
  </r>
  <r>
    <x v="0"/>
    <x v="2"/>
    <d v="2017-07-28T00:00:00"/>
    <x v="0"/>
    <n v="46"/>
    <n v="125"/>
    <n v="114"/>
    <n v="726"/>
    <n v="212"/>
  </r>
  <r>
    <x v="0"/>
    <x v="2"/>
    <d v="2017-07-28T00:00:00"/>
    <x v="1"/>
    <n v="61"/>
    <n v="150"/>
    <n v="118"/>
    <n v="725"/>
    <n v="216"/>
  </r>
  <r>
    <x v="0"/>
    <x v="2"/>
    <d v="2017-07-28T00:00:00"/>
    <x v="1"/>
    <n v="40"/>
    <n v="150"/>
    <n v="118"/>
    <n v="729"/>
    <n v="142"/>
  </r>
  <r>
    <x v="0"/>
    <x v="2"/>
    <d v="2017-07-31T00:00:00"/>
    <x v="1"/>
    <n v="44"/>
    <n v="150"/>
    <n v="118"/>
    <n v="737"/>
    <n v="162"/>
  </r>
  <r>
    <x v="0"/>
    <x v="2"/>
    <d v="2017-07-31T00:00:00"/>
    <x v="0"/>
    <n v="59"/>
    <n v="125"/>
    <n v="114"/>
    <n v="740"/>
    <n v="275"/>
  </r>
  <r>
    <x v="0"/>
    <x v="2"/>
    <d v="2017-07-31T00:00:00"/>
    <x v="2"/>
    <n v="50"/>
    <n v="170"/>
    <n v="123"/>
    <n v="739"/>
    <n v="176"/>
  </r>
  <r>
    <x v="0"/>
    <x v="2"/>
    <d v="2017-07-31T00:00:00"/>
    <x v="1"/>
    <n v="53"/>
    <n v="150"/>
    <n v="118"/>
    <n v="738"/>
    <n v="187"/>
  </r>
  <r>
    <x v="0"/>
    <x v="2"/>
    <d v="2017-07-31T00:00:00"/>
    <x v="1"/>
    <n v="42"/>
    <n v="150"/>
    <n v="118"/>
    <n v="733"/>
    <n v="150"/>
  </r>
  <r>
    <x v="0"/>
    <x v="2"/>
    <d v="2017-07-31T00:00:00"/>
    <x v="1"/>
    <n v="50"/>
    <n v="150"/>
    <n v="118"/>
    <n v="734"/>
    <n v="230"/>
  </r>
  <r>
    <x v="0"/>
    <x v="2"/>
    <d v="2017-07-31T00:00:00"/>
    <x v="0"/>
    <n v="44"/>
    <n v="125"/>
    <n v="114"/>
    <n v="735"/>
    <n v="153"/>
  </r>
  <r>
    <x v="0"/>
    <x v="2"/>
    <d v="2017-07-31T00:00:00"/>
    <x v="1"/>
    <n v="59"/>
    <n v="150"/>
    <n v="118"/>
    <n v="732"/>
    <n v="214"/>
  </r>
  <r>
    <x v="0"/>
    <x v="2"/>
    <d v="2017-07-31T00:00:00"/>
    <x v="1"/>
    <n v="47"/>
    <n v="150"/>
    <n v="118"/>
    <n v="736"/>
    <n v="171"/>
  </r>
  <r>
    <x v="0"/>
    <x v="2"/>
    <d v="2017-08-01T00:00:00"/>
    <x v="0"/>
    <n v="45"/>
    <n v="125"/>
    <n v="114"/>
    <n v="741"/>
    <n v="164"/>
  </r>
  <r>
    <x v="0"/>
    <x v="2"/>
    <d v="2017-08-01T00:00:00"/>
    <x v="0"/>
    <n v="47"/>
    <n v="125"/>
    <n v="114"/>
    <n v="742"/>
    <n v="166"/>
  </r>
  <r>
    <x v="0"/>
    <x v="2"/>
    <d v="2017-08-02T00:00:00"/>
    <x v="1"/>
    <n v="61"/>
    <n v="150"/>
    <n v="118"/>
    <n v="745"/>
    <n v="223"/>
  </r>
  <r>
    <x v="0"/>
    <x v="2"/>
    <d v="2017-08-02T00:00:00"/>
    <x v="0"/>
    <n v="56"/>
    <n v="125"/>
    <n v="114"/>
    <n v="750"/>
    <n v="194"/>
  </r>
  <r>
    <x v="0"/>
    <x v="2"/>
    <d v="2017-08-02T00:00:00"/>
    <x v="0"/>
    <n v="38"/>
    <n v="125"/>
    <n v="114"/>
    <n v="749"/>
    <n v="138"/>
  </r>
  <r>
    <x v="0"/>
    <x v="2"/>
    <d v="2017-08-02T00:00:00"/>
    <x v="1"/>
    <n v="42"/>
    <n v="150"/>
    <n v="118"/>
    <n v="748"/>
    <n v="152"/>
  </r>
  <r>
    <x v="0"/>
    <x v="2"/>
    <d v="2017-08-02T00:00:00"/>
    <x v="0"/>
    <n v="39"/>
    <n v="125"/>
    <n v="114"/>
    <n v="746"/>
    <n v="136"/>
  </r>
  <r>
    <x v="0"/>
    <x v="2"/>
    <d v="2017-08-02T00:00:00"/>
    <x v="1"/>
    <n v="52"/>
    <n v="150"/>
    <n v="118"/>
    <n v="744"/>
    <n v="244"/>
  </r>
  <r>
    <x v="0"/>
    <x v="2"/>
    <d v="2017-08-02T00:00:00"/>
    <x v="0"/>
    <n v="56"/>
    <n v="125"/>
    <n v="114"/>
    <n v="743"/>
    <n v="204"/>
  </r>
  <r>
    <x v="0"/>
    <x v="2"/>
    <d v="2017-08-02T00:00:00"/>
    <x v="0"/>
    <n v="42"/>
    <n v="125"/>
    <n v="114"/>
    <n v="747"/>
    <n v="154"/>
  </r>
  <r>
    <x v="0"/>
    <x v="2"/>
    <d v="2017-08-03T00:00:00"/>
    <x v="2"/>
    <n v="41"/>
    <n v="170"/>
    <n v="123"/>
    <n v="756"/>
    <n v="147"/>
  </r>
  <r>
    <x v="0"/>
    <x v="2"/>
    <d v="2017-08-03T00:00:00"/>
    <x v="2"/>
    <n v="32"/>
    <n v="170"/>
    <n v="123"/>
    <n v="751"/>
    <n v="117"/>
  </r>
  <r>
    <x v="0"/>
    <x v="2"/>
    <d v="2017-08-03T00:00:00"/>
    <x v="2"/>
    <n v="37"/>
    <n v="170"/>
    <n v="123"/>
    <n v="758"/>
    <n v="133"/>
  </r>
  <r>
    <x v="0"/>
    <x v="2"/>
    <d v="2017-08-03T00:00:00"/>
    <x v="1"/>
    <n v="59"/>
    <n v="150"/>
    <n v="118"/>
    <n v="757"/>
    <n v="215"/>
  </r>
  <r>
    <x v="0"/>
    <x v="2"/>
    <d v="2017-08-03T00:00:00"/>
    <x v="0"/>
    <n v="44"/>
    <n v="125"/>
    <n v="114"/>
    <n v="755"/>
    <n v="159"/>
  </r>
  <r>
    <x v="0"/>
    <x v="2"/>
    <d v="2017-08-03T00:00:00"/>
    <x v="2"/>
    <n v="36"/>
    <n v="170"/>
    <n v="123"/>
    <n v="754"/>
    <n v="127"/>
  </r>
  <r>
    <x v="0"/>
    <x v="2"/>
    <d v="2017-08-03T00:00:00"/>
    <x v="0"/>
    <n v="40"/>
    <n v="125"/>
    <n v="114"/>
    <n v="752"/>
    <n v="137"/>
  </r>
  <r>
    <x v="0"/>
    <x v="2"/>
    <d v="2017-08-03T00:00:00"/>
    <x v="2"/>
    <n v="47"/>
    <n v="170"/>
    <n v="123"/>
    <n v="753"/>
    <n v="173"/>
  </r>
  <r>
    <x v="0"/>
    <x v="2"/>
    <d v="2017-08-04T00:00:00"/>
    <x v="1"/>
    <n v="47"/>
    <n v="150"/>
    <n v="118"/>
    <n v="759"/>
    <n v="165"/>
  </r>
  <r>
    <x v="0"/>
    <x v="2"/>
    <d v="2017-08-04T00:00:00"/>
    <x v="0"/>
    <n v="35"/>
    <n v="125"/>
    <n v="114"/>
    <n v="760"/>
    <n v="125"/>
  </r>
  <r>
    <x v="0"/>
    <x v="2"/>
    <d v="2017-08-04T00:00:00"/>
    <x v="1"/>
    <n v="62"/>
    <n v="150"/>
    <n v="118"/>
    <n v="761"/>
    <n v="287"/>
  </r>
  <r>
    <x v="0"/>
    <x v="2"/>
    <d v="2017-08-04T00:00:00"/>
    <x v="0"/>
    <n v="58"/>
    <n v="125"/>
    <n v="114"/>
    <n v="762"/>
    <n v="204"/>
  </r>
  <r>
    <x v="0"/>
    <x v="2"/>
    <d v="2017-08-04T00:00:00"/>
    <x v="0"/>
    <n v="49"/>
    <n v="125"/>
    <n v="114"/>
    <n v="763"/>
    <n v="170"/>
  </r>
  <r>
    <x v="0"/>
    <x v="2"/>
    <d v="2017-08-07T00:00:00"/>
    <x v="1"/>
    <n v="39"/>
    <n v="150"/>
    <n v="118"/>
    <n v="768"/>
    <n v="183"/>
  </r>
  <r>
    <x v="0"/>
    <x v="2"/>
    <d v="2017-08-07T00:00:00"/>
    <x v="2"/>
    <n v="29"/>
    <n v="170"/>
    <n v="123"/>
    <n v="770"/>
    <n v="136"/>
  </r>
  <r>
    <x v="0"/>
    <x v="2"/>
    <d v="2017-08-07T00:00:00"/>
    <x v="1"/>
    <n v="58"/>
    <n v="150"/>
    <n v="118"/>
    <n v="771"/>
    <n v="272"/>
  </r>
  <r>
    <x v="0"/>
    <x v="2"/>
    <d v="2017-08-07T00:00:00"/>
    <x v="2"/>
    <n v="32"/>
    <n v="170"/>
    <n v="123"/>
    <n v="769"/>
    <n v="114"/>
  </r>
  <r>
    <x v="0"/>
    <x v="2"/>
    <d v="2017-08-07T00:00:00"/>
    <x v="2"/>
    <n v="38"/>
    <n v="170"/>
    <n v="123"/>
    <n v="766"/>
    <n v="130"/>
  </r>
  <r>
    <x v="0"/>
    <x v="2"/>
    <d v="2017-08-07T00:00:00"/>
    <x v="2"/>
    <n v="32"/>
    <n v="170"/>
    <n v="123"/>
    <n v="764"/>
    <n v="114"/>
  </r>
  <r>
    <x v="0"/>
    <x v="2"/>
    <d v="2017-08-07T00:00:00"/>
    <x v="0"/>
    <n v="41"/>
    <n v="125"/>
    <n v="114"/>
    <n v="765"/>
    <n v="142"/>
  </r>
  <r>
    <x v="0"/>
    <x v="2"/>
    <d v="2017-08-07T00:00:00"/>
    <x v="1"/>
    <n v="61"/>
    <n v="150"/>
    <n v="118"/>
    <n v="767"/>
    <n v="219"/>
  </r>
  <r>
    <x v="0"/>
    <x v="2"/>
    <d v="2017-08-08T00:00:00"/>
    <x v="1"/>
    <n v="62"/>
    <n v="150"/>
    <n v="118"/>
    <n v="776"/>
    <n v="225"/>
  </r>
  <r>
    <x v="0"/>
    <x v="2"/>
    <d v="2017-08-08T00:00:00"/>
    <x v="2"/>
    <n v="32"/>
    <n v="170"/>
    <n v="123"/>
    <n v="772"/>
    <n v="148"/>
  </r>
  <r>
    <x v="0"/>
    <x v="2"/>
    <d v="2017-08-08T00:00:00"/>
    <x v="1"/>
    <n v="43"/>
    <n v="150"/>
    <n v="118"/>
    <n v="773"/>
    <n v="149"/>
  </r>
  <r>
    <x v="0"/>
    <x v="2"/>
    <d v="2017-08-08T00:00:00"/>
    <x v="0"/>
    <n v="46"/>
    <n v="125"/>
    <n v="114"/>
    <n v="774"/>
    <n v="159"/>
  </r>
  <r>
    <x v="0"/>
    <x v="2"/>
    <d v="2017-08-08T00:00:00"/>
    <x v="2"/>
    <n v="45"/>
    <n v="170"/>
    <n v="123"/>
    <n v="775"/>
    <n v="161"/>
  </r>
  <r>
    <x v="0"/>
    <x v="2"/>
    <d v="2017-08-09T00:00:00"/>
    <x v="2"/>
    <n v="38"/>
    <n v="170"/>
    <n v="123"/>
    <n v="777"/>
    <n v="130"/>
  </r>
  <r>
    <x v="0"/>
    <x v="2"/>
    <d v="2017-08-09T00:00:00"/>
    <x v="2"/>
    <n v="43"/>
    <n v="170"/>
    <n v="123"/>
    <n v="778"/>
    <n v="153"/>
  </r>
  <r>
    <x v="0"/>
    <x v="2"/>
    <d v="2017-08-10T00:00:00"/>
    <x v="0"/>
    <n v="42"/>
    <n v="125"/>
    <n v="114"/>
    <n v="779"/>
    <n v="148"/>
  </r>
  <r>
    <x v="0"/>
    <x v="2"/>
    <d v="2017-08-10T00:00:00"/>
    <x v="2"/>
    <n v="49"/>
    <n v="170"/>
    <n v="123"/>
    <n v="780"/>
    <n v="169"/>
  </r>
  <r>
    <x v="0"/>
    <x v="2"/>
    <d v="2017-08-10T00:00:00"/>
    <x v="2"/>
    <n v="51"/>
    <n v="170"/>
    <n v="123"/>
    <n v="781"/>
    <n v="179"/>
  </r>
  <r>
    <x v="0"/>
    <x v="2"/>
    <d v="2017-08-10T00:00:00"/>
    <x v="1"/>
    <n v="51"/>
    <n v="150"/>
    <n v="118"/>
    <n v="782"/>
    <n v="182"/>
  </r>
  <r>
    <x v="0"/>
    <x v="2"/>
    <d v="2017-08-10T00:00:00"/>
    <x v="2"/>
    <n v="35"/>
    <n v="170"/>
    <n v="123"/>
    <n v="783"/>
    <n v="122"/>
  </r>
  <r>
    <x v="0"/>
    <x v="2"/>
    <d v="2017-08-11T00:00:00"/>
    <x v="0"/>
    <n v="35"/>
    <n v="125"/>
    <n v="114"/>
    <n v="786"/>
    <n v="128"/>
  </r>
  <r>
    <x v="0"/>
    <x v="2"/>
    <d v="2017-08-11T00:00:00"/>
    <x v="1"/>
    <n v="56"/>
    <n v="150"/>
    <n v="118"/>
    <n v="789"/>
    <n v="194"/>
  </r>
  <r>
    <x v="0"/>
    <x v="2"/>
    <d v="2017-08-11T00:00:00"/>
    <x v="0"/>
    <n v="55"/>
    <n v="125"/>
    <n v="114"/>
    <n v="787"/>
    <n v="199"/>
  </r>
  <r>
    <x v="0"/>
    <x v="2"/>
    <d v="2017-08-11T00:00:00"/>
    <x v="1"/>
    <n v="58"/>
    <n v="150"/>
    <n v="118"/>
    <n v="784"/>
    <n v="210"/>
  </r>
  <r>
    <x v="0"/>
    <x v="2"/>
    <d v="2017-08-11T00:00:00"/>
    <x v="2"/>
    <n v="54"/>
    <n v="170"/>
    <n v="123"/>
    <n v="788"/>
    <n v="190"/>
  </r>
  <r>
    <x v="0"/>
    <x v="2"/>
    <d v="2017-08-11T00:00:00"/>
    <x v="1"/>
    <n v="60"/>
    <n v="150"/>
    <n v="118"/>
    <n v="785"/>
    <n v="206"/>
  </r>
  <r>
    <x v="0"/>
    <x v="2"/>
    <d v="2017-08-14T00:00:00"/>
    <x v="0"/>
    <n v="40"/>
    <n v="125"/>
    <n v="114"/>
    <n v="795"/>
    <n v="146"/>
  </r>
  <r>
    <x v="0"/>
    <x v="2"/>
    <d v="2017-08-14T00:00:00"/>
    <x v="0"/>
    <n v="48"/>
    <n v="125"/>
    <n v="114"/>
    <n v="798"/>
    <n v="168"/>
  </r>
  <r>
    <x v="0"/>
    <x v="2"/>
    <d v="2017-08-14T00:00:00"/>
    <x v="2"/>
    <n v="55"/>
    <n v="170"/>
    <n v="123"/>
    <n v="796"/>
    <n v="198"/>
  </r>
  <r>
    <x v="0"/>
    <x v="2"/>
    <d v="2017-08-14T00:00:00"/>
    <x v="2"/>
    <n v="50"/>
    <n v="170"/>
    <n v="123"/>
    <n v="794"/>
    <n v="182"/>
  </r>
  <r>
    <x v="0"/>
    <x v="2"/>
    <d v="2017-08-14T00:00:00"/>
    <x v="0"/>
    <n v="56"/>
    <n v="125"/>
    <n v="114"/>
    <n v="793"/>
    <n v="207"/>
  </r>
  <r>
    <x v="0"/>
    <x v="2"/>
    <d v="2017-08-14T00:00:00"/>
    <x v="2"/>
    <n v="47"/>
    <n v="170"/>
    <n v="123"/>
    <n v="792"/>
    <n v="165"/>
  </r>
  <r>
    <x v="0"/>
    <x v="2"/>
    <d v="2017-08-14T00:00:00"/>
    <x v="1"/>
    <n v="58"/>
    <n v="150"/>
    <n v="118"/>
    <n v="791"/>
    <n v="209"/>
  </r>
  <r>
    <x v="0"/>
    <x v="2"/>
    <d v="2017-08-14T00:00:00"/>
    <x v="2"/>
    <n v="44"/>
    <n v="170"/>
    <n v="123"/>
    <n v="790"/>
    <n v="152"/>
  </r>
  <r>
    <x v="0"/>
    <x v="2"/>
    <d v="2017-08-14T00:00:00"/>
    <x v="1"/>
    <n v="47"/>
    <n v="150"/>
    <n v="118"/>
    <n v="797"/>
    <n v="162"/>
  </r>
  <r>
    <x v="0"/>
    <x v="2"/>
    <d v="2017-08-15T00:00:00"/>
    <x v="2"/>
    <n v="47"/>
    <n v="170"/>
    <n v="123"/>
    <n v="799"/>
    <n v="164"/>
  </r>
  <r>
    <x v="0"/>
    <x v="2"/>
    <d v="2017-08-15T00:00:00"/>
    <x v="0"/>
    <n v="49"/>
    <n v="125"/>
    <n v="114"/>
    <n v="800"/>
    <n v="176"/>
  </r>
  <r>
    <x v="0"/>
    <x v="2"/>
    <d v="2017-08-15T00:00:00"/>
    <x v="0"/>
    <n v="51"/>
    <n v="125"/>
    <n v="114"/>
    <n v="801"/>
    <n v="175"/>
  </r>
  <r>
    <x v="0"/>
    <x v="2"/>
    <d v="2017-08-16T00:00:00"/>
    <x v="2"/>
    <n v="38"/>
    <n v="170"/>
    <n v="123"/>
    <n v="806"/>
    <n v="140"/>
  </r>
  <r>
    <x v="0"/>
    <x v="2"/>
    <d v="2017-08-16T00:00:00"/>
    <x v="1"/>
    <n v="43"/>
    <n v="150"/>
    <n v="118"/>
    <n v="809"/>
    <n v="148"/>
  </r>
  <r>
    <x v="0"/>
    <x v="2"/>
    <d v="2017-08-16T00:00:00"/>
    <x v="1"/>
    <n v="40"/>
    <n v="150"/>
    <n v="118"/>
    <n v="808"/>
    <n v="140"/>
  </r>
  <r>
    <x v="0"/>
    <x v="2"/>
    <d v="2017-08-16T00:00:00"/>
    <x v="1"/>
    <n v="61"/>
    <n v="150"/>
    <n v="118"/>
    <n v="807"/>
    <n v="222"/>
  </r>
  <r>
    <x v="0"/>
    <x v="2"/>
    <d v="2017-08-16T00:00:00"/>
    <x v="2"/>
    <n v="49"/>
    <n v="170"/>
    <n v="123"/>
    <n v="804"/>
    <n v="180"/>
  </r>
  <r>
    <x v="0"/>
    <x v="2"/>
    <d v="2017-08-16T00:00:00"/>
    <x v="2"/>
    <n v="37"/>
    <n v="170"/>
    <n v="123"/>
    <n v="803"/>
    <n v="136"/>
  </r>
  <r>
    <x v="0"/>
    <x v="2"/>
    <d v="2017-08-16T00:00:00"/>
    <x v="1"/>
    <n v="44"/>
    <n v="150"/>
    <n v="118"/>
    <n v="802"/>
    <n v="162"/>
  </r>
  <r>
    <x v="0"/>
    <x v="2"/>
    <d v="2017-08-16T00:00:00"/>
    <x v="1"/>
    <n v="54"/>
    <n v="150"/>
    <n v="118"/>
    <n v="810"/>
    <n v="194"/>
  </r>
  <r>
    <x v="0"/>
    <x v="2"/>
    <d v="2017-08-16T00:00:00"/>
    <x v="2"/>
    <n v="49"/>
    <n v="170"/>
    <n v="123"/>
    <n v="805"/>
    <n v="176"/>
  </r>
  <r>
    <x v="0"/>
    <x v="2"/>
    <d v="2017-08-17T00:00:00"/>
    <x v="2"/>
    <n v="50"/>
    <n v="170"/>
    <n v="123"/>
    <n v="814"/>
    <n v="235"/>
  </r>
  <r>
    <x v="0"/>
    <x v="2"/>
    <d v="2017-08-17T00:00:00"/>
    <x v="0"/>
    <n v="37"/>
    <n v="125"/>
    <n v="114"/>
    <n v="815"/>
    <n v="130"/>
  </r>
  <r>
    <x v="0"/>
    <x v="2"/>
    <d v="2017-08-17T00:00:00"/>
    <x v="2"/>
    <n v="41"/>
    <n v="170"/>
    <n v="123"/>
    <n v="813"/>
    <n v="147"/>
  </r>
  <r>
    <x v="0"/>
    <x v="2"/>
    <d v="2017-08-17T00:00:00"/>
    <x v="0"/>
    <n v="45"/>
    <n v="125"/>
    <n v="114"/>
    <n v="812"/>
    <n v="155"/>
  </r>
  <r>
    <x v="0"/>
    <x v="2"/>
    <d v="2017-08-17T00:00:00"/>
    <x v="2"/>
    <n v="35"/>
    <n v="170"/>
    <n v="123"/>
    <n v="811"/>
    <n v="127"/>
  </r>
  <r>
    <x v="0"/>
    <x v="2"/>
    <d v="2017-08-18T00:00:00"/>
    <x v="1"/>
    <n v="65"/>
    <n v="150"/>
    <n v="118"/>
    <n v="817"/>
    <n v="250"/>
  </r>
  <r>
    <x v="0"/>
    <x v="2"/>
    <d v="2017-08-18T00:00:00"/>
    <x v="1"/>
    <n v="55"/>
    <n v="150"/>
    <n v="118"/>
    <n v="818"/>
    <n v="195"/>
  </r>
  <r>
    <x v="0"/>
    <x v="2"/>
    <d v="2017-08-18T00:00:00"/>
    <x v="1"/>
    <n v="55"/>
    <n v="150"/>
    <n v="118"/>
    <n v="819"/>
    <n v="189"/>
  </r>
  <r>
    <x v="0"/>
    <x v="2"/>
    <d v="2017-08-18T00:00:00"/>
    <x v="1"/>
    <n v="48"/>
    <n v="150"/>
    <n v="118"/>
    <n v="820"/>
    <n v="174"/>
  </r>
  <r>
    <x v="0"/>
    <x v="2"/>
    <d v="2017-08-18T00:00:00"/>
    <x v="1"/>
    <n v="41"/>
    <n v="150"/>
    <n v="118"/>
    <n v="821"/>
    <n v="191"/>
  </r>
  <r>
    <x v="0"/>
    <x v="2"/>
    <d v="2017-08-18T00:00:00"/>
    <x v="0"/>
    <n v="51"/>
    <n v="125"/>
    <n v="114"/>
    <n v="822"/>
    <n v="178"/>
  </r>
  <r>
    <x v="0"/>
    <x v="2"/>
    <d v="2017-08-18T00:00:00"/>
    <x v="1"/>
    <n v="43"/>
    <n v="150"/>
    <n v="118"/>
    <n v="816"/>
    <n v="150"/>
  </r>
  <r>
    <x v="0"/>
    <x v="2"/>
    <d v="2017-08-21T00:00:00"/>
    <x v="2"/>
    <n v="35"/>
    <n v="170"/>
    <n v="123"/>
    <n v="823"/>
    <n v="127"/>
  </r>
  <r>
    <x v="0"/>
    <x v="2"/>
    <d v="2017-08-21T00:00:00"/>
    <x v="2"/>
    <n v="38"/>
    <n v="170"/>
    <n v="123"/>
    <n v="825"/>
    <n v="178"/>
  </r>
  <r>
    <x v="0"/>
    <x v="2"/>
    <d v="2017-08-21T00:00:00"/>
    <x v="0"/>
    <n v="44"/>
    <n v="125"/>
    <n v="114"/>
    <n v="824"/>
    <n v="151"/>
  </r>
  <r>
    <x v="0"/>
    <x v="2"/>
    <d v="2017-08-22T00:00:00"/>
    <x v="0"/>
    <n v="39"/>
    <n v="125"/>
    <n v="114"/>
    <n v="826"/>
    <n v="137"/>
  </r>
  <r>
    <x v="0"/>
    <x v="2"/>
    <d v="2017-08-22T00:00:00"/>
    <x v="2"/>
    <n v="55"/>
    <n v="170"/>
    <n v="123"/>
    <n v="827"/>
    <n v="196"/>
  </r>
  <r>
    <x v="0"/>
    <x v="2"/>
    <d v="2017-08-22T00:00:00"/>
    <x v="0"/>
    <n v="37"/>
    <n v="125"/>
    <n v="114"/>
    <n v="828"/>
    <n v="128"/>
  </r>
  <r>
    <x v="0"/>
    <x v="2"/>
    <d v="2017-08-22T00:00:00"/>
    <x v="0"/>
    <n v="53"/>
    <n v="125"/>
    <n v="114"/>
    <n v="829"/>
    <n v="186"/>
  </r>
  <r>
    <x v="0"/>
    <x v="2"/>
    <d v="2017-08-23T00:00:00"/>
    <x v="1"/>
    <n v="47"/>
    <n v="150"/>
    <n v="118"/>
    <n v="832"/>
    <n v="172"/>
  </r>
  <r>
    <x v="0"/>
    <x v="2"/>
    <d v="2017-08-23T00:00:00"/>
    <x v="2"/>
    <n v="53"/>
    <n v="170"/>
    <n v="123"/>
    <n v="835"/>
    <n v="194"/>
  </r>
  <r>
    <x v="0"/>
    <x v="2"/>
    <d v="2017-08-23T00:00:00"/>
    <x v="2"/>
    <n v="29"/>
    <n v="170"/>
    <n v="123"/>
    <n v="833"/>
    <n v="102"/>
  </r>
  <r>
    <x v="0"/>
    <x v="2"/>
    <d v="2017-08-23T00:00:00"/>
    <x v="2"/>
    <n v="53"/>
    <n v="170"/>
    <n v="123"/>
    <n v="831"/>
    <n v="199"/>
  </r>
  <r>
    <x v="0"/>
    <x v="2"/>
    <d v="2017-08-23T00:00:00"/>
    <x v="0"/>
    <n v="59"/>
    <n v="125"/>
    <n v="114"/>
    <n v="830"/>
    <n v="219"/>
  </r>
  <r>
    <x v="0"/>
    <x v="2"/>
    <d v="2017-08-23T00:00:00"/>
    <x v="1"/>
    <n v="63"/>
    <n v="150"/>
    <n v="118"/>
    <n v="834"/>
    <n v="238"/>
  </r>
  <r>
    <x v="0"/>
    <x v="2"/>
    <d v="2017-08-24T00:00:00"/>
    <x v="0"/>
    <n v="45"/>
    <n v="125"/>
    <n v="114"/>
    <n v="836"/>
    <n v="158"/>
  </r>
  <r>
    <x v="0"/>
    <x v="2"/>
    <d v="2017-08-24T00:00:00"/>
    <x v="1"/>
    <n v="61"/>
    <n v="150"/>
    <n v="118"/>
    <n v="837"/>
    <n v="216"/>
  </r>
  <r>
    <x v="0"/>
    <x v="2"/>
    <d v="2017-08-24T00:00:00"/>
    <x v="2"/>
    <n v="41"/>
    <n v="170"/>
    <n v="123"/>
    <n v="838"/>
    <n v="143"/>
  </r>
  <r>
    <x v="0"/>
    <x v="2"/>
    <d v="2017-08-24T00:00:00"/>
    <x v="0"/>
    <n v="41"/>
    <n v="125"/>
    <n v="114"/>
    <n v="839"/>
    <n v="150"/>
  </r>
  <r>
    <x v="0"/>
    <x v="2"/>
    <d v="2017-08-24T00:00:00"/>
    <x v="1"/>
    <n v="53"/>
    <n v="150"/>
    <n v="118"/>
    <n v="840"/>
    <n v="195"/>
  </r>
  <r>
    <x v="0"/>
    <x v="2"/>
    <d v="2017-08-25T00:00:00"/>
    <x v="1"/>
    <n v="43"/>
    <n v="150"/>
    <n v="118"/>
    <n v="842"/>
    <n v="199"/>
  </r>
  <r>
    <x v="0"/>
    <x v="2"/>
    <d v="2017-08-25T00:00:00"/>
    <x v="1"/>
    <n v="65"/>
    <n v="150"/>
    <n v="118"/>
    <n v="843"/>
    <n v="230"/>
  </r>
  <r>
    <x v="0"/>
    <x v="2"/>
    <d v="2017-08-25T00:00:00"/>
    <x v="1"/>
    <n v="50"/>
    <n v="150"/>
    <n v="118"/>
    <n v="844"/>
    <n v="181"/>
  </r>
  <r>
    <x v="0"/>
    <x v="2"/>
    <d v="2017-08-25T00:00:00"/>
    <x v="1"/>
    <n v="47"/>
    <n v="150"/>
    <n v="118"/>
    <n v="841"/>
    <n v="168"/>
  </r>
  <r>
    <x v="0"/>
    <x v="2"/>
    <d v="2017-08-28T00:00:00"/>
    <x v="0"/>
    <n v="48"/>
    <n v="125"/>
    <n v="114"/>
    <n v="845"/>
    <n v="225"/>
  </r>
  <r>
    <x v="0"/>
    <x v="2"/>
    <d v="2017-08-28T00:00:00"/>
    <x v="2"/>
    <n v="37"/>
    <n v="170"/>
    <n v="123"/>
    <n v="846"/>
    <n v="130"/>
  </r>
  <r>
    <x v="0"/>
    <x v="2"/>
    <d v="2017-08-29T00:00:00"/>
    <x v="0"/>
    <n v="46"/>
    <n v="125"/>
    <n v="114"/>
    <n v="851"/>
    <n v="159"/>
  </r>
  <r>
    <x v="0"/>
    <x v="2"/>
    <d v="2017-08-29T00:00:00"/>
    <x v="1"/>
    <n v="58"/>
    <n v="150"/>
    <n v="118"/>
    <n v="847"/>
    <n v="268"/>
  </r>
  <r>
    <x v="0"/>
    <x v="2"/>
    <d v="2017-08-29T00:00:00"/>
    <x v="2"/>
    <n v="54"/>
    <n v="170"/>
    <n v="123"/>
    <n v="848"/>
    <n v="189"/>
  </r>
  <r>
    <x v="0"/>
    <x v="2"/>
    <d v="2017-08-29T00:00:00"/>
    <x v="1"/>
    <n v="49"/>
    <n v="150"/>
    <n v="118"/>
    <n v="849"/>
    <n v="168"/>
  </r>
  <r>
    <x v="0"/>
    <x v="2"/>
    <d v="2017-08-29T00:00:00"/>
    <x v="0"/>
    <n v="38"/>
    <n v="125"/>
    <n v="114"/>
    <n v="850"/>
    <n v="140"/>
  </r>
  <r>
    <x v="0"/>
    <x v="2"/>
    <d v="2017-08-30T00:00:00"/>
    <x v="0"/>
    <n v="41"/>
    <n v="125"/>
    <n v="114"/>
    <n v="859"/>
    <n v="150"/>
  </r>
  <r>
    <x v="0"/>
    <x v="2"/>
    <d v="2017-08-30T00:00:00"/>
    <x v="2"/>
    <n v="42"/>
    <n v="170"/>
    <n v="123"/>
    <n v="858"/>
    <n v="196"/>
  </r>
  <r>
    <x v="0"/>
    <x v="2"/>
    <d v="2017-08-30T00:00:00"/>
    <x v="2"/>
    <n v="52"/>
    <n v="170"/>
    <n v="123"/>
    <n v="857"/>
    <n v="179"/>
  </r>
  <r>
    <x v="0"/>
    <x v="2"/>
    <d v="2017-08-30T00:00:00"/>
    <x v="1"/>
    <n v="39"/>
    <n v="150"/>
    <n v="118"/>
    <n v="856"/>
    <n v="138"/>
  </r>
  <r>
    <x v="0"/>
    <x v="2"/>
    <d v="2017-08-30T00:00:00"/>
    <x v="1"/>
    <n v="47"/>
    <n v="150"/>
    <n v="118"/>
    <n v="855"/>
    <n v="162"/>
  </r>
  <r>
    <x v="0"/>
    <x v="2"/>
    <d v="2017-08-30T00:00:00"/>
    <x v="2"/>
    <n v="53"/>
    <n v="170"/>
    <n v="123"/>
    <n v="854"/>
    <n v="190"/>
  </r>
  <r>
    <x v="0"/>
    <x v="2"/>
    <d v="2017-08-30T00:00:00"/>
    <x v="2"/>
    <n v="42"/>
    <n v="170"/>
    <n v="123"/>
    <n v="852"/>
    <n v="152"/>
  </r>
  <r>
    <x v="0"/>
    <x v="2"/>
    <d v="2017-08-30T00:00:00"/>
    <x v="1"/>
    <n v="61"/>
    <n v="150"/>
    <n v="118"/>
    <n v="853"/>
    <n v="212"/>
  </r>
  <r>
    <x v="0"/>
    <x v="2"/>
    <d v="2017-08-31T00:00:00"/>
    <x v="2"/>
    <n v="38"/>
    <n v="170"/>
    <n v="123"/>
    <n v="861"/>
    <n v="133"/>
  </r>
  <r>
    <x v="0"/>
    <x v="2"/>
    <d v="2017-08-31T00:00:00"/>
    <x v="2"/>
    <n v="55"/>
    <n v="170"/>
    <n v="123"/>
    <n v="860"/>
    <n v="189"/>
  </r>
  <r>
    <x v="0"/>
    <x v="2"/>
    <d v="2017-09-01T00:00:00"/>
    <x v="0"/>
    <n v="44"/>
    <n v="125"/>
    <n v="114"/>
    <n v="862"/>
    <n v="154"/>
  </r>
  <r>
    <x v="0"/>
    <x v="2"/>
    <d v="2017-09-01T00:00:00"/>
    <x v="1"/>
    <n v="47"/>
    <n v="150"/>
    <n v="118"/>
    <n v="863"/>
    <n v="173"/>
  </r>
  <r>
    <x v="0"/>
    <x v="2"/>
    <d v="2017-09-04T00:00:00"/>
    <x v="0"/>
    <n v="47"/>
    <n v="125"/>
    <n v="114"/>
    <n v="864"/>
    <n v="168"/>
  </r>
  <r>
    <x v="0"/>
    <x v="2"/>
    <d v="2017-09-04T00:00:00"/>
    <x v="0"/>
    <n v="46"/>
    <n v="125"/>
    <n v="114"/>
    <n v="865"/>
    <n v="176"/>
  </r>
  <r>
    <x v="0"/>
    <x v="2"/>
    <d v="2017-09-04T00:00:00"/>
    <x v="0"/>
    <n v="51"/>
    <n v="125"/>
    <n v="114"/>
    <n v="866"/>
    <n v="178"/>
  </r>
  <r>
    <x v="0"/>
    <x v="2"/>
    <d v="2017-09-04T00:00:00"/>
    <x v="1"/>
    <n v="58"/>
    <n v="150"/>
    <n v="118"/>
    <n v="867"/>
    <n v="199"/>
  </r>
  <r>
    <x v="0"/>
    <x v="2"/>
    <d v="2017-09-04T00:00:00"/>
    <x v="2"/>
    <n v="54"/>
    <n v="170"/>
    <n v="123"/>
    <n v="868"/>
    <n v="194"/>
  </r>
  <r>
    <x v="0"/>
    <x v="2"/>
    <d v="2017-09-05T00:00:00"/>
    <x v="0"/>
    <n v="42"/>
    <n v="125"/>
    <n v="114"/>
    <n v="870"/>
    <n v="148"/>
  </r>
  <r>
    <x v="0"/>
    <x v="2"/>
    <d v="2017-09-05T00:00:00"/>
    <x v="1"/>
    <n v="64"/>
    <n v="150"/>
    <n v="118"/>
    <n v="869"/>
    <n v="221"/>
  </r>
  <r>
    <x v="0"/>
    <x v="2"/>
    <d v="2017-09-06T00:00:00"/>
    <x v="2"/>
    <n v="50"/>
    <n v="170"/>
    <n v="123"/>
    <n v="876"/>
    <n v="178"/>
  </r>
  <r>
    <x v="0"/>
    <x v="2"/>
    <d v="2017-09-06T00:00:00"/>
    <x v="0"/>
    <n v="46"/>
    <n v="125"/>
    <n v="114"/>
    <n v="875"/>
    <n v="165"/>
  </r>
  <r>
    <x v="0"/>
    <x v="2"/>
    <d v="2017-09-06T00:00:00"/>
    <x v="0"/>
    <n v="52"/>
    <n v="125"/>
    <n v="114"/>
    <n v="874"/>
    <n v="187"/>
  </r>
  <r>
    <x v="0"/>
    <x v="2"/>
    <d v="2017-09-06T00:00:00"/>
    <x v="1"/>
    <n v="42"/>
    <n v="150"/>
    <n v="118"/>
    <n v="873"/>
    <n v="153"/>
  </r>
  <r>
    <x v="0"/>
    <x v="2"/>
    <d v="2017-09-06T00:00:00"/>
    <x v="2"/>
    <n v="37"/>
    <n v="170"/>
    <n v="123"/>
    <n v="871"/>
    <n v="142"/>
  </r>
  <r>
    <x v="0"/>
    <x v="2"/>
    <d v="2017-09-06T00:00:00"/>
    <x v="1"/>
    <n v="40"/>
    <n v="150"/>
    <n v="118"/>
    <n v="872"/>
    <n v="141"/>
  </r>
  <r>
    <x v="0"/>
    <x v="2"/>
    <d v="2017-09-07T00:00:00"/>
    <x v="2"/>
    <n v="44"/>
    <n v="170"/>
    <n v="123"/>
    <n v="878"/>
    <n v="151"/>
  </r>
  <r>
    <x v="0"/>
    <x v="2"/>
    <d v="2017-09-07T00:00:00"/>
    <x v="1"/>
    <n v="62"/>
    <n v="150"/>
    <n v="118"/>
    <n v="883"/>
    <n v="222"/>
  </r>
  <r>
    <x v="0"/>
    <x v="2"/>
    <d v="2017-09-07T00:00:00"/>
    <x v="2"/>
    <n v="39"/>
    <n v="170"/>
    <n v="123"/>
    <n v="884"/>
    <n v="179"/>
  </r>
  <r>
    <x v="0"/>
    <x v="2"/>
    <d v="2017-09-07T00:00:00"/>
    <x v="0"/>
    <n v="35"/>
    <n v="125"/>
    <n v="114"/>
    <n v="882"/>
    <n v="124"/>
  </r>
  <r>
    <x v="0"/>
    <x v="2"/>
    <d v="2017-09-07T00:00:00"/>
    <x v="0"/>
    <n v="60"/>
    <n v="125"/>
    <n v="114"/>
    <n v="879"/>
    <n v="212"/>
  </r>
  <r>
    <x v="0"/>
    <x v="2"/>
    <d v="2017-09-07T00:00:00"/>
    <x v="0"/>
    <n v="45"/>
    <n v="125"/>
    <n v="114"/>
    <n v="877"/>
    <n v="155"/>
  </r>
  <r>
    <x v="0"/>
    <x v="2"/>
    <d v="2017-09-07T00:00:00"/>
    <x v="0"/>
    <n v="58"/>
    <n v="125"/>
    <n v="114"/>
    <n v="880"/>
    <n v="201"/>
  </r>
  <r>
    <x v="0"/>
    <x v="2"/>
    <d v="2017-09-07T00:00:00"/>
    <x v="0"/>
    <n v="59"/>
    <n v="125"/>
    <n v="114"/>
    <n v="881"/>
    <n v="211"/>
  </r>
  <r>
    <x v="0"/>
    <x v="2"/>
    <d v="2017-09-08T00:00:00"/>
    <x v="2"/>
    <n v="54"/>
    <n v="170"/>
    <n v="123"/>
    <n v="889"/>
    <n v="195"/>
  </r>
  <r>
    <x v="0"/>
    <x v="2"/>
    <d v="2017-09-08T00:00:00"/>
    <x v="2"/>
    <n v="49"/>
    <n v="170"/>
    <n v="123"/>
    <n v="890"/>
    <n v="172"/>
  </r>
  <r>
    <x v="0"/>
    <x v="2"/>
    <d v="2017-09-08T00:00:00"/>
    <x v="0"/>
    <n v="44"/>
    <n v="125"/>
    <n v="114"/>
    <n v="888"/>
    <n v="155"/>
  </r>
  <r>
    <x v="0"/>
    <x v="2"/>
    <d v="2017-09-08T00:00:00"/>
    <x v="2"/>
    <n v="38"/>
    <n v="170"/>
    <n v="123"/>
    <n v="887"/>
    <n v="134"/>
  </r>
  <r>
    <x v="0"/>
    <x v="2"/>
    <d v="2017-09-08T00:00:00"/>
    <x v="1"/>
    <n v="45"/>
    <n v="150"/>
    <n v="118"/>
    <n v="886"/>
    <n v="160"/>
  </r>
  <r>
    <x v="0"/>
    <x v="2"/>
    <d v="2017-09-08T00:00:00"/>
    <x v="0"/>
    <n v="42"/>
    <n v="125"/>
    <n v="114"/>
    <n v="885"/>
    <n v="150"/>
  </r>
  <r>
    <x v="0"/>
    <x v="2"/>
    <d v="2017-09-11T00:00:00"/>
    <x v="1"/>
    <n v="54"/>
    <n v="150"/>
    <n v="118"/>
    <n v="892"/>
    <n v="254"/>
  </r>
  <r>
    <x v="0"/>
    <x v="2"/>
    <d v="2017-09-11T00:00:00"/>
    <x v="2"/>
    <n v="43"/>
    <n v="170"/>
    <n v="123"/>
    <n v="893"/>
    <n v="156"/>
  </r>
  <r>
    <x v="0"/>
    <x v="2"/>
    <d v="2017-09-11T00:00:00"/>
    <x v="0"/>
    <n v="36"/>
    <n v="125"/>
    <n v="114"/>
    <n v="894"/>
    <n v="125"/>
  </r>
  <r>
    <x v="0"/>
    <x v="2"/>
    <d v="2017-09-11T00:00:00"/>
    <x v="0"/>
    <n v="59"/>
    <n v="125"/>
    <n v="114"/>
    <n v="891"/>
    <n v="209"/>
  </r>
  <r>
    <x v="0"/>
    <x v="2"/>
    <d v="2017-09-12T00:00:00"/>
    <x v="2"/>
    <n v="37"/>
    <n v="170"/>
    <n v="123"/>
    <n v="895"/>
    <n v="131"/>
  </r>
  <r>
    <x v="0"/>
    <x v="2"/>
    <d v="2017-09-12T00:00:00"/>
    <x v="0"/>
    <n v="54"/>
    <n v="125"/>
    <n v="114"/>
    <n v="896"/>
    <n v="189"/>
  </r>
  <r>
    <x v="0"/>
    <x v="2"/>
    <d v="2017-09-12T00:00:00"/>
    <x v="1"/>
    <n v="41"/>
    <n v="150"/>
    <n v="118"/>
    <n v="897"/>
    <n v="148"/>
  </r>
  <r>
    <x v="0"/>
    <x v="2"/>
    <d v="2017-09-12T00:00:00"/>
    <x v="1"/>
    <n v="62"/>
    <n v="150"/>
    <n v="118"/>
    <n v="898"/>
    <n v="216"/>
  </r>
  <r>
    <x v="0"/>
    <x v="2"/>
    <d v="2017-09-13T00:00:00"/>
    <x v="1"/>
    <n v="44"/>
    <n v="150"/>
    <n v="118"/>
    <n v="899"/>
    <n v="156"/>
  </r>
  <r>
    <x v="0"/>
    <x v="2"/>
    <d v="2017-09-13T00:00:00"/>
    <x v="2"/>
    <n v="43"/>
    <n v="170"/>
    <n v="123"/>
    <n v="900"/>
    <n v="151"/>
  </r>
  <r>
    <x v="0"/>
    <x v="2"/>
    <d v="2017-09-14T00:00:00"/>
    <x v="0"/>
    <n v="36"/>
    <n v="125"/>
    <n v="114"/>
    <n v="902"/>
    <n v="127"/>
  </r>
  <r>
    <x v="0"/>
    <x v="2"/>
    <d v="2017-09-14T00:00:00"/>
    <x v="0"/>
    <n v="43"/>
    <n v="125"/>
    <n v="114"/>
    <n v="903"/>
    <n v="150"/>
  </r>
  <r>
    <x v="0"/>
    <x v="2"/>
    <d v="2017-09-14T00:00:00"/>
    <x v="2"/>
    <n v="31"/>
    <n v="170"/>
    <n v="123"/>
    <n v="904"/>
    <n v="114"/>
  </r>
  <r>
    <x v="0"/>
    <x v="2"/>
    <d v="2017-09-14T00:00:00"/>
    <x v="1"/>
    <n v="56"/>
    <n v="150"/>
    <n v="118"/>
    <n v="905"/>
    <n v="201"/>
  </r>
  <r>
    <x v="0"/>
    <x v="2"/>
    <d v="2017-09-14T00:00:00"/>
    <x v="0"/>
    <n v="49"/>
    <n v="125"/>
    <n v="114"/>
    <n v="906"/>
    <n v="180"/>
  </r>
  <r>
    <x v="0"/>
    <x v="2"/>
    <d v="2017-09-14T00:00:00"/>
    <x v="2"/>
    <n v="41"/>
    <n v="170"/>
    <n v="123"/>
    <n v="907"/>
    <n v="157"/>
  </r>
  <r>
    <x v="0"/>
    <x v="2"/>
    <d v="2017-09-14T00:00:00"/>
    <x v="1"/>
    <n v="41"/>
    <n v="150"/>
    <n v="118"/>
    <n v="901"/>
    <n v="143"/>
  </r>
  <r>
    <x v="0"/>
    <x v="2"/>
    <d v="2017-09-15T00:00:00"/>
    <x v="2"/>
    <n v="33"/>
    <n v="170"/>
    <n v="123"/>
    <n v="908"/>
    <n v="119"/>
  </r>
  <r>
    <x v="0"/>
    <x v="2"/>
    <d v="2017-09-15T00:00:00"/>
    <x v="0"/>
    <n v="49"/>
    <n v="125"/>
    <n v="114"/>
    <n v="916"/>
    <n v="169"/>
  </r>
  <r>
    <x v="0"/>
    <x v="2"/>
    <d v="2017-09-15T00:00:00"/>
    <x v="0"/>
    <n v="47"/>
    <n v="125"/>
    <n v="114"/>
    <n v="915"/>
    <n v="163"/>
  </r>
  <r>
    <x v="0"/>
    <x v="2"/>
    <d v="2017-09-15T00:00:00"/>
    <x v="1"/>
    <n v="39"/>
    <n v="150"/>
    <n v="118"/>
    <n v="914"/>
    <n v="141"/>
  </r>
  <r>
    <x v="0"/>
    <x v="2"/>
    <d v="2017-09-15T00:00:00"/>
    <x v="0"/>
    <n v="57"/>
    <n v="125"/>
    <n v="114"/>
    <n v="913"/>
    <n v="199"/>
  </r>
  <r>
    <x v="0"/>
    <x v="2"/>
    <d v="2017-09-15T00:00:00"/>
    <x v="0"/>
    <n v="60"/>
    <n v="125"/>
    <n v="114"/>
    <n v="912"/>
    <n v="228"/>
  </r>
  <r>
    <x v="0"/>
    <x v="2"/>
    <d v="2017-09-15T00:00:00"/>
    <x v="1"/>
    <n v="39"/>
    <n v="150"/>
    <n v="118"/>
    <n v="911"/>
    <n v="139"/>
  </r>
  <r>
    <x v="0"/>
    <x v="2"/>
    <d v="2017-09-15T00:00:00"/>
    <x v="2"/>
    <n v="38"/>
    <n v="170"/>
    <n v="123"/>
    <n v="909"/>
    <n v="140"/>
  </r>
  <r>
    <x v="0"/>
    <x v="2"/>
    <d v="2017-09-15T00:00:00"/>
    <x v="2"/>
    <n v="34"/>
    <n v="170"/>
    <n v="123"/>
    <n v="910"/>
    <n v="120"/>
  </r>
  <r>
    <x v="0"/>
    <x v="2"/>
    <d v="2017-09-18T00:00:00"/>
    <x v="1"/>
    <n v="54"/>
    <n v="150"/>
    <n v="118"/>
    <n v="920"/>
    <n v="194"/>
  </r>
  <r>
    <x v="0"/>
    <x v="2"/>
    <d v="2017-09-18T00:00:00"/>
    <x v="0"/>
    <n v="36"/>
    <n v="125"/>
    <n v="114"/>
    <n v="921"/>
    <n v="128"/>
  </r>
  <r>
    <x v="0"/>
    <x v="2"/>
    <d v="2017-09-18T00:00:00"/>
    <x v="0"/>
    <n v="45"/>
    <n v="125"/>
    <n v="114"/>
    <n v="919"/>
    <n v="161"/>
  </r>
  <r>
    <x v="0"/>
    <x v="2"/>
    <d v="2017-09-18T00:00:00"/>
    <x v="1"/>
    <n v="45"/>
    <n v="150"/>
    <n v="118"/>
    <n v="917"/>
    <n v="163"/>
  </r>
  <r>
    <x v="0"/>
    <x v="2"/>
    <d v="2017-09-18T00:00:00"/>
    <x v="0"/>
    <n v="58"/>
    <n v="125"/>
    <n v="114"/>
    <n v="918"/>
    <n v="199"/>
  </r>
  <r>
    <x v="0"/>
    <x v="2"/>
    <d v="2017-09-19T00:00:00"/>
    <x v="0"/>
    <n v="52"/>
    <n v="125"/>
    <n v="114"/>
    <n v="922"/>
    <n v="187"/>
  </r>
  <r>
    <x v="0"/>
    <x v="2"/>
    <d v="2017-09-19T00:00:00"/>
    <x v="1"/>
    <n v="52"/>
    <n v="150"/>
    <n v="118"/>
    <n v="923"/>
    <n v="184"/>
  </r>
  <r>
    <x v="0"/>
    <x v="2"/>
    <d v="2017-09-19T00:00:00"/>
    <x v="1"/>
    <n v="49"/>
    <n v="150"/>
    <n v="118"/>
    <n v="924"/>
    <n v="176"/>
  </r>
  <r>
    <x v="0"/>
    <x v="2"/>
    <d v="2017-09-19T00:00:00"/>
    <x v="0"/>
    <n v="53"/>
    <n v="125"/>
    <n v="114"/>
    <n v="925"/>
    <n v="193"/>
  </r>
  <r>
    <x v="0"/>
    <x v="2"/>
    <d v="2017-09-20T00:00:00"/>
    <x v="0"/>
    <n v="40"/>
    <n v="125"/>
    <n v="114"/>
    <n v="927"/>
    <n v="141"/>
  </r>
  <r>
    <x v="0"/>
    <x v="2"/>
    <d v="2017-09-20T00:00:00"/>
    <x v="1"/>
    <n v="47"/>
    <n v="150"/>
    <n v="118"/>
    <n v="928"/>
    <n v="162"/>
  </r>
  <r>
    <x v="0"/>
    <x v="2"/>
    <d v="2017-09-20T00:00:00"/>
    <x v="0"/>
    <n v="51"/>
    <n v="125"/>
    <n v="114"/>
    <n v="926"/>
    <n v="186"/>
  </r>
  <r>
    <x v="0"/>
    <x v="2"/>
    <d v="2017-09-21T00:00:00"/>
    <x v="0"/>
    <n v="49"/>
    <n v="125"/>
    <n v="114"/>
    <n v="930"/>
    <n v="180"/>
  </r>
  <r>
    <x v="0"/>
    <x v="2"/>
    <d v="2017-09-21T00:00:00"/>
    <x v="1"/>
    <n v="59"/>
    <n v="150"/>
    <n v="118"/>
    <n v="931"/>
    <n v="216"/>
  </r>
  <r>
    <x v="0"/>
    <x v="2"/>
    <d v="2017-09-21T00:00:00"/>
    <x v="0"/>
    <n v="49"/>
    <n v="125"/>
    <n v="114"/>
    <n v="932"/>
    <n v="175"/>
  </r>
  <r>
    <x v="0"/>
    <x v="2"/>
    <d v="2017-09-21T00:00:00"/>
    <x v="2"/>
    <n v="55"/>
    <n v="170"/>
    <n v="123"/>
    <n v="933"/>
    <n v="253"/>
  </r>
  <r>
    <x v="0"/>
    <x v="2"/>
    <d v="2017-09-21T00:00:00"/>
    <x v="2"/>
    <n v="46"/>
    <n v="170"/>
    <n v="123"/>
    <n v="929"/>
    <n v="166"/>
  </r>
  <r>
    <x v="0"/>
    <x v="2"/>
    <d v="2017-09-22T00:00:00"/>
    <x v="2"/>
    <n v="55"/>
    <n v="170"/>
    <n v="123"/>
    <n v="935"/>
    <n v="197"/>
  </r>
  <r>
    <x v="0"/>
    <x v="2"/>
    <d v="2017-09-22T00:00:00"/>
    <x v="0"/>
    <n v="44"/>
    <n v="125"/>
    <n v="114"/>
    <n v="940"/>
    <n v="160"/>
  </r>
  <r>
    <x v="0"/>
    <x v="2"/>
    <d v="2017-09-22T00:00:00"/>
    <x v="1"/>
    <n v="40"/>
    <n v="150"/>
    <n v="118"/>
    <n v="941"/>
    <n v="147"/>
  </r>
  <r>
    <x v="0"/>
    <x v="2"/>
    <d v="2017-09-22T00:00:00"/>
    <x v="2"/>
    <n v="34"/>
    <n v="170"/>
    <n v="123"/>
    <n v="939"/>
    <n v="125"/>
  </r>
  <r>
    <x v="0"/>
    <x v="2"/>
    <d v="2017-09-22T00:00:00"/>
    <x v="0"/>
    <n v="38"/>
    <n v="125"/>
    <n v="114"/>
    <n v="938"/>
    <n v="130"/>
  </r>
  <r>
    <x v="0"/>
    <x v="2"/>
    <d v="2017-09-22T00:00:00"/>
    <x v="1"/>
    <n v="45"/>
    <n v="150"/>
    <n v="118"/>
    <n v="936"/>
    <n v="160"/>
  </r>
  <r>
    <x v="0"/>
    <x v="2"/>
    <d v="2017-09-22T00:00:00"/>
    <x v="2"/>
    <n v="38"/>
    <n v="170"/>
    <n v="123"/>
    <n v="934"/>
    <n v="139"/>
  </r>
  <r>
    <x v="0"/>
    <x v="2"/>
    <d v="2017-09-22T00:00:00"/>
    <x v="0"/>
    <n v="57"/>
    <n v="125"/>
    <n v="114"/>
    <n v="937"/>
    <n v="210"/>
  </r>
  <r>
    <x v="0"/>
    <x v="2"/>
    <d v="2017-09-25T00:00:00"/>
    <x v="0"/>
    <n v="56"/>
    <n v="125"/>
    <n v="114"/>
    <n v="942"/>
    <n v="198"/>
  </r>
  <r>
    <x v="0"/>
    <x v="2"/>
    <d v="2017-09-25T00:00:00"/>
    <x v="0"/>
    <n v="34"/>
    <n v="125"/>
    <n v="114"/>
    <n v="943"/>
    <n v="159"/>
  </r>
  <r>
    <x v="0"/>
    <x v="2"/>
    <d v="2017-09-25T00:00:00"/>
    <x v="2"/>
    <n v="36"/>
    <n v="170"/>
    <n v="123"/>
    <n v="944"/>
    <n v="133"/>
  </r>
  <r>
    <x v="0"/>
    <x v="2"/>
    <d v="2017-09-25T00:00:00"/>
    <x v="0"/>
    <n v="49"/>
    <n v="125"/>
    <n v="114"/>
    <n v="945"/>
    <n v="176"/>
  </r>
  <r>
    <x v="0"/>
    <x v="2"/>
    <d v="2017-09-25T00:00:00"/>
    <x v="0"/>
    <n v="46"/>
    <n v="125"/>
    <n v="114"/>
    <n v="946"/>
    <n v="160"/>
  </r>
  <r>
    <x v="0"/>
    <x v="2"/>
    <d v="2017-09-25T00:00:00"/>
    <x v="1"/>
    <n v="51"/>
    <n v="150"/>
    <n v="118"/>
    <n v="947"/>
    <n v="187"/>
  </r>
  <r>
    <x v="0"/>
    <x v="2"/>
    <d v="2017-09-26T00:00:00"/>
    <x v="1"/>
    <n v="64"/>
    <n v="150"/>
    <n v="118"/>
    <n v="948"/>
    <n v="230"/>
  </r>
  <r>
    <x v="0"/>
    <x v="2"/>
    <d v="2017-09-26T00:00:00"/>
    <x v="1"/>
    <n v="47"/>
    <n v="150"/>
    <n v="118"/>
    <n v="949"/>
    <n v="169"/>
  </r>
  <r>
    <x v="0"/>
    <x v="2"/>
    <d v="2017-09-27T00:00:00"/>
    <x v="0"/>
    <n v="54"/>
    <n v="125"/>
    <n v="114"/>
    <n v="954"/>
    <n v="186"/>
  </r>
  <r>
    <x v="0"/>
    <x v="2"/>
    <d v="2017-09-27T00:00:00"/>
    <x v="1"/>
    <n v="63"/>
    <n v="150"/>
    <n v="118"/>
    <n v="951"/>
    <n v="218"/>
  </r>
  <r>
    <x v="0"/>
    <x v="2"/>
    <d v="2017-09-27T00:00:00"/>
    <x v="2"/>
    <n v="54"/>
    <n v="170"/>
    <n v="123"/>
    <n v="955"/>
    <n v="186"/>
  </r>
  <r>
    <x v="0"/>
    <x v="2"/>
    <d v="2017-09-27T00:00:00"/>
    <x v="0"/>
    <n v="46"/>
    <n v="125"/>
    <n v="114"/>
    <n v="952"/>
    <n v="161"/>
  </r>
  <r>
    <x v="0"/>
    <x v="2"/>
    <d v="2017-09-27T00:00:00"/>
    <x v="2"/>
    <n v="29"/>
    <n v="170"/>
    <n v="123"/>
    <n v="950"/>
    <n v="100"/>
  </r>
  <r>
    <x v="0"/>
    <x v="2"/>
    <d v="2017-09-27T00:00:00"/>
    <x v="1"/>
    <n v="51"/>
    <n v="150"/>
    <n v="118"/>
    <n v="953"/>
    <n v="179"/>
  </r>
  <r>
    <x v="0"/>
    <x v="2"/>
    <d v="2017-09-28T00:00:00"/>
    <x v="2"/>
    <n v="49"/>
    <n v="170"/>
    <n v="123"/>
    <n v="961"/>
    <n v="175"/>
  </r>
  <r>
    <x v="0"/>
    <x v="2"/>
    <d v="2017-09-28T00:00:00"/>
    <x v="2"/>
    <n v="49"/>
    <n v="170"/>
    <n v="123"/>
    <n v="962"/>
    <n v="171"/>
  </r>
  <r>
    <x v="0"/>
    <x v="2"/>
    <d v="2017-09-28T00:00:00"/>
    <x v="0"/>
    <n v="54"/>
    <n v="125"/>
    <n v="114"/>
    <n v="960"/>
    <n v="185"/>
  </r>
  <r>
    <x v="0"/>
    <x v="2"/>
    <d v="2017-09-28T00:00:00"/>
    <x v="0"/>
    <n v="57"/>
    <n v="125"/>
    <n v="114"/>
    <n v="959"/>
    <n v="205"/>
  </r>
  <r>
    <x v="0"/>
    <x v="2"/>
    <d v="2017-09-28T00:00:00"/>
    <x v="1"/>
    <n v="60"/>
    <n v="150"/>
    <n v="118"/>
    <n v="958"/>
    <n v="212"/>
  </r>
  <r>
    <x v="0"/>
    <x v="2"/>
    <d v="2017-09-28T00:00:00"/>
    <x v="2"/>
    <n v="33"/>
    <n v="170"/>
    <n v="123"/>
    <n v="957"/>
    <n v="119"/>
  </r>
  <r>
    <x v="0"/>
    <x v="2"/>
    <d v="2017-09-28T00:00:00"/>
    <x v="0"/>
    <n v="52"/>
    <n v="125"/>
    <n v="114"/>
    <n v="956"/>
    <n v="182"/>
  </r>
  <r>
    <x v="0"/>
    <x v="2"/>
    <d v="2017-09-29T00:00:00"/>
    <x v="1"/>
    <n v="61"/>
    <n v="150"/>
    <n v="118"/>
    <n v="964"/>
    <n v="209"/>
  </r>
  <r>
    <x v="0"/>
    <x v="2"/>
    <d v="2017-09-29T00:00:00"/>
    <x v="1"/>
    <n v="46"/>
    <n v="150"/>
    <n v="118"/>
    <n v="965"/>
    <n v="168"/>
  </r>
  <r>
    <x v="0"/>
    <x v="2"/>
    <d v="2017-09-29T00:00:00"/>
    <x v="1"/>
    <n v="62"/>
    <n v="150"/>
    <n v="118"/>
    <n v="966"/>
    <n v="218"/>
  </r>
  <r>
    <x v="0"/>
    <x v="2"/>
    <d v="2017-09-29T00:00:00"/>
    <x v="2"/>
    <n v="54"/>
    <n v="170"/>
    <n v="123"/>
    <n v="963"/>
    <n v="200"/>
  </r>
  <r>
    <x v="0"/>
    <x v="3"/>
    <d v="2017-10-02T00:00:00"/>
    <x v="2"/>
    <n v="33"/>
    <n v="170"/>
    <n v="123"/>
    <n v="969"/>
    <n v="116"/>
  </r>
  <r>
    <x v="0"/>
    <x v="3"/>
    <d v="2017-10-02T00:00:00"/>
    <x v="0"/>
    <n v="39"/>
    <n v="125"/>
    <n v="114"/>
    <n v="972"/>
    <n v="142"/>
  </r>
  <r>
    <x v="0"/>
    <x v="3"/>
    <d v="2017-10-02T00:00:00"/>
    <x v="2"/>
    <n v="37"/>
    <n v="170"/>
    <n v="123"/>
    <n v="975"/>
    <n v="131"/>
  </r>
  <r>
    <x v="0"/>
    <x v="3"/>
    <d v="2017-10-02T00:00:00"/>
    <x v="2"/>
    <n v="47"/>
    <n v="170"/>
    <n v="123"/>
    <n v="974"/>
    <n v="163"/>
  </r>
  <r>
    <x v="0"/>
    <x v="3"/>
    <d v="2017-10-02T00:00:00"/>
    <x v="1"/>
    <n v="45"/>
    <n v="150"/>
    <n v="118"/>
    <n v="973"/>
    <n v="157"/>
  </r>
  <r>
    <x v="0"/>
    <x v="3"/>
    <d v="2017-10-02T00:00:00"/>
    <x v="0"/>
    <n v="43"/>
    <n v="125"/>
    <n v="114"/>
    <n v="970"/>
    <n v="154"/>
  </r>
  <r>
    <x v="0"/>
    <x v="3"/>
    <d v="2017-10-02T00:00:00"/>
    <x v="0"/>
    <n v="48"/>
    <n v="125"/>
    <n v="114"/>
    <n v="968"/>
    <n v="175"/>
  </r>
  <r>
    <x v="0"/>
    <x v="3"/>
    <d v="2017-10-02T00:00:00"/>
    <x v="0"/>
    <n v="46"/>
    <n v="125"/>
    <n v="114"/>
    <n v="967"/>
    <n v="163"/>
  </r>
  <r>
    <x v="0"/>
    <x v="3"/>
    <d v="2017-10-02T00:00:00"/>
    <x v="1"/>
    <n v="41"/>
    <n v="150"/>
    <n v="118"/>
    <n v="971"/>
    <n v="150"/>
  </r>
  <r>
    <x v="0"/>
    <x v="3"/>
    <d v="2017-10-03T00:00:00"/>
    <x v="2"/>
    <n v="50"/>
    <n v="170"/>
    <n v="123"/>
    <n v="976"/>
    <n v="182"/>
  </r>
  <r>
    <x v="0"/>
    <x v="3"/>
    <d v="2017-10-03T00:00:00"/>
    <x v="1"/>
    <n v="48"/>
    <n v="150"/>
    <n v="118"/>
    <n v="977"/>
    <n v="175"/>
  </r>
  <r>
    <x v="0"/>
    <x v="3"/>
    <d v="2017-10-03T00:00:00"/>
    <x v="1"/>
    <n v="61"/>
    <n v="150"/>
    <n v="118"/>
    <n v="978"/>
    <n v="224"/>
  </r>
  <r>
    <x v="0"/>
    <x v="3"/>
    <d v="2017-10-04T00:00:00"/>
    <x v="2"/>
    <n v="43"/>
    <n v="170"/>
    <n v="123"/>
    <n v="979"/>
    <n v="153"/>
  </r>
  <r>
    <x v="0"/>
    <x v="3"/>
    <d v="2017-10-04T00:00:00"/>
    <x v="2"/>
    <n v="38"/>
    <n v="170"/>
    <n v="123"/>
    <n v="980"/>
    <n v="137"/>
  </r>
  <r>
    <x v="0"/>
    <x v="3"/>
    <d v="2017-10-04T00:00:00"/>
    <x v="2"/>
    <n v="41"/>
    <n v="170"/>
    <n v="123"/>
    <n v="981"/>
    <n v="190"/>
  </r>
  <r>
    <x v="0"/>
    <x v="3"/>
    <d v="2017-10-04T00:00:00"/>
    <x v="2"/>
    <n v="31"/>
    <n v="170"/>
    <n v="123"/>
    <n v="982"/>
    <n v="118"/>
  </r>
  <r>
    <x v="0"/>
    <x v="3"/>
    <d v="2017-10-05T00:00:00"/>
    <x v="0"/>
    <n v="53"/>
    <n v="125"/>
    <n v="114"/>
    <n v="988"/>
    <n v="188"/>
  </r>
  <r>
    <x v="0"/>
    <x v="3"/>
    <d v="2017-10-05T00:00:00"/>
    <x v="1"/>
    <n v="45"/>
    <n v="150"/>
    <n v="118"/>
    <n v="987"/>
    <n v="210"/>
  </r>
  <r>
    <x v="0"/>
    <x v="3"/>
    <d v="2017-10-05T00:00:00"/>
    <x v="1"/>
    <n v="52"/>
    <n v="150"/>
    <n v="118"/>
    <n v="991"/>
    <n v="186"/>
  </r>
  <r>
    <x v="0"/>
    <x v="3"/>
    <d v="2017-10-05T00:00:00"/>
    <x v="1"/>
    <n v="40"/>
    <n v="150"/>
    <n v="118"/>
    <n v="990"/>
    <n v="137"/>
  </r>
  <r>
    <x v="0"/>
    <x v="3"/>
    <d v="2017-10-05T00:00:00"/>
    <x v="2"/>
    <n v="38"/>
    <n v="170"/>
    <n v="123"/>
    <n v="986"/>
    <n v="139"/>
  </r>
  <r>
    <x v="0"/>
    <x v="3"/>
    <d v="2017-10-05T00:00:00"/>
    <x v="1"/>
    <n v="61"/>
    <n v="150"/>
    <n v="118"/>
    <n v="985"/>
    <n v="222"/>
  </r>
  <r>
    <x v="0"/>
    <x v="3"/>
    <d v="2017-10-05T00:00:00"/>
    <x v="1"/>
    <n v="50"/>
    <n v="150"/>
    <n v="118"/>
    <n v="984"/>
    <n v="178"/>
  </r>
  <r>
    <x v="0"/>
    <x v="3"/>
    <d v="2017-10-05T00:00:00"/>
    <x v="0"/>
    <n v="55"/>
    <n v="125"/>
    <n v="114"/>
    <n v="983"/>
    <n v="200"/>
  </r>
  <r>
    <x v="0"/>
    <x v="3"/>
    <d v="2017-10-05T00:00:00"/>
    <x v="0"/>
    <n v="35"/>
    <n v="125"/>
    <n v="114"/>
    <n v="989"/>
    <n v="125"/>
  </r>
  <r>
    <x v="0"/>
    <x v="3"/>
    <d v="2017-10-06T00:00:00"/>
    <x v="2"/>
    <n v="41"/>
    <n v="170"/>
    <n v="123"/>
    <n v="992"/>
    <n v="151"/>
  </r>
  <r>
    <x v="0"/>
    <x v="3"/>
    <d v="2017-10-06T00:00:00"/>
    <x v="0"/>
    <n v="34"/>
    <n v="125"/>
    <n v="114"/>
    <n v="993"/>
    <n v="125"/>
  </r>
  <r>
    <x v="0"/>
    <x v="3"/>
    <d v="2017-10-06T00:00:00"/>
    <x v="0"/>
    <n v="58"/>
    <n v="125"/>
    <n v="114"/>
    <n v="994"/>
    <n v="201"/>
  </r>
  <r>
    <x v="0"/>
    <x v="3"/>
    <d v="2017-10-06T00:00:00"/>
    <x v="2"/>
    <n v="48"/>
    <n v="170"/>
    <n v="123"/>
    <n v="995"/>
    <n v="165"/>
  </r>
  <r>
    <x v="0"/>
    <x v="3"/>
    <d v="2017-10-09T00:00:00"/>
    <x v="2"/>
    <n v="30"/>
    <n v="170"/>
    <n v="123"/>
    <n v="1002"/>
    <n v="108"/>
  </r>
  <r>
    <x v="0"/>
    <x v="3"/>
    <d v="2017-10-09T00:00:00"/>
    <x v="0"/>
    <n v="45"/>
    <n v="125"/>
    <n v="114"/>
    <n v="1002"/>
    <n v="159"/>
  </r>
  <r>
    <x v="0"/>
    <x v="3"/>
    <d v="2017-10-09T00:00:00"/>
    <x v="1"/>
    <n v="63"/>
    <n v="150"/>
    <n v="118"/>
    <n v="1001"/>
    <n v="219"/>
  </r>
  <r>
    <x v="0"/>
    <x v="3"/>
    <d v="2017-10-09T00:00:00"/>
    <x v="1"/>
    <n v="59"/>
    <n v="150"/>
    <n v="118"/>
    <n v="1000"/>
    <n v="212"/>
  </r>
  <r>
    <x v="0"/>
    <x v="3"/>
    <d v="2017-10-09T00:00:00"/>
    <x v="2"/>
    <n v="30"/>
    <n v="170"/>
    <n v="123"/>
    <n v="999"/>
    <n v="108"/>
  </r>
  <r>
    <x v="0"/>
    <x v="3"/>
    <d v="2017-10-09T00:00:00"/>
    <x v="0"/>
    <n v="42"/>
    <n v="125"/>
    <n v="114"/>
    <n v="997"/>
    <n v="154"/>
  </r>
  <r>
    <x v="0"/>
    <x v="3"/>
    <d v="2017-10-09T00:00:00"/>
    <x v="0"/>
    <n v="53"/>
    <n v="125"/>
    <n v="114"/>
    <n v="998"/>
    <n v="193"/>
  </r>
  <r>
    <x v="0"/>
    <x v="3"/>
    <d v="2017-10-10T00:00:00"/>
    <x v="1"/>
    <n v="49"/>
    <n v="150"/>
    <n v="118"/>
    <n v="1003"/>
    <n v="179"/>
  </r>
  <r>
    <x v="0"/>
    <x v="3"/>
    <d v="2017-10-10T00:00:00"/>
    <x v="1"/>
    <n v="56"/>
    <n v="150"/>
    <n v="118"/>
    <n v="1004"/>
    <n v="197"/>
  </r>
  <r>
    <x v="0"/>
    <x v="3"/>
    <d v="2017-10-11T00:00:00"/>
    <x v="0"/>
    <n v="46"/>
    <n v="125"/>
    <n v="114"/>
    <n v="1009"/>
    <n v="162"/>
  </r>
  <r>
    <x v="0"/>
    <x v="3"/>
    <d v="2017-10-11T00:00:00"/>
    <x v="0"/>
    <n v="53"/>
    <n v="125"/>
    <n v="114"/>
    <n v="1011"/>
    <n v="193"/>
  </r>
  <r>
    <x v="0"/>
    <x v="3"/>
    <d v="2017-10-11T00:00:00"/>
    <x v="2"/>
    <n v="49"/>
    <n v="170"/>
    <n v="123"/>
    <n v="1010"/>
    <n v="174"/>
  </r>
  <r>
    <x v="0"/>
    <x v="3"/>
    <d v="2017-10-11T00:00:00"/>
    <x v="0"/>
    <n v="36"/>
    <n v="125"/>
    <n v="114"/>
    <n v="1008"/>
    <n v="124"/>
  </r>
  <r>
    <x v="0"/>
    <x v="3"/>
    <d v="2017-10-11T00:00:00"/>
    <x v="0"/>
    <n v="53"/>
    <n v="125"/>
    <n v="114"/>
    <n v="1007"/>
    <n v="190"/>
  </r>
  <r>
    <x v="0"/>
    <x v="3"/>
    <d v="2017-10-11T00:00:00"/>
    <x v="2"/>
    <n v="42"/>
    <n v="170"/>
    <n v="123"/>
    <n v="1005"/>
    <n v="197"/>
  </r>
  <r>
    <x v="0"/>
    <x v="3"/>
    <d v="2017-10-11T00:00:00"/>
    <x v="1"/>
    <n v="55"/>
    <n v="150"/>
    <n v="118"/>
    <n v="1006"/>
    <n v="191"/>
  </r>
  <r>
    <x v="0"/>
    <x v="3"/>
    <d v="2017-10-12T00:00:00"/>
    <x v="2"/>
    <n v="49"/>
    <n v="170"/>
    <n v="123"/>
    <n v="1012"/>
    <n v="229"/>
  </r>
  <r>
    <x v="0"/>
    <x v="3"/>
    <d v="2017-10-12T00:00:00"/>
    <x v="1"/>
    <n v="49"/>
    <n v="150"/>
    <n v="118"/>
    <n v="1013"/>
    <n v="227"/>
  </r>
  <r>
    <x v="0"/>
    <x v="3"/>
    <d v="2017-10-12T00:00:00"/>
    <x v="2"/>
    <n v="30"/>
    <n v="170"/>
    <n v="123"/>
    <n v="1014"/>
    <n v="106"/>
  </r>
  <r>
    <x v="0"/>
    <x v="3"/>
    <d v="2017-10-12T00:00:00"/>
    <x v="0"/>
    <n v="41"/>
    <n v="125"/>
    <n v="114"/>
    <n v="1015"/>
    <n v="156"/>
  </r>
  <r>
    <x v="0"/>
    <x v="3"/>
    <d v="2017-10-12T00:00:00"/>
    <x v="2"/>
    <n v="52"/>
    <n v="170"/>
    <n v="123"/>
    <n v="1016"/>
    <n v="183"/>
  </r>
  <r>
    <x v="0"/>
    <x v="3"/>
    <d v="2017-10-12T00:00:00"/>
    <x v="1"/>
    <n v="56"/>
    <n v="150"/>
    <n v="118"/>
    <n v="1017"/>
    <n v="262"/>
  </r>
  <r>
    <x v="0"/>
    <x v="3"/>
    <d v="2017-10-12T00:00:00"/>
    <x v="2"/>
    <n v="36"/>
    <n v="170"/>
    <n v="123"/>
    <n v="1018"/>
    <n v="166"/>
  </r>
  <r>
    <x v="0"/>
    <x v="3"/>
    <d v="2017-10-12T00:00:00"/>
    <x v="0"/>
    <n v="45"/>
    <n v="125"/>
    <n v="114"/>
    <n v="1019"/>
    <n v="156"/>
  </r>
  <r>
    <x v="0"/>
    <x v="3"/>
    <d v="2017-10-13T00:00:00"/>
    <x v="0"/>
    <n v="55"/>
    <n v="125"/>
    <n v="114"/>
    <n v="1023"/>
    <n v="201"/>
  </r>
  <r>
    <x v="0"/>
    <x v="3"/>
    <d v="2017-10-13T00:00:00"/>
    <x v="0"/>
    <n v="37"/>
    <n v="125"/>
    <n v="114"/>
    <n v="1025"/>
    <n v="128"/>
  </r>
  <r>
    <x v="0"/>
    <x v="3"/>
    <d v="2017-10-13T00:00:00"/>
    <x v="1"/>
    <n v="42"/>
    <n v="150"/>
    <n v="118"/>
    <n v="1024"/>
    <n v="153"/>
  </r>
  <r>
    <x v="0"/>
    <x v="3"/>
    <d v="2017-10-13T00:00:00"/>
    <x v="1"/>
    <n v="38"/>
    <n v="150"/>
    <n v="118"/>
    <n v="1021"/>
    <n v="134"/>
  </r>
  <r>
    <x v="0"/>
    <x v="3"/>
    <d v="2017-10-13T00:00:00"/>
    <x v="0"/>
    <n v="50"/>
    <n v="125"/>
    <n v="114"/>
    <n v="1020"/>
    <n v="177"/>
  </r>
  <r>
    <x v="0"/>
    <x v="3"/>
    <d v="2017-10-13T00:00:00"/>
    <x v="0"/>
    <n v="48"/>
    <n v="125"/>
    <n v="114"/>
    <n v="1026"/>
    <n v="169"/>
  </r>
  <r>
    <x v="0"/>
    <x v="3"/>
    <d v="2017-10-13T00:00:00"/>
    <x v="2"/>
    <n v="42"/>
    <n v="170"/>
    <n v="123"/>
    <n v="1022"/>
    <n v="149"/>
  </r>
  <r>
    <x v="0"/>
    <x v="3"/>
    <d v="2017-10-16T00:00:00"/>
    <x v="1"/>
    <n v="57"/>
    <n v="150"/>
    <n v="118"/>
    <n v="1027"/>
    <n v="206"/>
  </r>
  <r>
    <x v="0"/>
    <x v="3"/>
    <d v="2017-10-16T00:00:00"/>
    <x v="1"/>
    <n v="56"/>
    <n v="150"/>
    <n v="118"/>
    <n v="1028"/>
    <n v="192"/>
  </r>
  <r>
    <x v="0"/>
    <x v="3"/>
    <d v="2017-10-16T00:00:00"/>
    <x v="2"/>
    <n v="47"/>
    <n v="170"/>
    <n v="123"/>
    <n v="1029"/>
    <n v="162"/>
  </r>
  <r>
    <x v="0"/>
    <x v="3"/>
    <d v="2017-10-16T00:00:00"/>
    <x v="2"/>
    <n v="37"/>
    <n v="170"/>
    <n v="123"/>
    <n v="1030"/>
    <n v="134"/>
  </r>
  <r>
    <x v="0"/>
    <x v="3"/>
    <d v="2017-10-16T00:00:00"/>
    <x v="2"/>
    <n v="41"/>
    <n v="170"/>
    <n v="123"/>
    <n v="1031"/>
    <n v="141"/>
  </r>
  <r>
    <x v="0"/>
    <x v="3"/>
    <d v="2017-10-16T00:00:00"/>
    <x v="1"/>
    <n v="64"/>
    <n v="150"/>
    <n v="118"/>
    <n v="1032"/>
    <n v="225"/>
  </r>
  <r>
    <x v="0"/>
    <x v="3"/>
    <d v="2017-10-17T00:00:00"/>
    <x v="0"/>
    <n v="56"/>
    <n v="125"/>
    <n v="114"/>
    <n v="1034"/>
    <n v="202"/>
  </r>
  <r>
    <x v="0"/>
    <x v="3"/>
    <d v="2017-10-17T00:00:00"/>
    <x v="2"/>
    <n v="46"/>
    <n v="170"/>
    <n v="123"/>
    <n v="1035"/>
    <n v="173"/>
  </r>
  <r>
    <x v="0"/>
    <x v="3"/>
    <d v="2017-10-17T00:00:00"/>
    <x v="1"/>
    <n v="41"/>
    <n v="150"/>
    <n v="118"/>
    <n v="1033"/>
    <n v="149"/>
  </r>
  <r>
    <x v="0"/>
    <x v="3"/>
    <d v="2017-10-18T00:00:00"/>
    <x v="1"/>
    <n v="50"/>
    <n v="150"/>
    <n v="118"/>
    <n v="1042"/>
    <n v="181"/>
  </r>
  <r>
    <x v="0"/>
    <x v="3"/>
    <d v="2017-10-18T00:00:00"/>
    <x v="2"/>
    <n v="46"/>
    <n v="170"/>
    <n v="123"/>
    <n v="1037"/>
    <n v="168"/>
  </r>
  <r>
    <x v="0"/>
    <x v="3"/>
    <d v="2017-10-18T00:00:00"/>
    <x v="0"/>
    <n v="40"/>
    <n v="125"/>
    <n v="114"/>
    <n v="1038"/>
    <n v="145"/>
  </r>
  <r>
    <x v="0"/>
    <x v="3"/>
    <d v="2017-10-18T00:00:00"/>
    <x v="1"/>
    <n v="47"/>
    <n v="150"/>
    <n v="118"/>
    <n v="1039"/>
    <n v="173"/>
  </r>
  <r>
    <x v="0"/>
    <x v="3"/>
    <d v="2017-10-18T00:00:00"/>
    <x v="1"/>
    <n v="60"/>
    <n v="150"/>
    <n v="118"/>
    <n v="1040"/>
    <n v="215"/>
  </r>
  <r>
    <x v="0"/>
    <x v="3"/>
    <d v="2017-10-18T00:00:00"/>
    <x v="2"/>
    <n v="46"/>
    <n v="170"/>
    <n v="123"/>
    <n v="1041"/>
    <n v="161"/>
  </r>
  <r>
    <x v="0"/>
    <x v="3"/>
    <d v="2017-10-18T00:00:00"/>
    <x v="1"/>
    <n v="64"/>
    <n v="150"/>
    <n v="118"/>
    <n v="1036"/>
    <n v="220"/>
  </r>
  <r>
    <x v="0"/>
    <x v="3"/>
    <d v="2017-10-19T00:00:00"/>
    <x v="2"/>
    <n v="35"/>
    <n v="170"/>
    <n v="123"/>
    <n v="1048"/>
    <n v="124"/>
  </r>
  <r>
    <x v="0"/>
    <x v="3"/>
    <d v="2017-10-19T00:00:00"/>
    <x v="1"/>
    <n v="56"/>
    <n v="150"/>
    <n v="118"/>
    <n v="1051"/>
    <n v="201"/>
  </r>
  <r>
    <x v="0"/>
    <x v="3"/>
    <d v="2017-10-19T00:00:00"/>
    <x v="1"/>
    <n v="44"/>
    <n v="150"/>
    <n v="118"/>
    <n v="1050"/>
    <n v="157"/>
  </r>
  <r>
    <x v="0"/>
    <x v="3"/>
    <d v="2017-10-19T00:00:00"/>
    <x v="2"/>
    <n v="41"/>
    <n v="170"/>
    <n v="123"/>
    <n v="1049"/>
    <n v="144"/>
  </r>
  <r>
    <x v="0"/>
    <x v="3"/>
    <d v="2017-10-19T00:00:00"/>
    <x v="0"/>
    <n v="55"/>
    <n v="125"/>
    <n v="114"/>
    <n v="1046"/>
    <n v="194"/>
  </r>
  <r>
    <x v="0"/>
    <x v="3"/>
    <d v="2017-10-19T00:00:00"/>
    <x v="1"/>
    <n v="41"/>
    <n v="150"/>
    <n v="118"/>
    <n v="1045"/>
    <n v="144"/>
  </r>
  <r>
    <x v="0"/>
    <x v="3"/>
    <d v="2017-10-19T00:00:00"/>
    <x v="2"/>
    <n v="38"/>
    <n v="170"/>
    <n v="123"/>
    <n v="1043"/>
    <n v="134"/>
  </r>
  <r>
    <x v="0"/>
    <x v="3"/>
    <d v="2017-10-19T00:00:00"/>
    <x v="2"/>
    <n v="46"/>
    <n v="170"/>
    <n v="123"/>
    <n v="1047"/>
    <n v="166"/>
  </r>
  <r>
    <x v="0"/>
    <x v="3"/>
    <d v="2017-10-19T00:00:00"/>
    <x v="0"/>
    <n v="49"/>
    <n v="125"/>
    <n v="114"/>
    <n v="1044"/>
    <n v="176"/>
  </r>
  <r>
    <x v="0"/>
    <x v="3"/>
    <d v="2017-10-20T00:00:00"/>
    <x v="1"/>
    <n v="58"/>
    <n v="150"/>
    <n v="118"/>
    <n v="1054"/>
    <n v="210"/>
  </r>
  <r>
    <x v="0"/>
    <x v="3"/>
    <d v="2017-10-20T00:00:00"/>
    <x v="1"/>
    <n v="56"/>
    <n v="150"/>
    <n v="118"/>
    <n v="1060"/>
    <n v="194"/>
  </r>
  <r>
    <x v="0"/>
    <x v="3"/>
    <d v="2017-10-20T00:00:00"/>
    <x v="0"/>
    <n v="39"/>
    <n v="125"/>
    <n v="114"/>
    <n v="1059"/>
    <n v="183"/>
  </r>
  <r>
    <x v="0"/>
    <x v="3"/>
    <d v="2017-10-20T00:00:00"/>
    <x v="1"/>
    <n v="58"/>
    <n v="150"/>
    <n v="118"/>
    <n v="1058"/>
    <n v="213"/>
  </r>
  <r>
    <x v="0"/>
    <x v="3"/>
    <d v="2017-10-20T00:00:00"/>
    <x v="2"/>
    <n v="48"/>
    <n v="170"/>
    <n v="123"/>
    <n v="1057"/>
    <n v="170"/>
  </r>
  <r>
    <x v="0"/>
    <x v="3"/>
    <d v="2017-10-20T00:00:00"/>
    <x v="0"/>
    <n v="35"/>
    <n v="125"/>
    <n v="114"/>
    <n v="1055"/>
    <n v="121"/>
  </r>
  <r>
    <x v="0"/>
    <x v="3"/>
    <d v="2017-10-20T00:00:00"/>
    <x v="0"/>
    <n v="38"/>
    <n v="125"/>
    <n v="114"/>
    <n v="1053"/>
    <n v="137"/>
  </r>
  <r>
    <x v="0"/>
    <x v="3"/>
    <d v="2017-10-20T00:00:00"/>
    <x v="2"/>
    <n v="31"/>
    <n v="170"/>
    <n v="123"/>
    <n v="1052"/>
    <n v="111"/>
  </r>
  <r>
    <x v="0"/>
    <x v="3"/>
    <d v="2017-10-20T00:00:00"/>
    <x v="1"/>
    <n v="44"/>
    <n v="150"/>
    <n v="118"/>
    <n v="1056"/>
    <n v="162"/>
  </r>
  <r>
    <x v="0"/>
    <x v="3"/>
    <d v="2017-10-23T00:00:00"/>
    <x v="1"/>
    <n v="53"/>
    <n v="150"/>
    <n v="118"/>
    <n v="1064"/>
    <n v="189"/>
  </r>
  <r>
    <x v="0"/>
    <x v="3"/>
    <d v="2017-10-23T00:00:00"/>
    <x v="0"/>
    <n v="55"/>
    <n v="125"/>
    <n v="114"/>
    <n v="1066"/>
    <n v="192"/>
  </r>
  <r>
    <x v="0"/>
    <x v="3"/>
    <d v="2017-10-23T00:00:00"/>
    <x v="1"/>
    <n v="48"/>
    <n v="150"/>
    <n v="118"/>
    <n v="1065"/>
    <n v="170"/>
  </r>
  <r>
    <x v="0"/>
    <x v="3"/>
    <d v="2017-10-23T00:00:00"/>
    <x v="1"/>
    <n v="38"/>
    <n v="150"/>
    <n v="118"/>
    <n v="1062"/>
    <n v="136"/>
  </r>
  <r>
    <x v="0"/>
    <x v="3"/>
    <d v="2017-10-23T00:00:00"/>
    <x v="0"/>
    <n v="34"/>
    <n v="125"/>
    <n v="114"/>
    <n v="1061"/>
    <n v="122"/>
  </r>
  <r>
    <x v="0"/>
    <x v="3"/>
    <d v="2017-10-23T00:00:00"/>
    <x v="0"/>
    <n v="39"/>
    <n v="125"/>
    <n v="114"/>
    <n v="1063"/>
    <n v="140"/>
  </r>
  <r>
    <x v="0"/>
    <x v="3"/>
    <d v="2017-10-24T00:00:00"/>
    <x v="1"/>
    <n v="62"/>
    <n v="150"/>
    <n v="118"/>
    <n v="1067"/>
    <n v="224"/>
  </r>
  <r>
    <x v="0"/>
    <x v="3"/>
    <d v="2017-10-24T00:00:00"/>
    <x v="0"/>
    <n v="41"/>
    <n v="125"/>
    <n v="114"/>
    <n v="1068"/>
    <n v="147"/>
  </r>
  <r>
    <x v="0"/>
    <x v="3"/>
    <d v="2017-10-24T00:00:00"/>
    <x v="0"/>
    <n v="40"/>
    <n v="125"/>
    <n v="114"/>
    <n v="1069"/>
    <n v="145"/>
  </r>
  <r>
    <x v="0"/>
    <x v="3"/>
    <d v="2017-10-24T00:00:00"/>
    <x v="1"/>
    <n v="51"/>
    <n v="150"/>
    <n v="118"/>
    <n v="1070"/>
    <n v="178"/>
  </r>
  <r>
    <x v="0"/>
    <x v="3"/>
    <d v="2017-10-24T00:00:00"/>
    <x v="2"/>
    <n v="30"/>
    <n v="170"/>
    <n v="123"/>
    <n v="1071"/>
    <n v="104"/>
  </r>
  <r>
    <x v="0"/>
    <x v="3"/>
    <d v="2017-10-24T00:00:00"/>
    <x v="2"/>
    <n v="29"/>
    <n v="170"/>
    <n v="123"/>
    <n v="1072"/>
    <n v="107"/>
  </r>
  <r>
    <x v="0"/>
    <x v="3"/>
    <d v="2017-10-24T00:00:00"/>
    <x v="1"/>
    <n v="38"/>
    <n v="150"/>
    <n v="118"/>
    <n v="1073"/>
    <n v="130"/>
  </r>
  <r>
    <x v="0"/>
    <x v="3"/>
    <d v="2017-10-24T00:00:00"/>
    <x v="1"/>
    <n v="40"/>
    <n v="150"/>
    <n v="118"/>
    <n v="1074"/>
    <n v="140"/>
  </r>
  <r>
    <x v="0"/>
    <x v="3"/>
    <d v="2017-10-24T00:00:00"/>
    <x v="1"/>
    <n v="40"/>
    <n v="150"/>
    <n v="118"/>
    <n v="1075"/>
    <n v="141"/>
  </r>
  <r>
    <x v="0"/>
    <x v="3"/>
    <d v="2017-10-25T00:00:00"/>
    <x v="1"/>
    <n v="61"/>
    <n v="150"/>
    <n v="118"/>
    <n v="1080"/>
    <n v="223"/>
  </r>
  <r>
    <x v="0"/>
    <x v="3"/>
    <d v="2017-10-25T00:00:00"/>
    <x v="0"/>
    <n v="33"/>
    <n v="125"/>
    <n v="114"/>
    <n v="1081"/>
    <n v="113"/>
  </r>
  <r>
    <x v="0"/>
    <x v="3"/>
    <d v="2017-10-25T00:00:00"/>
    <x v="2"/>
    <n v="53"/>
    <n v="170"/>
    <n v="123"/>
    <n v="1079"/>
    <n v="193"/>
  </r>
  <r>
    <x v="0"/>
    <x v="3"/>
    <d v="2017-10-25T00:00:00"/>
    <x v="2"/>
    <n v="48"/>
    <n v="170"/>
    <n v="123"/>
    <n v="1077"/>
    <n v="173"/>
  </r>
  <r>
    <x v="0"/>
    <x v="3"/>
    <d v="2017-10-25T00:00:00"/>
    <x v="0"/>
    <n v="54"/>
    <n v="125"/>
    <n v="114"/>
    <n v="1076"/>
    <n v="194"/>
  </r>
  <r>
    <x v="0"/>
    <x v="3"/>
    <d v="2017-10-25T00:00:00"/>
    <x v="0"/>
    <n v="56"/>
    <n v="125"/>
    <n v="114"/>
    <n v="1082"/>
    <n v="204"/>
  </r>
  <r>
    <x v="0"/>
    <x v="3"/>
    <d v="2017-10-25T00:00:00"/>
    <x v="2"/>
    <n v="42"/>
    <n v="170"/>
    <n v="123"/>
    <n v="1078"/>
    <n v="160"/>
  </r>
  <r>
    <x v="0"/>
    <x v="3"/>
    <d v="2017-10-26T00:00:00"/>
    <x v="2"/>
    <n v="31"/>
    <n v="170"/>
    <n v="123"/>
    <n v="1088"/>
    <n v="111"/>
  </r>
  <r>
    <x v="0"/>
    <x v="3"/>
    <d v="2017-10-26T00:00:00"/>
    <x v="1"/>
    <n v="58"/>
    <n v="150"/>
    <n v="118"/>
    <n v="1089"/>
    <n v="214"/>
  </r>
  <r>
    <x v="0"/>
    <x v="3"/>
    <d v="2017-10-26T00:00:00"/>
    <x v="0"/>
    <n v="55"/>
    <n v="125"/>
    <n v="114"/>
    <n v="1087"/>
    <n v="201"/>
  </r>
  <r>
    <x v="0"/>
    <x v="3"/>
    <d v="2017-10-26T00:00:00"/>
    <x v="0"/>
    <n v="44"/>
    <n v="125"/>
    <n v="114"/>
    <n v="1086"/>
    <n v="150"/>
  </r>
  <r>
    <x v="0"/>
    <x v="3"/>
    <d v="2017-10-26T00:00:00"/>
    <x v="2"/>
    <n v="33"/>
    <n v="170"/>
    <n v="123"/>
    <n v="1085"/>
    <n v="115"/>
  </r>
  <r>
    <x v="0"/>
    <x v="3"/>
    <d v="2017-10-26T00:00:00"/>
    <x v="2"/>
    <n v="37"/>
    <n v="170"/>
    <n v="123"/>
    <n v="1084"/>
    <n v="136"/>
  </r>
  <r>
    <x v="0"/>
    <x v="3"/>
    <d v="2017-10-26T00:00:00"/>
    <x v="2"/>
    <n v="39"/>
    <n v="170"/>
    <n v="123"/>
    <n v="1083"/>
    <n v="135"/>
  </r>
  <r>
    <x v="0"/>
    <x v="3"/>
    <d v="2017-10-27T00:00:00"/>
    <x v="2"/>
    <n v="34"/>
    <n v="170"/>
    <n v="123"/>
    <n v="1091"/>
    <n v="118"/>
  </r>
  <r>
    <x v="0"/>
    <x v="3"/>
    <d v="2017-10-27T00:00:00"/>
    <x v="1"/>
    <n v="39"/>
    <n v="150"/>
    <n v="118"/>
    <n v="1092"/>
    <n v="137"/>
  </r>
  <r>
    <x v="0"/>
    <x v="3"/>
    <d v="2017-10-27T00:00:00"/>
    <x v="1"/>
    <n v="38"/>
    <n v="150"/>
    <n v="118"/>
    <n v="1093"/>
    <n v="135"/>
  </r>
  <r>
    <x v="0"/>
    <x v="3"/>
    <d v="2017-10-27T00:00:00"/>
    <x v="0"/>
    <n v="38"/>
    <n v="125"/>
    <n v="114"/>
    <n v="1094"/>
    <n v="175"/>
  </r>
  <r>
    <x v="0"/>
    <x v="3"/>
    <d v="2017-10-27T00:00:00"/>
    <x v="2"/>
    <n v="38"/>
    <n v="170"/>
    <n v="123"/>
    <n v="1090"/>
    <n v="177"/>
  </r>
  <r>
    <x v="0"/>
    <x v="3"/>
    <d v="2017-10-30T00:00:00"/>
    <x v="1"/>
    <n v="45"/>
    <n v="150"/>
    <n v="118"/>
    <n v="1100"/>
    <n v="165"/>
  </r>
  <r>
    <x v="0"/>
    <x v="3"/>
    <d v="2017-10-30T00:00:00"/>
    <x v="2"/>
    <n v="32"/>
    <n v="170"/>
    <n v="123"/>
    <n v="1095"/>
    <n v="114"/>
  </r>
  <r>
    <x v="0"/>
    <x v="3"/>
    <d v="2017-10-30T00:00:00"/>
    <x v="0"/>
    <n v="52"/>
    <n v="125"/>
    <n v="114"/>
    <n v="1101"/>
    <n v="191"/>
  </r>
  <r>
    <x v="0"/>
    <x v="3"/>
    <d v="2017-10-30T00:00:00"/>
    <x v="2"/>
    <n v="38"/>
    <n v="170"/>
    <n v="123"/>
    <n v="1102"/>
    <n v="175"/>
  </r>
  <r>
    <x v="0"/>
    <x v="3"/>
    <d v="2017-10-30T00:00:00"/>
    <x v="1"/>
    <n v="58"/>
    <n v="150"/>
    <n v="118"/>
    <n v="1098"/>
    <n v="204"/>
  </r>
  <r>
    <x v="0"/>
    <x v="3"/>
    <d v="2017-10-30T00:00:00"/>
    <x v="1"/>
    <n v="58"/>
    <n v="150"/>
    <n v="118"/>
    <n v="1096"/>
    <n v="201"/>
  </r>
  <r>
    <x v="0"/>
    <x v="3"/>
    <d v="2017-10-30T00:00:00"/>
    <x v="1"/>
    <n v="43"/>
    <n v="150"/>
    <n v="118"/>
    <n v="1099"/>
    <n v="149"/>
  </r>
  <r>
    <x v="0"/>
    <x v="3"/>
    <d v="2017-10-30T00:00:00"/>
    <x v="1"/>
    <n v="45"/>
    <n v="150"/>
    <n v="118"/>
    <n v="1097"/>
    <n v="210"/>
  </r>
  <r>
    <x v="0"/>
    <x v="3"/>
    <d v="2017-10-31T00:00:00"/>
    <x v="2"/>
    <n v="40"/>
    <n v="170"/>
    <n v="123"/>
    <n v="1103"/>
    <n v="147"/>
  </r>
  <r>
    <x v="0"/>
    <x v="3"/>
    <d v="2017-10-31T00:00:00"/>
    <x v="0"/>
    <n v="42"/>
    <n v="125"/>
    <n v="114"/>
    <n v="1104"/>
    <n v="154"/>
  </r>
  <r>
    <x v="0"/>
    <x v="3"/>
    <d v="2017-11-01T00:00:00"/>
    <x v="2"/>
    <n v="34"/>
    <n v="170"/>
    <n v="123"/>
    <n v="1108"/>
    <n v="124"/>
  </r>
  <r>
    <x v="0"/>
    <x v="3"/>
    <d v="2017-11-01T00:00:00"/>
    <x v="2"/>
    <n v="29"/>
    <n v="170"/>
    <n v="123"/>
    <n v="1109"/>
    <n v="105"/>
  </r>
  <r>
    <x v="0"/>
    <x v="3"/>
    <d v="2017-11-01T00:00:00"/>
    <x v="1"/>
    <n v="61"/>
    <n v="150"/>
    <n v="118"/>
    <n v="1107"/>
    <n v="223"/>
  </r>
  <r>
    <x v="0"/>
    <x v="3"/>
    <d v="2017-11-01T00:00:00"/>
    <x v="0"/>
    <n v="38"/>
    <n v="125"/>
    <n v="114"/>
    <n v="1106"/>
    <n v="132"/>
  </r>
  <r>
    <x v="0"/>
    <x v="3"/>
    <d v="2017-11-01T00:00:00"/>
    <x v="1"/>
    <n v="43"/>
    <n v="150"/>
    <n v="118"/>
    <n v="1105"/>
    <n v="152"/>
  </r>
  <r>
    <x v="0"/>
    <x v="3"/>
    <d v="2017-11-02T00:00:00"/>
    <x v="0"/>
    <n v="58"/>
    <n v="125"/>
    <n v="114"/>
    <n v="1111"/>
    <n v="202"/>
  </r>
  <r>
    <x v="0"/>
    <x v="3"/>
    <d v="2017-11-02T00:00:00"/>
    <x v="0"/>
    <n v="57"/>
    <n v="125"/>
    <n v="114"/>
    <n v="1112"/>
    <n v="199"/>
  </r>
  <r>
    <x v="0"/>
    <x v="3"/>
    <d v="2017-11-02T00:00:00"/>
    <x v="2"/>
    <n v="37"/>
    <n v="170"/>
    <n v="123"/>
    <n v="1113"/>
    <n v="173"/>
  </r>
  <r>
    <x v="0"/>
    <x v="3"/>
    <d v="2017-11-02T00:00:00"/>
    <x v="0"/>
    <n v="52"/>
    <n v="125"/>
    <n v="114"/>
    <n v="1114"/>
    <n v="180"/>
  </r>
  <r>
    <x v="0"/>
    <x v="3"/>
    <d v="2017-11-02T00:00:00"/>
    <x v="2"/>
    <n v="35"/>
    <n v="170"/>
    <n v="123"/>
    <n v="1115"/>
    <n v="121"/>
  </r>
  <r>
    <x v="0"/>
    <x v="3"/>
    <d v="2017-11-02T00:00:00"/>
    <x v="2"/>
    <n v="47"/>
    <n v="170"/>
    <n v="123"/>
    <n v="1110"/>
    <n v="171"/>
  </r>
  <r>
    <x v="0"/>
    <x v="3"/>
    <d v="2017-11-03T00:00:00"/>
    <x v="1"/>
    <n v="49"/>
    <n v="150"/>
    <n v="118"/>
    <n v="1116"/>
    <n v="173"/>
  </r>
  <r>
    <x v="0"/>
    <x v="3"/>
    <d v="2017-11-03T00:00:00"/>
    <x v="0"/>
    <n v="58"/>
    <n v="125"/>
    <n v="114"/>
    <n v="1121"/>
    <n v="199"/>
  </r>
  <r>
    <x v="0"/>
    <x v="3"/>
    <d v="2017-11-03T00:00:00"/>
    <x v="2"/>
    <n v="42"/>
    <n v="170"/>
    <n v="123"/>
    <n v="1123"/>
    <n v="193"/>
  </r>
  <r>
    <x v="0"/>
    <x v="3"/>
    <d v="2017-11-03T00:00:00"/>
    <x v="2"/>
    <n v="28"/>
    <n v="170"/>
    <n v="123"/>
    <n v="1122"/>
    <n v="99"/>
  </r>
  <r>
    <x v="0"/>
    <x v="3"/>
    <d v="2017-11-03T00:00:00"/>
    <x v="2"/>
    <n v="36"/>
    <n v="170"/>
    <n v="123"/>
    <n v="1120"/>
    <n v="131"/>
  </r>
  <r>
    <x v="0"/>
    <x v="3"/>
    <d v="2017-11-03T00:00:00"/>
    <x v="2"/>
    <n v="51"/>
    <n v="170"/>
    <n v="123"/>
    <n v="1119"/>
    <n v="180"/>
  </r>
  <r>
    <x v="0"/>
    <x v="3"/>
    <d v="2017-11-03T00:00:00"/>
    <x v="1"/>
    <n v="42"/>
    <n v="150"/>
    <n v="118"/>
    <n v="1117"/>
    <n v="150"/>
  </r>
  <r>
    <x v="0"/>
    <x v="3"/>
    <d v="2017-11-03T00:00:00"/>
    <x v="0"/>
    <n v="52"/>
    <n v="125"/>
    <n v="114"/>
    <n v="1118"/>
    <n v="200"/>
  </r>
  <r>
    <x v="0"/>
    <x v="3"/>
    <d v="2017-11-06T00:00:00"/>
    <x v="2"/>
    <n v="54"/>
    <n v="170"/>
    <n v="123"/>
    <n v="1124"/>
    <n v="189"/>
  </r>
  <r>
    <x v="0"/>
    <x v="3"/>
    <d v="2017-11-06T00:00:00"/>
    <x v="1"/>
    <n v="62"/>
    <n v="150"/>
    <n v="118"/>
    <n v="1125"/>
    <n v="224"/>
  </r>
  <r>
    <x v="0"/>
    <x v="3"/>
    <d v="2017-11-06T00:00:00"/>
    <x v="1"/>
    <n v="60"/>
    <n v="150"/>
    <n v="118"/>
    <n v="1126"/>
    <n v="219"/>
  </r>
  <r>
    <x v="0"/>
    <x v="3"/>
    <d v="2017-11-06T00:00:00"/>
    <x v="1"/>
    <n v="62"/>
    <n v="150"/>
    <n v="118"/>
    <n v="1127"/>
    <n v="217"/>
  </r>
  <r>
    <x v="0"/>
    <x v="3"/>
    <d v="2017-11-06T00:00:00"/>
    <x v="2"/>
    <n v="41"/>
    <n v="170"/>
    <n v="123"/>
    <n v="1128"/>
    <n v="150"/>
  </r>
  <r>
    <x v="0"/>
    <x v="3"/>
    <d v="2017-11-06T00:00:00"/>
    <x v="1"/>
    <n v="49"/>
    <n v="150"/>
    <n v="118"/>
    <n v="1129"/>
    <n v="180"/>
  </r>
  <r>
    <x v="0"/>
    <x v="3"/>
    <d v="2017-11-06T00:00:00"/>
    <x v="1"/>
    <n v="60"/>
    <n v="150"/>
    <n v="118"/>
    <n v="1130"/>
    <n v="210"/>
  </r>
  <r>
    <x v="0"/>
    <x v="3"/>
    <d v="2017-11-06T00:00:00"/>
    <x v="2"/>
    <n v="31"/>
    <n v="170"/>
    <n v="123"/>
    <n v="1131"/>
    <n v="110"/>
  </r>
  <r>
    <x v="0"/>
    <x v="3"/>
    <d v="2017-11-06T00:00:00"/>
    <x v="0"/>
    <n v="36"/>
    <n v="125"/>
    <n v="114"/>
    <n v="1132"/>
    <n v="135"/>
  </r>
  <r>
    <x v="0"/>
    <x v="3"/>
    <d v="2017-11-07T00:00:00"/>
    <x v="2"/>
    <n v="43"/>
    <n v="170"/>
    <n v="123"/>
    <n v="1133"/>
    <n v="148"/>
  </r>
  <r>
    <x v="0"/>
    <x v="3"/>
    <d v="2017-11-07T00:00:00"/>
    <x v="1"/>
    <n v="50"/>
    <n v="150"/>
    <n v="118"/>
    <n v="1136"/>
    <n v="175"/>
  </r>
  <r>
    <x v="0"/>
    <x v="3"/>
    <d v="2017-11-07T00:00:00"/>
    <x v="1"/>
    <n v="38"/>
    <n v="150"/>
    <n v="118"/>
    <n v="1134"/>
    <n v="137"/>
  </r>
  <r>
    <x v="0"/>
    <x v="3"/>
    <d v="2017-11-07T00:00:00"/>
    <x v="2"/>
    <n v="41"/>
    <n v="170"/>
    <n v="123"/>
    <n v="1135"/>
    <n v="148"/>
  </r>
  <r>
    <x v="0"/>
    <x v="3"/>
    <d v="2017-11-08T00:00:00"/>
    <x v="0"/>
    <n v="52"/>
    <n v="125"/>
    <n v="114"/>
    <n v="1143"/>
    <n v="182"/>
  </r>
  <r>
    <x v="0"/>
    <x v="3"/>
    <d v="2017-11-08T00:00:00"/>
    <x v="0"/>
    <n v="37"/>
    <n v="125"/>
    <n v="114"/>
    <n v="1144"/>
    <n v="131"/>
  </r>
  <r>
    <x v="0"/>
    <x v="3"/>
    <d v="2017-11-08T00:00:00"/>
    <x v="2"/>
    <n v="49"/>
    <n v="170"/>
    <n v="123"/>
    <n v="1142"/>
    <n v="168"/>
  </r>
  <r>
    <x v="0"/>
    <x v="3"/>
    <d v="2017-11-08T00:00:00"/>
    <x v="1"/>
    <n v="48"/>
    <n v="150"/>
    <n v="118"/>
    <n v="1141"/>
    <n v="170"/>
  </r>
  <r>
    <x v="0"/>
    <x v="3"/>
    <d v="2017-11-08T00:00:00"/>
    <x v="1"/>
    <n v="52"/>
    <n v="150"/>
    <n v="118"/>
    <n v="1140"/>
    <n v="192"/>
  </r>
  <r>
    <x v="0"/>
    <x v="3"/>
    <d v="2017-11-08T00:00:00"/>
    <x v="2"/>
    <n v="49"/>
    <n v="170"/>
    <n v="123"/>
    <n v="1139"/>
    <n v="172"/>
  </r>
  <r>
    <x v="0"/>
    <x v="3"/>
    <d v="2017-11-08T00:00:00"/>
    <x v="2"/>
    <n v="31"/>
    <n v="170"/>
    <n v="123"/>
    <n v="1138"/>
    <n v="114"/>
  </r>
  <r>
    <x v="0"/>
    <x v="3"/>
    <d v="2017-11-08T00:00:00"/>
    <x v="0"/>
    <n v="55"/>
    <n v="125"/>
    <n v="114"/>
    <n v="1137"/>
    <n v="203"/>
  </r>
  <r>
    <x v="0"/>
    <x v="3"/>
    <d v="2017-11-09T00:00:00"/>
    <x v="2"/>
    <n v="30"/>
    <n v="170"/>
    <n v="123"/>
    <n v="1146"/>
    <n v="109"/>
  </r>
  <r>
    <x v="0"/>
    <x v="3"/>
    <d v="2017-11-09T00:00:00"/>
    <x v="2"/>
    <n v="32"/>
    <n v="170"/>
    <n v="123"/>
    <n v="1147"/>
    <n v="118"/>
  </r>
  <r>
    <x v="0"/>
    <x v="3"/>
    <d v="2017-11-09T00:00:00"/>
    <x v="1"/>
    <n v="49"/>
    <n v="150"/>
    <n v="118"/>
    <n v="1148"/>
    <n v="178"/>
  </r>
  <r>
    <x v="0"/>
    <x v="3"/>
    <d v="2017-11-09T00:00:00"/>
    <x v="0"/>
    <n v="54"/>
    <n v="125"/>
    <n v="114"/>
    <n v="1149"/>
    <n v="204"/>
  </r>
  <r>
    <x v="0"/>
    <x v="3"/>
    <d v="2017-11-09T00:00:00"/>
    <x v="1"/>
    <n v="41"/>
    <n v="150"/>
    <n v="118"/>
    <n v="1150"/>
    <n v="148"/>
  </r>
  <r>
    <x v="0"/>
    <x v="3"/>
    <d v="2017-11-09T00:00:00"/>
    <x v="0"/>
    <n v="41"/>
    <n v="125"/>
    <n v="114"/>
    <n v="1145"/>
    <n v="144"/>
  </r>
  <r>
    <x v="0"/>
    <x v="3"/>
    <d v="2017-11-10T00:00:00"/>
    <x v="1"/>
    <n v="44"/>
    <n v="150"/>
    <n v="118"/>
    <n v="1151"/>
    <n v="153"/>
  </r>
  <r>
    <x v="0"/>
    <x v="3"/>
    <d v="2017-11-10T00:00:00"/>
    <x v="2"/>
    <n v="36"/>
    <n v="170"/>
    <n v="123"/>
    <n v="1156"/>
    <n v="130"/>
  </r>
  <r>
    <x v="0"/>
    <x v="3"/>
    <d v="2017-11-10T00:00:00"/>
    <x v="2"/>
    <n v="44"/>
    <n v="170"/>
    <n v="123"/>
    <n v="1155"/>
    <n v="162"/>
  </r>
  <r>
    <x v="0"/>
    <x v="3"/>
    <d v="2017-11-10T00:00:00"/>
    <x v="0"/>
    <n v="53"/>
    <n v="125"/>
    <n v="114"/>
    <n v="1152"/>
    <n v="193"/>
  </r>
  <r>
    <x v="0"/>
    <x v="3"/>
    <d v="2017-11-10T00:00:00"/>
    <x v="2"/>
    <n v="33"/>
    <n v="170"/>
    <n v="123"/>
    <n v="1153"/>
    <n v="116"/>
  </r>
  <r>
    <x v="0"/>
    <x v="3"/>
    <d v="2017-11-10T00:00:00"/>
    <x v="0"/>
    <n v="39"/>
    <n v="125"/>
    <n v="114"/>
    <n v="1154"/>
    <n v="142"/>
  </r>
  <r>
    <x v="0"/>
    <x v="3"/>
    <d v="2017-11-13T00:00:00"/>
    <x v="2"/>
    <n v="46"/>
    <n v="170"/>
    <n v="123"/>
    <n v="1161"/>
    <n v="162"/>
  </r>
  <r>
    <x v="0"/>
    <x v="3"/>
    <d v="2017-11-13T00:00:00"/>
    <x v="2"/>
    <n v="35"/>
    <n v="170"/>
    <n v="123"/>
    <n v="1162"/>
    <n v="122"/>
  </r>
  <r>
    <x v="0"/>
    <x v="3"/>
    <d v="2017-11-13T00:00:00"/>
    <x v="1"/>
    <n v="55"/>
    <n v="150"/>
    <n v="118"/>
    <n v="1160"/>
    <n v="199"/>
  </r>
  <r>
    <x v="0"/>
    <x v="3"/>
    <d v="2017-11-13T00:00:00"/>
    <x v="2"/>
    <n v="46"/>
    <n v="170"/>
    <n v="123"/>
    <n v="1159"/>
    <n v="165"/>
  </r>
  <r>
    <x v="0"/>
    <x v="3"/>
    <d v="2017-11-13T00:00:00"/>
    <x v="2"/>
    <n v="34"/>
    <n v="170"/>
    <n v="123"/>
    <n v="1158"/>
    <n v="122"/>
  </r>
  <r>
    <x v="0"/>
    <x v="3"/>
    <d v="2017-11-13T00:00:00"/>
    <x v="2"/>
    <n v="32"/>
    <n v="170"/>
    <n v="123"/>
    <n v="1157"/>
    <n v="111"/>
  </r>
  <r>
    <x v="0"/>
    <x v="3"/>
    <d v="2017-11-13T00:00:00"/>
    <x v="2"/>
    <n v="48"/>
    <n v="170"/>
    <n v="123"/>
    <n v="1163"/>
    <n v="169"/>
  </r>
  <r>
    <x v="0"/>
    <x v="3"/>
    <d v="2017-11-14T00:00:00"/>
    <x v="2"/>
    <n v="35"/>
    <n v="170"/>
    <n v="123"/>
    <n v="1164"/>
    <n v="163"/>
  </r>
  <r>
    <x v="0"/>
    <x v="3"/>
    <d v="2017-11-14T00:00:00"/>
    <x v="0"/>
    <n v="50"/>
    <n v="125"/>
    <n v="114"/>
    <n v="1165"/>
    <n v="178"/>
  </r>
  <r>
    <x v="0"/>
    <x v="3"/>
    <d v="2017-11-15T00:00:00"/>
    <x v="2"/>
    <n v="39"/>
    <n v="170"/>
    <n v="123"/>
    <n v="1170"/>
    <n v="148"/>
  </r>
  <r>
    <x v="0"/>
    <x v="3"/>
    <d v="2017-11-15T00:00:00"/>
    <x v="1"/>
    <n v="48"/>
    <n v="150"/>
    <n v="118"/>
    <n v="1172"/>
    <n v="167"/>
  </r>
  <r>
    <x v="0"/>
    <x v="3"/>
    <d v="2017-11-15T00:00:00"/>
    <x v="0"/>
    <n v="36"/>
    <n v="125"/>
    <n v="114"/>
    <n v="1171"/>
    <n v="169"/>
  </r>
  <r>
    <x v="0"/>
    <x v="3"/>
    <d v="2017-11-15T00:00:00"/>
    <x v="2"/>
    <n v="33"/>
    <n v="170"/>
    <n v="123"/>
    <n v="1166"/>
    <n v="116"/>
  </r>
  <r>
    <x v="0"/>
    <x v="3"/>
    <d v="2017-11-15T00:00:00"/>
    <x v="1"/>
    <n v="57"/>
    <n v="150"/>
    <n v="118"/>
    <n v="1167"/>
    <n v="210"/>
  </r>
  <r>
    <x v="0"/>
    <x v="3"/>
    <d v="2017-11-15T00:00:00"/>
    <x v="2"/>
    <n v="49"/>
    <n v="170"/>
    <n v="123"/>
    <n v="1168"/>
    <n v="176"/>
  </r>
  <r>
    <x v="0"/>
    <x v="3"/>
    <d v="2017-11-15T00:00:00"/>
    <x v="1"/>
    <n v="41"/>
    <n v="150"/>
    <n v="118"/>
    <n v="1169"/>
    <n v="148"/>
  </r>
  <r>
    <x v="0"/>
    <x v="3"/>
    <d v="2017-11-16T00:00:00"/>
    <x v="2"/>
    <n v="28"/>
    <n v="170"/>
    <n v="123"/>
    <n v="1173"/>
    <n v="100"/>
  </r>
  <r>
    <x v="0"/>
    <x v="3"/>
    <d v="2017-11-16T00:00:00"/>
    <x v="1"/>
    <n v="61"/>
    <n v="150"/>
    <n v="118"/>
    <n v="1174"/>
    <n v="208"/>
  </r>
  <r>
    <x v="0"/>
    <x v="3"/>
    <d v="2017-11-17T00:00:00"/>
    <x v="1"/>
    <n v="55"/>
    <n v="150"/>
    <n v="118"/>
    <n v="1178"/>
    <n v="258"/>
  </r>
  <r>
    <x v="0"/>
    <x v="3"/>
    <d v="2017-11-17T00:00:00"/>
    <x v="0"/>
    <n v="58"/>
    <n v="125"/>
    <n v="114"/>
    <n v="1181"/>
    <n v="268"/>
  </r>
  <r>
    <x v="0"/>
    <x v="3"/>
    <d v="2017-11-17T00:00:00"/>
    <x v="1"/>
    <n v="53"/>
    <n v="150"/>
    <n v="118"/>
    <n v="1179"/>
    <n v="184"/>
  </r>
  <r>
    <x v="0"/>
    <x v="3"/>
    <d v="2017-11-17T00:00:00"/>
    <x v="1"/>
    <n v="59"/>
    <n v="150"/>
    <n v="118"/>
    <n v="1177"/>
    <n v="211"/>
  </r>
  <r>
    <x v="0"/>
    <x v="3"/>
    <d v="2017-11-17T00:00:00"/>
    <x v="0"/>
    <n v="58"/>
    <n v="125"/>
    <n v="114"/>
    <n v="1176"/>
    <n v="212"/>
  </r>
  <r>
    <x v="0"/>
    <x v="3"/>
    <d v="2017-11-17T00:00:00"/>
    <x v="2"/>
    <n v="50"/>
    <n v="170"/>
    <n v="123"/>
    <n v="1175"/>
    <n v="183"/>
  </r>
  <r>
    <x v="0"/>
    <x v="3"/>
    <d v="2017-11-17T00:00:00"/>
    <x v="1"/>
    <n v="41"/>
    <n v="150"/>
    <n v="118"/>
    <n v="1180"/>
    <n v="144"/>
  </r>
  <r>
    <x v="0"/>
    <x v="3"/>
    <d v="2017-11-20T00:00:00"/>
    <x v="1"/>
    <n v="41"/>
    <n v="150"/>
    <n v="118"/>
    <n v="1182"/>
    <n v="141"/>
  </r>
  <r>
    <x v="0"/>
    <x v="3"/>
    <d v="2017-11-20T00:00:00"/>
    <x v="0"/>
    <n v="48"/>
    <n v="125"/>
    <n v="114"/>
    <n v="1183"/>
    <n v="165"/>
  </r>
  <r>
    <x v="0"/>
    <x v="3"/>
    <d v="2017-11-21T00:00:00"/>
    <x v="2"/>
    <n v="49"/>
    <n v="170"/>
    <n v="123"/>
    <n v="1187"/>
    <n v="174"/>
  </r>
  <r>
    <x v="0"/>
    <x v="3"/>
    <d v="2017-11-21T00:00:00"/>
    <x v="1"/>
    <n v="58"/>
    <n v="150"/>
    <n v="118"/>
    <n v="1190"/>
    <n v="211"/>
  </r>
  <r>
    <x v="0"/>
    <x v="3"/>
    <d v="2017-11-21T00:00:00"/>
    <x v="1"/>
    <n v="49"/>
    <n v="150"/>
    <n v="118"/>
    <n v="1192"/>
    <n v="180"/>
  </r>
  <r>
    <x v="0"/>
    <x v="3"/>
    <d v="2017-11-21T00:00:00"/>
    <x v="2"/>
    <n v="40"/>
    <n v="170"/>
    <n v="123"/>
    <n v="1191"/>
    <n v="145"/>
  </r>
  <r>
    <x v="0"/>
    <x v="3"/>
    <d v="2017-11-21T00:00:00"/>
    <x v="1"/>
    <n v="40"/>
    <n v="150"/>
    <n v="118"/>
    <n v="1184"/>
    <n v="139"/>
  </r>
  <r>
    <x v="0"/>
    <x v="3"/>
    <d v="2017-11-21T00:00:00"/>
    <x v="2"/>
    <n v="40"/>
    <n v="170"/>
    <n v="123"/>
    <n v="1189"/>
    <n v="154"/>
  </r>
  <r>
    <x v="0"/>
    <x v="3"/>
    <d v="2017-11-21T00:00:00"/>
    <x v="2"/>
    <n v="46"/>
    <n v="170"/>
    <n v="123"/>
    <n v="1186"/>
    <n v="159"/>
  </r>
  <r>
    <x v="0"/>
    <x v="3"/>
    <d v="2017-11-21T00:00:00"/>
    <x v="0"/>
    <n v="39"/>
    <n v="125"/>
    <n v="114"/>
    <n v="1185"/>
    <n v="135"/>
  </r>
  <r>
    <x v="0"/>
    <x v="3"/>
    <d v="2017-11-21T00:00:00"/>
    <x v="1"/>
    <n v="55"/>
    <n v="150"/>
    <n v="118"/>
    <n v="1188"/>
    <n v="192"/>
  </r>
  <r>
    <x v="0"/>
    <x v="3"/>
    <d v="2017-11-22T00:00:00"/>
    <x v="2"/>
    <n v="36"/>
    <n v="170"/>
    <n v="123"/>
    <n v="1193"/>
    <n v="166"/>
  </r>
  <r>
    <x v="0"/>
    <x v="3"/>
    <d v="2017-11-22T00:00:00"/>
    <x v="1"/>
    <n v="40"/>
    <n v="150"/>
    <n v="118"/>
    <n v="1194"/>
    <n v="143"/>
  </r>
  <r>
    <x v="0"/>
    <x v="3"/>
    <d v="2017-11-22T00:00:00"/>
    <x v="2"/>
    <n v="50"/>
    <n v="170"/>
    <n v="123"/>
    <n v="1195"/>
    <n v="178"/>
  </r>
  <r>
    <x v="0"/>
    <x v="3"/>
    <d v="2017-11-23T00:00:00"/>
    <x v="0"/>
    <n v="56"/>
    <n v="125"/>
    <n v="114"/>
    <n v="1196"/>
    <n v="201"/>
  </r>
  <r>
    <x v="0"/>
    <x v="3"/>
    <d v="2017-11-23T00:00:00"/>
    <x v="1"/>
    <n v="45"/>
    <n v="150"/>
    <n v="118"/>
    <n v="1197"/>
    <n v="172"/>
  </r>
  <r>
    <x v="0"/>
    <x v="3"/>
    <d v="2017-11-24T00:00:00"/>
    <x v="2"/>
    <n v="36"/>
    <n v="170"/>
    <n v="123"/>
    <n v="1199"/>
    <n v="128"/>
  </r>
  <r>
    <x v="0"/>
    <x v="3"/>
    <d v="2017-11-24T00:00:00"/>
    <x v="0"/>
    <n v="53"/>
    <n v="125"/>
    <n v="114"/>
    <n v="1200"/>
    <n v="194"/>
  </r>
  <r>
    <x v="0"/>
    <x v="3"/>
    <d v="2017-11-24T00:00:00"/>
    <x v="1"/>
    <n v="60"/>
    <n v="150"/>
    <n v="118"/>
    <n v="1201"/>
    <n v="209"/>
  </r>
  <r>
    <x v="0"/>
    <x v="3"/>
    <d v="2017-11-24T00:00:00"/>
    <x v="1"/>
    <n v="38"/>
    <n v="150"/>
    <n v="118"/>
    <n v="1202"/>
    <n v="134"/>
  </r>
  <r>
    <x v="0"/>
    <x v="3"/>
    <d v="2017-11-24T00:00:00"/>
    <x v="2"/>
    <n v="28"/>
    <n v="170"/>
    <n v="123"/>
    <n v="1203"/>
    <n v="102"/>
  </r>
  <r>
    <x v="0"/>
    <x v="3"/>
    <d v="2017-11-24T00:00:00"/>
    <x v="0"/>
    <n v="33"/>
    <n v="125"/>
    <n v="114"/>
    <n v="1198"/>
    <n v="115"/>
  </r>
  <r>
    <x v="0"/>
    <x v="3"/>
    <d v="2017-11-27T00:00:00"/>
    <x v="1"/>
    <n v="62"/>
    <n v="150"/>
    <n v="118"/>
    <n v="1207"/>
    <n v="217"/>
  </r>
  <r>
    <x v="0"/>
    <x v="3"/>
    <d v="2017-11-27T00:00:00"/>
    <x v="2"/>
    <n v="38"/>
    <n v="170"/>
    <n v="123"/>
    <n v="1208"/>
    <n v="139"/>
  </r>
  <r>
    <x v="0"/>
    <x v="3"/>
    <d v="2017-11-27T00:00:00"/>
    <x v="1"/>
    <n v="54"/>
    <n v="150"/>
    <n v="118"/>
    <n v="1204"/>
    <n v="254"/>
  </r>
  <r>
    <x v="0"/>
    <x v="3"/>
    <d v="2017-11-27T00:00:00"/>
    <x v="1"/>
    <n v="50"/>
    <n v="150"/>
    <n v="118"/>
    <n v="1205"/>
    <n v="179"/>
  </r>
  <r>
    <x v="0"/>
    <x v="3"/>
    <d v="2017-11-27T00:00:00"/>
    <x v="0"/>
    <n v="50"/>
    <n v="125"/>
    <n v="114"/>
    <n v="1206"/>
    <n v="182"/>
  </r>
  <r>
    <x v="0"/>
    <x v="3"/>
    <d v="2017-11-27T00:00:00"/>
    <x v="0"/>
    <n v="38"/>
    <n v="125"/>
    <n v="114"/>
    <n v="1209"/>
    <n v="133"/>
  </r>
  <r>
    <x v="0"/>
    <x v="3"/>
    <d v="2017-11-28T00:00:00"/>
    <x v="0"/>
    <n v="56"/>
    <n v="125"/>
    <n v="114"/>
    <n v="1210"/>
    <n v="195"/>
  </r>
  <r>
    <x v="0"/>
    <x v="3"/>
    <d v="2017-11-28T00:00:00"/>
    <x v="2"/>
    <n v="50"/>
    <n v="170"/>
    <n v="123"/>
    <n v="1211"/>
    <n v="174"/>
  </r>
  <r>
    <x v="0"/>
    <x v="3"/>
    <d v="2017-11-29T00:00:00"/>
    <x v="0"/>
    <n v="49"/>
    <n v="125"/>
    <n v="114"/>
    <n v="1212"/>
    <n v="173"/>
  </r>
  <r>
    <x v="0"/>
    <x v="3"/>
    <d v="2017-11-29T00:00:00"/>
    <x v="1"/>
    <n v="50"/>
    <n v="150"/>
    <n v="118"/>
    <n v="1213"/>
    <n v="176"/>
  </r>
  <r>
    <x v="0"/>
    <x v="3"/>
    <d v="2017-11-30T00:00:00"/>
    <x v="0"/>
    <n v="50"/>
    <n v="125"/>
    <n v="114"/>
    <n v="1216"/>
    <n v="173"/>
  </r>
  <r>
    <x v="0"/>
    <x v="3"/>
    <d v="2017-11-30T00:00:00"/>
    <x v="0"/>
    <n v="46"/>
    <n v="125"/>
    <n v="114"/>
    <n v="1217"/>
    <n v="164"/>
  </r>
  <r>
    <x v="0"/>
    <x v="3"/>
    <d v="2017-11-30T00:00:00"/>
    <x v="0"/>
    <n v="39"/>
    <n v="125"/>
    <n v="114"/>
    <n v="1215"/>
    <n v="135"/>
  </r>
  <r>
    <x v="0"/>
    <x v="3"/>
    <d v="2017-11-30T00:00:00"/>
    <x v="1"/>
    <n v="53"/>
    <n v="150"/>
    <n v="118"/>
    <n v="1214"/>
    <n v="186"/>
  </r>
  <r>
    <x v="0"/>
    <x v="3"/>
    <d v="2017-11-30T00:00:00"/>
    <x v="0"/>
    <n v="36"/>
    <n v="125"/>
    <n v="114"/>
    <n v="1218"/>
    <n v="128"/>
  </r>
  <r>
    <x v="0"/>
    <x v="3"/>
    <d v="2017-12-01T00:00:00"/>
    <x v="2"/>
    <n v="35"/>
    <n v="170"/>
    <n v="123"/>
    <n v="1225"/>
    <n v="122"/>
  </r>
  <r>
    <x v="0"/>
    <x v="3"/>
    <d v="2017-12-01T00:00:00"/>
    <x v="1"/>
    <n v="55"/>
    <n v="150"/>
    <n v="118"/>
    <n v="1219"/>
    <n v="193"/>
  </r>
  <r>
    <x v="0"/>
    <x v="3"/>
    <d v="2017-12-01T00:00:00"/>
    <x v="2"/>
    <n v="38"/>
    <n v="170"/>
    <n v="123"/>
    <n v="1220"/>
    <n v="140"/>
  </r>
  <r>
    <x v="0"/>
    <x v="3"/>
    <d v="2017-12-01T00:00:00"/>
    <x v="1"/>
    <n v="48"/>
    <n v="150"/>
    <n v="118"/>
    <n v="1221"/>
    <n v="175"/>
  </r>
  <r>
    <x v="0"/>
    <x v="3"/>
    <d v="2017-12-01T00:00:00"/>
    <x v="0"/>
    <n v="36"/>
    <n v="125"/>
    <n v="114"/>
    <n v="1222"/>
    <n v="139"/>
  </r>
  <r>
    <x v="0"/>
    <x v="3"/>
    <d v="2017-12-01T00:00:00"/>
    <x v="2"/>
    <n v="48"/>
    <n v="170"/>
    <n v="123"/>
    <n v="1223"/>
    <n v="169"/>
  </r>
  <r>
    <x v="0"/>
    <x v="3"/>
    <d v="2017-12-01T00:00:00"/>
    <x v="2"/>
    <n v="53"/>
    <n v="170"/>
    <n v="123"/>
    <n v="1224"/>
    <n v="187"/>
  </r>
  <r>
    <x v="0"/>
    <x v="3"/>
    <d v="2017-12-04T00:00:00"/>
    <x v="1"/>
    <n v="58"/>
    <n v="150"/>
    <n v="118"/>
    <n v="1230"/>
    <n v="212"/>
  </r>
  <r>
    <x v="0"/>
    <x v="3"/>
    <d v="2017-12-04T00:00:00"/>
    <x v="2"/>
    <n v="42"/>
    <n v="170"/>
    <n v="123"/>
    <n v="1229"/>
    <n v="153"/>
  </r>
  <r>
    <x v="0"/>
    <x v="3"/>
    <d v="2017-12-04T00:00:00"/>
    <x v="1"/>
    <n v="47"/>
    <n v="150"/>
    <n v="118"/>
    <n v="1226"/>
    <n v="164"/>
  </r>
  <r>
    <x v="0"/>
    <x v="3"/>
    <d v="2017-12-04T00:00:00"/>
    <x v="0"/>
    <n v="38"/>
    <n v="125"/>
    <n v="114"/>
    <n v="1227"/>
    <n v="136"/>
  </r>
  <r>
    <x v="0"/>
    <x v="3"/>
    <d v="2017-12-04T00:00:00"/>
    <x v="0"/>
    <n v="55"/>
    <n v="125"/>
    <n v="114"/>
    <n v="1228"/>
    <n v="192"/>
  </r>
  <r>
    <x v="0"/>
    <x v="3"/>
    <d v="2017-12-05T00:00:00"/>
    <x v="1"/>
    <n v="58"/>
    <n v="150"/>
    <n v="118"/>
    <n v="1236"/>
    <n v="204"/>
  </r>
  <r>
    <x v="0"/>
    <x v="3"/>
    <d v="2017-12-05T00:00:00"/>
    <x v="1"/>
    <n v="42"/>
    <n v="150"/>
    <n v="118"/>
    <n v="1231"/>
    <n v="154"/>
  </r>
  <r>
    <x v="0"/>
    <x v="3"/>
    <d v="2017-12-05T00:00:00"/>
    <x v="0"/>
    <n v="55"/>
    <n v="125"/>
    <n v="114"/>
    <n v="1232"/>
    <n v="195"/>
  </r>
  <r>
    <x v="0"/>
    <x v="3"/>
    <d v="2017-12-05T00:00:00"/>
    <x v="1"/>
    <n v="62"/>
    <n v="150"/>
    <n v="118"/>
    <n v="1233"/>
    <n v="225"/>
  </r>
  <r>
    <x v="0"/>
    <x v="3"/>
    <d v="2017-12-05T00:00:00"/>
    <x v="2"/>
    <n v="39"/>
    <n v="170"/>
    <n v="123"/>
    <n v="1234"/>
    <n v="135"/>
  </r>
  <r>
    <x v="0"/>
    <x v="3"/>
    <d v="2017-12-05T00:00:00"/>
    <x v="0"/>
    <n v="47"/>
    <n v="125"/>
    <n v="114"/>
    <n v="1235"/>
    <n v="165"/>
  </r>
  <r>
    <x v="0"/>
    <x v="3"/>
    <d v="2017-12-06T00:00:00"/>
    <x v="0"/>
    <n v="36"/>
    <n v="125"/>
    <n v="114"/>
    <n v="1237"/>
    <n v="127"/>
  </r>
  <r>
    <x v="0"/>
    <x v="3"/>
    <d v="2017-12-06T00:00:00"/>
    <x v="1"/>
    <n v="53"/>
    <n v="150"/>
    <n v="118"/>
    <n v="1238"/>
    <n v="182"/>
  </r>
  <r>
    <x v="0"/>
    <x v="3"/>
    <d v="2017-12-07T00:00:00"/>
    <x v="1"/>
    <n v="62"/>
    <n v="150"/>
    <n v="118"/>
    <n v="1239"/>
    <n v="221"/>
  </r>
  <r>
    <x v="0"/>
    <x v="3"/>
    <d v="2017-12-07T00:00:00"/>
    <x v="2"/>
    <n v="34"/>
    <n v="170"/>
    <n v="123"/>
    <n v="1240"/>
    <n v="118"/>
  </r>
  <r>
    <x v="0"/>
    <x v="3"/>
    <d v="2017-12-07T00:00:00"/>
    <x v="0"/>
    <n v="43"/>
    <n v="125"/>
    <n v="114"/>
    <n v="1241"/>
    <n v="157"/>
  </r>
  <r>
    <x v="0"/>
    <x v="3"/>
    <d v="2017-12-07T00:00:00"/>
    <x v="2"/>
    <n v="44"/>
    <n v="170"/>
    <n v="123"/>
    <n v="1242"/>
    <n v="158"/>
  </r>
  <r>
    <x v="0"/>
    <x v="3"/>
    <d v="2017-12-07T00:00:00"/>
    <x v="2"/>
    <n v="29"/>
    <n v="170"/>
    <n v="123"/>
    <n v="1243"/>
    <n v="100"/>
  </r>
  <r>
    <x v="0"/>
    <x v="3"/>
    <d v="2017-12-08T00:00:00"/>
    <x v="1"/>
    <n v="46"/>
    <n v="150"/>
    <n v="118"/>
    <n v="1247"/>
    <n v="166"/>
  </r>
  <r>
    <x v="0"/>
    <x v="3"/>
    <d v="2017-12-08T00:00:00"/>
    <x v="2"/>
    <n v="44"/>
    <n v="170"/>
    <n v="123"/>
    <n v="1244"/>
    <n v="157"/>
  </r>
  <r>
    <x v="0"/>
    <x v="3"/>
    <d v="2017-12-08T00:00:00"/>
    <x v="2"/>
    <n v="51"/>
    <n v="170"/>
    <n v="123"/>
    <n v="1245"/>
    <n v="178"/>
  </r>
  <r>
    <x v="0"/>
    <x v="3"/>
    <d v="2017-12-08T00:00:00"/>
    <x v="2"/>
    <n v="32"/>
    <n v="170"/>
    <n v="123"/>
    <n v="1246"/>
    <n v="116"/>
  </r>
  <r>
    <x v="0"/>
    <x v="3"/>
    <d v="2017-12-11T00:00:00"/>
    <x v="2"/>
    <n v="39"/>
    <n v="170"/>
    <n v="123"/>
    <n v="1248"/>
    <n v="144"/>
  </r>
  <r>
    <x v="0"/>
    <x v="3"/>
    <d v="2017-12-11T00:00:00"/>
    <x v="2"/>
    <n v="28"/>
    <n v="170"/>
    <n v="123"/>
    <n v="1249"/>
    <n v="99"/>
  </r>
  <r>
    <x v="0"/>
    <x v="3"/>
    <d v="2017-12-12T00:00:00"/>
    <x v="0"/>
    <n v="55"/>
    <n v="125"/>
    <n v="114"/>
    <n v="1250"/>
    <n v="197"/>
  </r>
  <r>
    <x v="0"/>
    <x v="3"/>
    <d v="2017-12-12T00:00:00"/>
    <x v="2"/>
    <n v="52"/>
    <n v="170"/>
    <n v="123"/>
    <n v="1251"/>
    <n v="244"/>
  </r>
  <r>
    <x v="0"/>
    <x v="3"/>
    <d v="2017-12-13T00:00:00"/>
    <x v="2"/>
    <n v="53"/>
    <n v="170"/>
    <n v="123"/>
    <n v="1254"/>
    <n v="245"/>
  </r>
  <r>
    <x v="0"/>
    <x v="3"/>
    <d v="2017-12-13T00:00:00"/>
    <x v="2"/>
    <n v="42"/>
    <n v="170"/>
    <n v="123"/>
    <n v="1258"/>
    <n v="154"/>
  </r>
  <r>
    <x v="0"/>
    <x v="3"/>
    <d v="2017-12-13T00:00:00"/>
    <x v="2"/>
    <n v="29"/>
    <n v="170"/>
    <n v="123"/>
    <n v="1257"/>
    <n v="106"/>
  </r>
  <r>
    <x v="0"/>
    <x v="3"/>
    <d v="2017-12-13T00:00:00"/>
    <x v="2"/>
    <n v="50"/>
    <n v="170"/>
    <n v="123"/>
    <n v="1255"/>
    <n v="176"/>
  </r>
  <r>
    <x v="0"/>
    <x v="3"/>
    <d v="2017-12-13T00:00:00"/>
    <x v="0"/>
    <n v="47"/>
    <n v="125"/>
    <n v="114"/>
    <n v="1253"/>
    <n v="162"/>
  </r>
  <r>
    <x v="0"/>
    <x v="3"/>
    <d v="2017-12-13T00:00:00"/>
    <x v="0"/>
    <n v="45"/>
    <n v="125"/>
    <n v="114"/>
    <n v="1252"/>
    <n v="163"/>
  </r>
  <r>
    <x v="0"/>
    <x v="3"/>
    <d v="2017-12-13T00:00:00"/>
    <x v="2"/>
    <n v="54"/>
    <n v="170"/>
    <n v="123"/>
    <n v="1256"/>
    <n v="186"/>
  </r>
  <r>
    <x v="0"/>
    <x v="3"/>
    <d v="2017-12-14T00:00:00"/>
    <x v="2"/>
    <n v="36"/>
    <n v="170"/>
    <n v="123"/>
    <n v="1263"/>
    <n v="125"/>
  </r>
  <r>
    <x v="0"/>
    <x v="3"/>
    <d v="2017-12-14T00:00:00"/>
    <x v="1"/>
    <n v="47"/>
    <n v="150"/>
    <n v="118"/>
    <n v="1259"/>
    <n v="176"/>
  </r>
  <r>
    <x v="0"/>
    <x v="3"/>
    <d v="2017-12-14T00:00:00"/>
    <x v="2"/>
    <n v="42"/>
    <n v="170"/>
    <n v="123"/>
    <n v="1260"/>
    <n v="155"/>
  </r>
  <r>
    <x v="0"/>
    <x v="3"/>
    <d v="2017-12-14T00:00:00"/>
    <x v="2"/>
    <n v="46"/>
    <n v="170"/>
    <n v="123"/>
    <n v="1261"/>
    <n v="159"/>
  </r>
  <r>
    <x v="0"/>
    <x v="3"/>
    <d v="2017-12-14T00:00:00"/>
    <x v="1"/>
    <n v="45"/>
    <n v="150"/>
    <n v="118"/>
    <n v="1262"/>
    <n v="157"/>
  </r>
  <r>
    <x v="0"/>
    <x v="3"/>
    <d v="2017-12-15T00:00:00"/>
    <x v="1"/>
    <n v="46"/>
    <n v="150"/>
    <n v="118"/>
    <n v="1266"/>
    <n v="168"/>
  </r>
  <r>
    <x v="0"/>
    <x v="3"/>
    <d v="2017-12-15T00:00:00"/>
    <x v="0"/>
    <n v="48"/>
    <n v="125"/>
    <n v="114"/>
    <n v="1264"/>
    <n v="173"/>
  </r>
  <r>
    <x v="0"/>
    <x v="3"/>
    <d v="2017-12-15T00:00:00"/>
    <x v="0"/>
    <n v="36"/>
    <n v="125"/>
    <n v="114"/>
    <n v="1265"/>
    <n v="124"/>
  </r>
  <r>
    <x v="0"/>
    <x v="3"/>
    <d v="2017-12-18T00:00:00"/>
    <x v="1"/>
    <n v="40"/>
    <n v="150"/>
    <n v="118"/>
    <n v="1267"/>
    <n v="147"/>
  </r>
  <r>
    <x v="0"/>
    <x v="3"/>
    <d v="2017-12-18T00:00:00"/>
    <x v="0"/>
    <n v="55"/>
    <n v="125"/>
    <n v="114"/>
    <n v="1268"/>
    <n v="199"/>
  </r>
  <r>
    <x v="0"/>
    <x v="3"/>
    <d v="2017-12-18T00:00:00"/>
    <x v="2"/>
    <n v="51"/>
    <n v="170"/>
    <n v="123"/>
    <n v="1269"/>
    <n v="178"/>
  </r>
  <r>
    <x v="0"/>
    <x v="3"/>
    <d v="2017-12-18T00:00:00"/>
    <x v="2"/>
    <n v="42"/>
    <n v="170"/>
    <n v="123"/>
    <n v="1270"/>
    <n v="194"/>
  </r>
  <r>
    <x v="0"/>
    <x v="3"/>
    <d v="2017-12-19T00:00:00"/>
    <x v="1"/>
    <n v="53"/>
    <n v="150"/>
    <n v="118"/>
    <n v="1272"/>
    <n v="186"/>
  </r>
  <r>
    <x v="0"/>
    <x v="3"/>
    <d v="2017-12-19T00:00:00"/>
    <x v="1"/>
    <n v="52"/>
    <n v="150"/>
    <n v="118"/>
    <n v="1271"/>
    <n v="179"/>
  </r>
  <r>
    <x v="0"/>
    <x v="3"/>
    <d v="2017-12-20T00:00:00"/>
    <x v="1"/>
    <n v="45"/>
    <n v="150"/>
    <n v="118"/>
    <n v="1279"/>
    <n v="158"/>
  </r>
  <r>
    <x v="0"/>
    <x v="3"/>
    <d v="2017-12-20T00:00:00"/>
    <x v="1"/>
    <n v="43"/>
    <n v="150"/>
    <n v="118"/>
    <n v="1278"/>
    <n v="198"/>
  </r>
  <r>
    <x v="0"/>
    <x v="3"/>
    <d v="2017-12-20T00:00:00"/>
    <x v="1"/>
    <n v="63"/>
    <n v="150"/>
    <n v="118"/>
    <n v="1277"/>
    <n v="291"/>
  </r>
  <r>
    <x v="0"/>
    <x v="3"/>
    <d v="2017-12-20T00:00:00"/>
    <x v="1"/>
    <n v="50"/>
    <n v="150"/>
    <n v="118"/>
    <n v="1276"/>
    <n v="178"/>
  </r>
  <r>
    <x v="0"/>
    <x v="3"/>
    <d v="2017-12-20T00:00:00"/>
    <x v="1"/>
    <n v="62"/>
    <n v="150"/>
    <n v="118"/>
    <n v="1275"/>
    <n v="225"/>
  </r>
  <r>
    <x v="0"/>
    <x v="3"/>
    <d v="2017-12-20T00:00:00"/>
    <x v="1"/>
    <n v="46"/>
    <n v="150"/>
    <n v="118"/>
    <n v="1273"/>
    <n v="168"/>
  </r>
  <r>
    <x v="0"/>
    <x v="3"/>
    <d v="2017-12-20T00:00:00"/>
    <x v="0"/>
    <n v="47"/>
    <n v="125"/>
    <n v="114"/>
    <n v="1274"/>
    <n v="170"/>
  </r>
  <r>
    <x v="0"/>
    <x v="3"/>
    <d v="2017-12-21T00:00:00"/>
    <x v="0"/>
    <n v="52"/>
    <n v="125"/>
    <n v="114"/>
    <n v="1283"/>
    <n v="179"/>
  </r>
  <r>
    <x v="0"/>
    <x v="3"/>
    <d v="2017-12-21T00:00:00"/>
    <x v="2"/>
    <n v="37"/>
    <n v="170"/>
    <n v="123"/>
    <n v="1282"/>
    <n v="136"/>
  </r>
  <r>
    <x v="0"/>
    <x v="3"/>
    <d v="2017-12-21T00:00:00"/>
    <x v="1"/>
    <n v="43"/>
    <n v="150"/>
    <n v="118"/>
    <n v="1281"/>
    <n v="156"/>
  </r>
  <r>
    <x v="0"/>
    <x v="3"/>
    <d v="2017-12-21T00:00:00"/>
    <x v="2"/>
    <n v="54"/>
    <n v="170"/>
    <n v="123"/>
    <n v="1280"/>
    <n v="185"/>
  </r>
  <r>
    <x v="0"/>
    <x v="3"/>
    <d v="2017-12-22T00:00:00"/>
    <x v="0"/>
    <n v="33"/>
    <n v="125"/>
    <n v="114"/>
    <n v="1285"/>
    <n v="121"/>
  </r>
  <r>
    <x v="0"/>
    <x v="3"/>
    <d v="2017-12-22T00:00:00"/>
    <x v="0"/>
    <n v="58"/>
    <n v="125"/>
    <n v="114"/>
    <n v="1286"/>
    <n v="214"/>
  </r>
  <r>
    <x v="0"/>
    <x v="3"/>
    <d v="2017-12-22T00:00:00"/>
    <x v="2"/>
    <n v="46"/>
    <n v="170"/>
    <n v="123"/>
    <n v="1287"/>
    <n v="170"/>
  </r>
  <r>
    <x v="0"/>
    <x v="3"/>
    <d v="2017-12-22T00:00:00"/>
    <x v="1"/>
    <n v="39"/>
    <n v="150"/>
    <n v="118"/>
    <n v="1284"/>
    <n v="134"/>
  </r>
  <r>
    <x v="0"/>
    <x v="3"/>
    <d v="2017-12-25T00:00:00"/>
    <x v="2"/>
    <n v="35"/>
    <n v="170"/>
    <n v="123"/>
    <n v="1289"/>
    <n v="124"/>
  </r>
  <r>
    <x v="0"/>
    <x v="3"/>
    <d v="2017-12-25T00:00:00"/>
    <x v="0"/>
    <n v="33"/>
    <n v="125"/>
    <n v="114"/>
    <n v="1293"/>
    <n v="152"/>
  </r>
  <r>
    <x v="0"/>
    <x v="3"/>
    <d v="2017-12-25T00:00:00"/>
    <x v="1"/>
    <n v="47"/>
    <n v="150"/>
    <n v="118"/>
    <n v="1292"/>
    <n v="169"/>
  </r>
  <r>
    <x v="0"/>
    <x v="3"/>
    <d v="2017-12-25T00:00:00"/>
    <x v="0"/>
    <n v="34"/>
    <n v="125"/>
    <n v="114"/>
    <n v="1290"/>
    <n v="121"/>
  </r>
  <r>
    <x v="0"/>
    <x v="3"/>
    <d v="2017-12-25T00:00:00"/>
    <x v="2"/>
    <n v="46"/>
    <n v="170"/>
    <n v="123"/>
    <n v="1288"/>
    <n v="163"/>
  </r>
  <r>
    <x v="0"/>
    <x v="3"/>
    <d v="2017-12-25T00:00:00"/>
    <x v="0"/>
    <n v="40"/>
    <n v="125"/>
    <n v="114"/>
    <n v="1291"/>
    <n v="185"/>
  </r>
  <r>
    <x v="0"/>
    <x v="3"/>
    <d v="2017-12-26T00:00:00"/>
    <x v="2"/>
    <n v="28"/>
    <n v="170"/>
    <n v="123"/>
    <n v="1298"/>
    <n v="103"/>
  </r>
  <r>
    <x v="0"/>
    <x v="3"/>
    <d v="2017-12-26T00:00:00"/>
    <x v="1"/>
    <n v="59"/>
    <n v="150"/>
    <n v="118"/>
    <n v="1300"/>
    <n v="213"/>
  </r>
  <r>
    <x v="0"/>
    <x v="3"/>
    <d v="2017-12-26T00:00:00"/>
    <x v="2"/>
    <n v="29"/>
    <n v="170"/>
    <n v="123"/>
    <n v="1301"/>
    <n v="102"/>
  </r>
  <r>
    <x v="0"/>
    <x v="3"/>
    <d v="2017-12-26T00:00:00"/>
    <x v="1"/>
    <n v="60"/>
    <n v="150"/>
    <n v="118"/>
    <n v="1299"/>
    <n v="219"/>
  </r>
  <r>
    <x v="0"/>
    <x v="3"/>
    <d v="2017-12-26T00:00:00"/>
    <x v="2"/>
    <n v="53"/>
    <n v="170"/>
    <n v="123"/>
    <n v="1296"/>
    <n v="184"/>
  </r>
  <r>
    <x v="0"/>
    <x v="3"/>
    <d v="2017-12-26T00:00:00"/>
    <x v="0"/>
    <n v="39"/>
    <n v="125"/>
    <n v="114"/>
    <n v="1295"/>
    <n v="140"/>
  </r>
  <r>
    <x v="0"/>
    <x v="3"/>
    <d v="2017-12-26T00:00:00"/>
    <x v="2"/>
    <n v="51"/>
    <n v="170"/>
    <n v="123"/>
    <n v="1294"/>
    <n v="179"/>
  </r>
  <r>
    <x v="0"/>
    <x v="3"/>
    <d v="2017-12-26T00:00:00"/>
    <x v="1"/>
    <n v="43"/>
    <n v="150"/>
    <n v="118"/>
    <n v="1297"/>
    <n v="156"/>
  </r>
  <r>
    <x v="0"/>
    <x v="3"/>
    <d v="2017-12-27T00:00:00"/>
    <x v="2"/>
    <n v="37"/>
    <n v="170"/>
    <n v="123"/>
    <n v="1308"/>
    <n v="131"/>
  </r>
  <r>
    <x v="0"/>
    <x v="3"/>
    <d v="2017-12-27T00:00:00"/>
    <x v="1"/>
    <n v="52"/>
    <n v="150"/>
    <n v="118"/>
    <n v="1302"/>
    <n v="185"/>
  </r>
  <r>
    <x v="0"/>
    <x v="3"/>
    <d v="2017-12-27T00:00:00"/>
    <x v="1"/>
    <n v="50"/>
    <n v="150"/>
    <n v="118"/>
    <n v="1309"/>
    <n v="182"/>
  </r>
  <r>
    <x v="0"/>
    <x v="3"/>
    <d v="2017-12-27T00:00:00"/>
    <x v="1"/>
    <n v="41"/>
    <n v="150"/>
    <n v="118"/>
    <n v="1307"/>
    <n v="191"/>
  </r>
  <r>
    <x v="0"/>
    <x v="3"/>
    <d v="2017-12-27T00:00:00"/>
    <x v="1"/>
    <n v="56"/>
    <n v="150"/>
    <n v="118"/>
    <n v="1306"/>
    <n v="196"/>
  </r>
  <r>
    <x v="0"/>
    <x v="3"/>
    <d v="2017-12-27T00:00:00"/>
    <x v="1"/>
    <n v="38"/>
    <n v="150"/>
    <n v="118"/>
    <n v="1305"/>
    <n v="134"/>
  </r>
  <r>
    <x v="0"/>
    <x v="3"/>
    <d v="2017-12-27T00:00:00"/>
    <x v="2"/>
    <n v="51"/>
    <n v="170"/>
    <n v="123"/>
    <n v="1304"/>
    <n v="180"/>
  </r>
  <r>
    <x v="0"/>
    <x v="3"/>
    <d v="2017-12-27T00:00:00"/>
    <x v="2"/>
    <n v="46"/>
    <n v="170"/>
    <n v="123"/>
    <n v="1303"/>
    <n v="159"/>
  </r>
  <r>
    <x v="0"/>
    <x v="3"/>
    <d v="2017-12-28T00:00:00"/>
    <x v="0"/>
    <n v="55"/>
    <n v="125"/>
    <n v="114"/>
    <n v="1311"/>
    <n v="193"/>
  </r>
  <r>
    <x v="0"/>
    <x v="3"/>
    <d v="2017-12-28T00:00:00"/>
    <x v="2"/>
    <n v="28"/>
    <n v="170"/>
    <n v="123"/>
    <n v="1312"/>
    <n v="103"/>
  </r>
  <r>
    <x v="0"/>
    <x v="3"/>
    <d v="2017-12-28T00:00:00"/>
    <x v="2"/>
    <n v="48"/>
    <n v="170"/>
    <n v="123"/>
    <n v="1313"/>
    <n v="170"/>
  </r>
  <r>
    <x v="0"/>
    <x v="3"/>
    <d v="2017-12-28T00:00:00"/>
    <x v="0"/>
    <n v="57"/>
    <n v="125"/>
    <n v="114"/>
    <n v="1314"/>
    <n v="199"/>
  </r>
  <r>
    <x v="0"/>
    <x v="3"/>
    <d v="2017-12-28T00:00:00"/>
    <x v="2"/>
    <n v="28"/>
    <n v="170"/>
    <n v="123"/>
    <n v="1315"/>
    <n v="98"/>
  </r>
  <r>
    <x v="0"/>
    <x v="3"/>
    <d v="2017-12-28T00:00:00"/>
    <x v="1"/>
    <n v="54"/>
    <n v="150"/>
    <n v="118"/>
    <n v="1310"/>
    <n v="199"/>
  </r>
  <r>
    <x v="0"/>
    <x v="3"/>
    <d v="2017-12-29T00:00:00"/>
    <x v="0"/>
    <n v="36"/>
    <n v="125"/>
    <n v="114"/>
    <n v="1321"/>
    <n v="130"/>
  </r>
  <r>
    <x v="0"/>
    <x v="3"/>
    <d v="2017-12-29T00:00:00"/>
    <x v="2"/>
    <n v="37"/>
    <n v="170"/>
    <n v="123"/>
    <n v="1324"/>
    <n v="132"/>
  </r>
  <r>
    <x v="0"/>
    <x v="3"/>
    <d v="2017-12-29T00:00:00"/>
    <x v="1"/>
    <n v="43"/>
    <n v="150"/>
    <n v="118"/>
    <n v="1323"/>
    <n v="153"/>
  </r>
  <r>
    <x v="0"/>
    <x v="3"/>
    <d v="2017-12-29T00:00:00"/>
    <x v="2"/>
    <n v="41"/>
    <n v="170"/>
    <n v="123"/>
    <n v="1322"/>
    <n v="149"/>
  </r>
  <r>
    <x v="0"/>
    <x v="3"/>
    <d v="2017-12-29T00:00:00"/>
    <x v="2"/>
    <n v="36"/>
    <n v="170"/>
    <n v="123"/>
    <n v="1319"/>
    <n v="129"/>
  </r>
  <r>
    <x v="0"/>
    <x v="3"/>
    <d v="2017-12-29T00:00:00"/>
    <x v="0"/>
    <n v="59"/>
    <n v="125"/>
    <n v="114"/>
    <n v="1318"/>
    <n v="213"/>
  </r>
  <r>
    <x v="0"/>
    <x v="3"/>
    <d v="2017-12-29T00:00:00"/>
    <x v="1"/>
    <n v="52"/>
    <n v="150"/>
    <n v="118"/>
    <n v="1316"/>
    <n v="181"/>
  </r>
  <r>
    <x v="0"/>
    <x v="3"/>
    <d v="2017-12-29T00:00:00"/>
    <x v="2"/>
    <n v="42"/>
    <n v="170"/>
    <n v="123"/>
    <n v="1317"/>
    <n v="161"/>
  </r>
  <r>
    <x v="0"/>
    <x v="3"/>
    <d v="2017-12-29T00:00:00"/>
    <x v="0"/>
    <n v="37"/>
    <n v="125"/>
    <n v="114"/>
    <n v="1320"/>
    <n v="131"/>
  </r>
  <r>
    <x v="1"/>
    <x v="0"/>
    <d v="2018-01-01T00:00:00"/>
    <x v="2"/>
    <n v="41"/>
    <n v="170"/>
    <n v="123"/>
    <n v="1328"/>
    <n v="148"/>
  </r>
  <r>
    <x v="1"/>
    <x v="0"/>
    <d v="2018-01-01T00:00:00"/>
    <x v="1"/>
    <n v="64"/>
    <n v="150"/>
    <n v="118"/>
    <n v="1332"/>
    <n v="221"/>
  </r>
  <r>
    <x v="1"/>
    <x v="0"/>
    <d v="2018-01-01T00:00:00"/>
    <x v="1"/>
    <n v="43"/>
    <n v="150"/>
    <n v="118"/>
    <n v="1331"/>
    <n v="155"/>
  </r>
  <r>
    <x v="1"/>
    <x v="0"/>
    <d v="2018-01-01T00:00:00"/>
    <x v="1"/>
    <n v="47"/>
    <n v="150"/>
    <n v="118"/>
    <n v="1329"/>
    <n v="172"/>
  </r>
  <r>
    <x v="1"/>
    <x v="0"/>
    <d v="2018-01-01T00:00:00"/>
    <x v="1"/>
    <n v="50"/>
    <n v="150"/>
    <n v="118"/>
    <n v="1327"/>
    <n v="181"/>
  </r>
  <r>
    <x v="1"/>
    <x v="0"/>
    <d v="2018-01-01T00:00:00"/>
    <x v="1"/>
    <n v="49"/>
    <n v="150"/>
    <n v="118"/>
    <n v="1326"/>
    <n v="172"/>
  </r>
  <r>
    <x v="1"/>
    <x v="0"/>
    <d v="2018-01-01T00:00:00"/>
    <x v="2"/>
    <n v="46"/>
    <n v="170"/>
    <n v="123"/>
    <n v="1325"/>
    <n v="165"/>
  </r>
  <r>
    <x v="1"/>
    <x v="0"/>
    <d v="2018-01-01T00:00:00"/>
    <x v="2"/>
    <n v="52"/>
    <n v="170"/>
    <n v="123"/>
    <n v="1330"/>
    <n v="185"/>
  </r>
  <r>
    <x v="1"/>
    <x v="0"/>
    <d v="2018-01-02T00:00:00"/>
    <x v="2"/>
    <n v="53"/>
    <n v="170"/>
    <n v="123"/>
    <n v="1333"/>
    <n v="189"/>
  </r>
  <r>
    <x v="1"/>
    <x v="0"/>
    <d v="2018-01-02T00:00:00"/>
    <x v="0"/>
    <n v="48"/>
    <n v="125"/>
    <n v="114"/>
    <n v="1334"/>
    <n v="171"/>
  </r>
  <r>
    <x v="1"/>
    <x v="0"/>
    <d v="2018-01-03T00:00:00"/>
    <x v="0"/>
    <n v="38"/>
    <n v="125"/>
    <n v="114"/>
    <n v="1335"/>
    <n v="132"/>
  </r>
  <r>
    <x v="1"/>
    <x v="0"/>
    <d v="2018-01-04T00:00:00"/>
    <x v="0"/>
    <n v="48"/>
    <n v="125"/>
    <n v="114"/>
    <n v="1337"/>
    <n v="166"/>
  </r>
  <r>
    <x v="1"/>
    <x v="0"/>
    <d v="2018-01-04T00:00:00"/>
    <x v="2"/>
    <n v="36"/>
    <n v="170"/>
    <n v="123"/>
    <n v="1336"/>
    <n v="132"/>
  </r>
  <r>
    <x v="1"/>
    <x v="0"/>
    <d v="2018-01-05T00:00:00"/>
    <x v="2"/>
    <n v="41"/>
    <n v="170"/>
    <n v="123"/>
    <n v="1338"/>
    <n v="190"/>
  </r>
  <r>
    <x v="1"/>
    <x v="0"/>
    <d v="2018-01-08T00:00:00"/>
    <x v="0"/>
    <n v="37"/>
    <n v="125"/>
    <n v="114"/>
    <n v="1340"/>
    <n v="136"/>
  </r>
  <r>
    <x v="1"/>
    <x v="0"/>
    <d v="2018-01-08T00:00:00"/>
    <x v="1"/>
    <n v="44"/>
    <n v="150"/>
    <n v="118"/>
    <n v="1339"/>
    <n v="162"/>
  </r>
  <r>
    <x v="1"/>
    <x v="0"/>
    <d v="2018-01-09T00:00:00"/>
    <x v="1"/>
    <n v="59"/>
    <n v="150"/>
    <n v="118"/>
    <n v="1341"/>
    <n v="216"/>
  </r>
  <r>
    <x v="1"/>
    <x v="0"/>
    <d v="2018-01-09T00:00:00"/>
    <x v="1"/>
    <n v="63"/>
    <n v="150"/>
    <n v="118"/>
    <n v="1342"/>
    <n v="222"/>
  </r>
  <r>
    <x v="1"/>
    <x v="0"/>
    <d v="2018-01-09T00:00:00"/>
    <x v="0"/>
    <n v="50"/>
    <n v="125"/>
    <n v="114"/>
    <n v="1343"/>
    <n v="188"/>
  </r>
  <r>
    <x v="1"/>
    <x v="0"/>
    <d v="2018-01-09T00:00:00"/>
    <x v="0"/>
    <n v="47"/>
    <n v="125"/>
    <n v="114"/>
    <n v="1344"/>
    <n v="172"/>
  </r>
  <r>
    <x v="1"/>
    <x v="0"/>
    <d v="2018-01-09T00:00:00"/>
    <x v="2"/>
    <n v="51"/>
    <n v="170"/>
    <n v="123"/>
    <n v="1345"/>
    <n v="181"/>
  </r>
  <r>
    <x v="1"/>
    <x v="0"/>
    <d v="2018-01-10T00:00:00"/>
    <x v="0"/>
    <n v="49"/>
    <n v="125"/>
    <n v="114"/>
    <n v="1346"/>
    <n v="169"/>
  </r>
  <r>
    <x v="1"/>
    <x v="0"/>
    <d v="2018-01-10T00:00:00"/>
    <x v="0"/>
    <n v="55"/>
    <n v="125"/>
    <n v="114"/>
    <n v="1351"/>
    <n v="203"/>
  </r>
  <r>
    <x v="1"/>
    <x v="0"/>
    <d v="2018-01-10T00:00:00"/>
    <x v="1"/>
    <n v="62"/>
    <n v="150"/>
    <n v="118"/>
    <n v="1350"/>
    <n v="220"/>
  </r>
  <r>
    <x v="1"/>
    <x v="0"/>
    <d v="2018-01-10T00:00:00"/>
    <x v="0"/>
    <n v="37"/>
    <n v="125"/>
    <n v="114"/>
    <n v="1349"/>
    <n v="136"/>
  </r>
  <r>
    <x v="1"/>
    <x v="0"/>
    <d v="2018-01-10T00:00:00"/>
    <x v="0"/>
    <n v="45"/>
    <n v="125"/>
    <n v="114"/>
    <n v="1347"/>
    <n v="163"/>
  </r>
  <r>
    <x v="1"/>
    <x v="0"/>
    <d v="2018-01-10T00:00:00"/>
    <x v="2"/>
    <n v="39"/>
    <n v="170"/>
    <n v="123"/>
    <n v="1348"/>
    <n v="140"/>
  </r>
  <r>
    <x v="1"/>
    <x v="0"/>
    <d v="2018-01-11T00:00:00"/>
    <x v="2"/>
    <n v="30"/>
    <n v="170"/>
    <n v="123"/>
    <n v="1354"/>
    <n v="106"/>
  </r>
  <r>
    <x v="1"/>
    <x v="0"/>
    <d v="2018-01-11T00:00:00"/>
    <x v="0"/>
    <n v="48"/>
    <n v="125"/>
    <n v="114"/>
    <n v="1359"/>
    <n v="165"/>
  </r>
  <r>
    <x v="1"/>
    <x v="0"/>
    <d v="2018-01-11T00:00:00"/>
    <x v="1"/>
    <n v="43"/>
    <n v="150"/>
    <n v="118"/>
    <n v="1358"/>
    <n v="199"/>
  </r>
  <r>
    <x v="1"/>
    <x v="0"/>
    <d v="2018-01-11T00:00:00"/>
    <x v="0"/>
    <n v="47"/>
    <n v="125"/>
    <n v="114"/>
    <n v="1357"/>
    <n v="164"/>
  </r>
  <r>
    <x v="1"/>
    <x v="0"/>
    <d v="2018-01-11T00:00:00"/>
    <x v="1"/>
    <n v="43"/>
    <n v="150"/>
    <n v="118"/>
    <n v="1355"/>
    <n v="159"/>
  </r>
  <r>
    <x v="1"/>
    <x v="0"/>
    <d v="2018-01-11T00:00:00"/>
    <x v="0"/>
    <n v="59"/>
    <n v="125"/>
    <n v="114"/>
    <n v="1353"/>
    <n v="217"/>
  </r>
  <r>
    <x v="1"/>
    <x v="0"/>
    <d v="2018-01-11T00:00:00"/>
    <x v="1"/>
    <n v="62"/>
    <n v="150"/>
    <n v="118"/>
    <n v="1352"/>
    <n v="215"/>
  </r>
  <r>
    <x v="1"/>
    <x v="0"/>
    <d v="2018-01-11T00:00:00"/>
    <x v="1"/>
    <n v="40"/>
    <n v="150"/>
    <n v="118"/>
    <n v="1356"/>
    <n v="152"/>
  </r>
  <r>
    <x v="1"/>
    <x v="0"/>
    <d v="2018-01-12T00:00:00"/>
    <x v="1"/>
    <n v="53"/>
    <n v="150"/>
    <n v="118"/>
    <n v="1364"/>
    <n v="249"/>
  </r>
  <r>
    <x v="1"/>
    <x v="0"/>
    <d v="2018-01-12T00:00:00"/>
    <x v="2"/>
    <n v="45"/>
    <n v="170"/>
    <n v="123"/>
    <n v="1360"/>
    <n v="160"/>
  </r>
  <r>
    <x v="1"/>
    <x v="0"/>
    <d v="2018-01-12T00:00:00"/>
    <x v="0"/>
    <n v="41"/>
    <n v="125"/>
    <n v="114"/>
    <n v="1361"/>
    <n v="142"/>
  </r>
  <r>
    <x v="1"/>
    <x v="0"/>
    <d v="2018-01-12T00:00:00"/>
    <x v="0"/>
    <n v="40"/>
    <n v="125"/>
    <n v="114"/>
    <n v="1362"/>
    <n v="187"/>
  </r>
  <r>
    <x v="1"/>
    <x v="0"/>
    <d v="2018-01-12T00:00:00"/>
    <x v="1"/>
    <n v="57"/>
    <n v="150"/>
    <n v="118"/>
    <n v="1363"/>
    <n v="199"/>
  </r>
  <r>
    <x v="1"/>
    <x v="0"/>
    <d v="2018-01-15T00:00:00"/>
    <x v="1"/>
    <n v="59"/>
    <n v="150"/>
    <n v="118"/>
    <n v="1371"/>
    <n v="220"/>
  </r>
  <r>
    <x v="1"/>
    <x v="0"/>
    <d v="2018-01-15T00:00:00"/>
    <x v="0"/>
    <n v="50"/>
    <n v="125"/>
    <n v="114"/>
    <n v="1370"/>
    <n v="184"/>
  </r>
  <r>
    <x v="1"/>
    <x v="0"/>
    <d v="2018-01-15T00:00:00"/>
    <x v="0"/>
    <n v="46"/>
    <n v="125"/>
    <n v="114"/>
    <n v="1369"/>
    <n v="164"/>
  </r>
  <r>
    <x v="1"/>
    <x v="0"/>
    <d v="2018-01-15T00:00:00"/>
    <x v="1"/>
    <n v="43"/>
    <n v="150"/>
    <n v="118"/>
    <n v="1368"/>
    <n v="149"/>
  </r>
  <r>
    <x v="1"/>
    <x v="0"/>
    <d v="2018-01-15T00:00:00"/>
    <x v="1"/>
    <n v="46"/>
    <n v="150"/>
    <n v="118"/>
    <n v="1367"/>
    <n v="164"/>
  </r>
  <r>
    <x v="1"/>
    <x v="0"/>
    <d v="2018-01-15T00:00:00"/>
    <x v="1"/>
    <n v="48"/>
    <n v="150"/>
    <n v="118"/>
    <n v="1365"/>
    <n v="167"/>
  </r>
  <r>
    <x v="1"/>
    <x v="0"/>
    <d v="2018-01-15T00:00:00"/>
    <x v="2"/>
    <n v="40"/>
    <n v="170"/>
    <n v="123"/>
    <n v="1366"/>
    <n v="139"/>
  </r>
  <r>
    <x v="1"/>
    <x v="0"/>
    <d v="2018-01-16T00:00:00"/>
    <x v="2"/>
    <n v="45"/>
    <n v="170"/>
    <n v="123"/>
    <n v="1372"/>
    <n v="155"/>
  </r>
  <r>
    <x v="1"/>
    <x v="0"/>
    <d v="2018-01-16T00:00:00"/>
    <x v="0"/>
    <n v="52"/>
    <n v="125"/>
    <n v="114"/>
    <n v="1375"/>
    <n v="182"/>
  </r>
  <r>
    <x v="1"/>
    <x v="0"/>
    <d v="2018-01-16T00:00:00"/>
    <x v="1"/>
    <n v="65"/>
    <n v="150"/>
    <n v="118"/>
    <n v="1374"/>
    <n v="237"/>
  </r>
  <r>
    <x v="1"/>
    <x v="0"/>
    <d v="2018-01-16T00:00:00"/>
    <x v="0"/>
    <n v="51"/>
    <n v="125"/>
    <n v="114"/>
    <n v="1373"/>
    <n v="178"/>
  </r>
  <r>
    <x v="1"/>
    <x v="0"/>
    <d v="2018-01-17T00:00:00"/>
    <x v="2"/>
    <n v="39"/>
    <n v="170"/>
    <n v="123"/>
    <n v="1381"/>
    <n v="138"/>
  </r>
  <r>
    <x v="1"/>
    <x v="0"/>
    <d v="2018-01-17T00:00:00"/>
    <x v="2"/>
    <n v="51"/>
    <n v="170"/>
    <n v="123"/>
    <n v="1382"/>
    <n v="182"/>
  </r>
  <r>
    <x v="1"/>
    <x v="0"/>
    <d v="2018-01-17T00:00:00"/>
    <x v="2"/>
    <n v="45"/>
    <n v="170"/>
    <n v="123"/>
    <n v="1380"/>
    <n v="155"/>
  </r>
  <r>
    <x v="1"/>
    <x v="0"/>
    <d v="2018-01-17T00:00:00"/>
    <x v="0"/>
    <n v="59"/>
    <n v="125"/>
    <n v="114"/>
    <n v="1379"/>
    <n v="215"/>
  </r>
  <r>
    <x v="1"/>
    <x v="0"/>
    <d v="2018-01-17T00:00:00"/>
    <x v="2"/>
    <n v="36"/>
    <n v="170"/>
    <n v="123"/>
    <n v="1378"/>
    <n v="125"/>
  </r>
  <r>
    <x v="1"/>
    <x v="0"/>
    <d v="2018-01-17T00:00:00"/>
    <x v="1"/>
    <n v="60"/>
    <n v="150"/>
    <n v="118"/>
    <n v="1377"/>
    <n v="207"/>
  </r>
  <r>
    <x v="1"/>
    <x v="0"/>
    <d v="2018-01-17T00:00:00"/>
    <x v="1"/>
    <n v="49"/>
    <n v="150"/>
    <n v="118"/>
    <n v="1376"/>
    <n v="175"/>
  </r>
  <r>
    <x v="1"/>
    <x v="0"/>
    <d v="2018-01-18T00:00:00"/>
    <x v="0"/>
    <n v="56"/>
    <n v="125"/>
    <n v="114"/>
    <n v="1384"/>
    <n v="194"/>
  </r>
  <r>
    <x v="1"/>
    <x v="0"/>
    <d v="2018-01-18T00:00:00"/>
    <x v="0"/>
    <n v="48"/>
    <n v="125"/>
    <n v="114"/>
    <n v="1385"/>
    <n v="167"/>
  </r>
  <r>
    <x v="1"/>
    <x v="0"/>
    <d v="2018-01-18T00:00:00"/>
    <x v="0"/>
    <n v="35"/>
    <n v="125"/>
    <n v="114"/>
    <n v="1386"/>
    <n v="129"/>
  </r>
  <r>
    <x v="1"/>
    <x v="0"/>
    <d v="2018-01-18T00:00:00"/>
    <x v="0"/>
    <n v="58"/>
    <n v="125"/>
    <n v="114"/>
    <n v="1387"/>
    <n v="272"/>
  </r>
  <r>
    <x v="1"/>
    <x v="0"/>
    <d v="2018-01-18T00:00:00"/>
    <x v="2"/>
    <n v="56"/>
    <n v="170"/>
    <n v="123"/>
    <n v="1383"/>
    <n v="199"/>
  </r>
  <r>
    <x v="1"/>
    <x v="0"/>
    <d v="2018-01-19T00:00:00"/>
    <x v="1"/>
    <n v="45"/>
    <n v="150"/>
    <n v="118"/>
    <n v="1388"/>
    <n v="159"/>
  </r>
  <r>
    <x v="1"/>
    <x v="0"/>
    <d v="2018-01-22T00:00:00"/>
    <x v="2"/>
    <n v="35"/>
    <n v="170"/>
    <n v="123"/>
    <n v="1390"/>
    <n v="122"/>
  </r>
  <r>
    <x v="1"/>
    <x v="0"/>
    <d v="2018-01-22T00:00:00"/>
    <x v="0"/>
    <n v="45"/>
    <n v="125"/>
    <n v="114"/>
    <n v="1393"/>
    <n v="164"/>
  </r>
  <r>
    <x v="1"/>
    <x v="0"/>
    <d v="2018-01-22T00:00:00"/>
    <x v="2"/>
    <n v="42"/>
    <n v="170"/>
    <n v="123"/>
    <n v="1389"/>
    <n v="145"/>
  </r>
  <r>
    <x v="1"/>
    <x v="0"/>
    <d v="2018-01-22T00:00:00"/>
    <x v="0"/>
    <n v="47"/>
    <n v="125"/>
    <n v="114"/>
    <n v="1392"/>
    <n v="169"/>
  </r>
  <r>
    <x v="1"/>
    <x v="0"/>
    <d v="2018-01-22T00:00:00"/>
    <x v="0"/>
    <n v="51"/>
    <n v="125"/>
    <n v="114"/>
    <n v="1391"/>
    <n v="178"/>
  </r>
  <r>
    <x v="1"/>
    <x v="0"/>
    <d v="2018-01-23T00:00:00"/>
    <x v="2"/>
    <n v="43"/>
    <n v="170"/>
    <n v="123"/>
    <n v="1394"/>
    <n v="153"/>
  </r>
  <r>
    <x v="1"/>
    <x v="0"/>
    <d v="2018-01-23T00:00:00"/>
    <x v="0"/>
    <n v="43"/>
    <n v="125"/>
    <n v="114"/>
    <n v="1395"/>
    <n v="158"/>
  </r>
  <r>
    <x v="1"/>
    <x v="0"/>
    <d v="2018-01-23T00:00:00"/>
    <x v="2"/>
    <n v="51"/>
    <n v="170"/>
    <n v="123"/>
    <n v="1396"/>
    <n v="186"/>
  </r>
  <r>
    <x v="1"/>
    <x v="0"/>
    <d v="2018-01-24T00:00:00"/>
    <x v="2"/>
    <n v="42"/>
    <n v="170"/>
    <n v="123"/>
    <n v="1398"/>
    <n v="145"/>
  </r>
  <r>
    <x v="1"/>
    <x v="0"/>
    <d v="2018-01-24T00:00:00"/>
    <x v="1"/>
    <n v="42"/>
    <n v="150"/>
    <n v="118"/>
    <n v="1399"/>
    <n v="146"/>
  </r>
  <r>
    <x v="1"/>
    <x v="0"/>
    <d v="2018-01-24T00:00:00"/>
    <x v="0"/>
    <n v="52"/>
    <n v="125"/>
    <n v="114"/>
    <n v="1397"/>
    <n v="191"/>
  </r>
  <r>
    <x v="1"/>
    <x v="0"/>
    <d v="2018-01-24T00:00:00"/>
    <x v="2"/>
    <n v="39"/>
    <n v="170"/>
    <n v="123"/>
    <n v="1400"/>
    <n v="141"/>
  </r>
  <r>
    <x v="1"/>
    <x v="0"/>
    <d v="2018-01-25T00:00:00"/>
    <x v="1"/>
    <n v="44"/>
    <n v="150"/>
    <n v="118"/>
    <n v="1401"/>
    <n v="160"/>
  </r>
  <r>
    <x v="1"/>
    <x v="0"/>
    <d v="2018-01-25T00:00:00"/>
    <x v="0"/>
    <n v="37"/>
    <n v="125"/>
    <n v="114"/>
    <n v="1402"/>
    <n v="129"/>
  </r>
  <r>
    <x v="1"/>
    <x v="0"/>
    <d v="2018-01-25T00:00:00"/>
    <x v="0"/>
    <n v="51"/>
    <n v="125"/>
    <n v="114"/>
    <n v="1403"/>
    <n v="183"/>
  </r>
  <r>
    <x v="1"/>
    <x v="0"/>
    <d v="2018-01-25T00:00:00"/>
    <x v="1"/>
    <n v="57"/>
    <n v="150"/>
    <n v="118"/>
    <n v="1404"/>
    <n v="201"/>
  </r>
  <r>
    <x v="1"/>
    <x v="0"/>
    <d v="2018-01-26T00:00:00"/>
    <x v="1"/>
    <n v="63"/>
    <n v="150"/>
    <n v="118"/>
    <n v="1405"/>
    <n v="229"/>
  </r>
  <r>
    <x v="1"/>
    <x v="0"/>
    <d v="2018-01-26T00:00:00"/>
    <x v="2"/>
    <n v="52"/>
    <n v="170"/>
    <n v="123"/>
    <n v="1406"/>
    <n v="185"/>
  </r>
  <r>
    <x v="1"/>
    <x v="0"/>
    <d v="2018-01-29T00:00:00"/>
    <x v="0"/>
    <n v="35"/>
    <n v="125"/>
    <n v="114"/>
    <n v="1407"/>
    <n v="161"/>
  </r>
  <r>
    <x v="1"/>
    <x v="0"/>
    <d v="2018-01-29T00:00:00"/>
    <x v="1"/>
    <n v="65"/>
    <n v="150"/>
    <n v="118"/>
    <n v="1408"/>
    <n v="230"/>
  </r>
  <r>
    <x v="1"/>
    <x v="0"/>
    <d v="2018-01-30T00:00:00"/>
    <x v="0"/>
    <n v="56"/>
    <n v="125"/>
    <n v="114"/>
    <n v="1409"/>
    <n v="194"/>
  </r>
  <r>
    <x v="1"/>
    <x v="0"/>
    <d v="2018-01-31T00:00:00"/>
    <x v="2"/>
    <n v="34"/>
    <n v="170"/>
    <n v="123"/>
    <n v="1410"/>
    <n v="122"/>
  </r>
  <r>
    <x v="1"/>
    <x v="0"/>
    <d v="2018-02-01T00:00:00"/>
    <x v="2"/>
    <n v="52"/>
    <n v="170"/>
    <n v="123"/>
    <n v="1411"/>
    <n v="186"/>
  </r>
  <r>
    <x v="1"/>
    <x v="0"/>
    <d v="2018-02-01T00:00:00"/>
    <x v="1"/>
    <n v="53"/>
    <n v="150"/>
    <n v="118"/>
    <n v="1412"/>
    <n v="197"/>
  </r>
  <r>
    <x v="1"/>
    <x v="0"/>
    <d v="2018-02-01T00:00:00"/>
    <x v="0"/>
    <n v="55"/>
    <n v="125"/>
    <n v="114"/>
    <n v="1413"/>
    <n v="198"/>
  </r>
  <r>
    <x v="1"/>
    <x v="0"/>
    <d v="2018-02-02T00:00:00"/>
    <x v="2"/>
    <n v="46"/>
    <n v="170"/>
    <n v="123"/>
    <n v="1414"/>
    <n v="159"/>
  </r>
  <r>
    <x v="1"/>
    <x v="0"/>
    <d v="2018-02-02T00:00:00"/>
    <x v="2"/>
    <n v="41"/>
    <n v="170"/>
    <n v="123"/>
    <n v="1415"/>
    <n v="151"/>
  </r>
  <r>
    <x v="1"/>
    <x v="0"/>
    <d v="2018-02-05T00:00:00"/>
    <x v="0"/>
    <n v="38"/>
    <n v="125"/>
    <n v="114"/>
    <n v="1416"/>
    <n v="134"/>
  </r>
  <r>
    <x v="1"/>
    <x v="0"/>
    <d v="2018-02-06T00:00:00"/>
    <x v="2"/>
    <n v="35"/>
    <n v="170"/>
    <n v="123"/>
    <n v="1423"/>
    <n v="120"/>
  </r>
  <r>
    <x v="1"/>
    <x v="0"/>
    <d v="2018-02-06T00:00:00"/>
    <x v="1"/>
    <n v="64"/>
    <n v="150"/>
    <n v="118"/>
    <n v="1422"/>
    <n v="225"/>
  </r>
  <r>
    <x v="1"/>
    <x v="0"/>
    <d v="2018-02-06T00:00:00"/>
    <x v="2"/>
    <n v="51"/>
    <n v="170"/>
    <n v="123"/>
    <n v="1421"/>
    <n v="184"/>
  </r>
  <r>
    <x v="1"/>
    <x v="0"/>
    <d v="2018-02-06T00:00:00"/>
    <x v="2"/>
    <n v="50"/>
    <n v="170"/>
    <n v="123"/>
    <n v="1420"/>
    <n v="173"/>
  </r>
  <r>
    <x v="1"/>
    <x v="0"/>
    <d v="2018-02-06T00:00:00"/>
    <x v="2"/>
    <n v="33"/>
    <n v="170"/>
    <n v="123"/>
    <n v="1419"/>
    <n v="116"/>
  </r>
  <r>
    <x v="1"/>
    <x v="0"/>
    <d v="2018-02-06T00:00:00"/>
    <x v="1"/>
    <n v="59"/>
    <n v="150"/>
    <n v="118"/>
    <n v="1417"/>
    <n v="203"/>
  </r>
  <r>
    <x v="1"/>
    <x v="0"/>
    <d v="2018-02-06T00:00:00"/>
    <x v="0"/>
    <n v="47"/>
    <n v="125"/>
    <n v="114"/>
    <n v="1418"/>
    <n v="168"/>
  </r>
  <r>
    <x v="1"/>
    <x v="0"/>
    <d v="2018-02-07T00:00:00"/>
    <x v="0"/>
    <n v="47"/>
    <n v="125"/>
    <n v="114"/>
    <n v="1424"/>
    <n v="166"/>
  </r>
  <r>
    <x v="1"/>
    <x v="0"/>
    <d v="2018-02-08T00:00:00"/>
    <x v="0"/>
    <n v="52"/>
    <n v="125"/>
    <n v="114"/>
    <n v="1425"/>
    <n v="178"/>
  </r>
  <r>
    <x v="1"/>
    <x v="0"/>
    <d v="2018-02-08T00:00:00"/>
    <x v="2"/>
    <n v="42"/>
    <n v="170"/>
    <n v="123"/>
    <n v="1426"/>
    <n v="148"/>
  </r>
  <r>
    <x v="1"/>
    <x v="0"/>
    <d v="2018-02-09T00:00:00"/>
    <x v="0"/>
    <n v="54"/>
    <n v="125"/>
    <n v="114"/>
    <n v="1427"/>
    <n v="196"/>
  </r>
  <r>
    <x v="1"/>
    <x v="0"/>
    <d v="2018-02-09T00:00:00"/>
    <x v="1"/>
    <n v="51"/>
    <n v="150"/>
    <n v="118"/>
    <n v="1428"/>
    <n v="175"/>
  </r>
  <r>
    <x v="1"/>
    <x v="0"/>
    <d v="2018-02-09T00:00:00"/>
    <x v="0"/>
    <n v="46"/>
    <n v="125"/>
    <n v="114"/>
    <n v="1429"/>
    <n v="215"/>
  </r>
  <r>
    <x v="1"/>
    <x v="0"/>
    <d v="2018-02-09T00:00:00"/>
    <x v="2"/>
    <n v="31"/>
    <n v="170"/>
    <n v="123"/>
    <n v="1430"/>
    <n v="145"/>
  </r>
  <r>
    <x v="1"/>
    <x v="0"/>
    <d v="2018-02-09T00:00:00"/>
    <x v="0"/>
    <n v="56"/>
    <n v="125"/>
    <n v="114"/>
    <n v="1431"/>
    <n v="192"/>
  </r>
  <r>
    <x v="1"/>
    <x v="0"/>
    <d v="2018-02-12T00:00:00"/>
    <x v="0"/>
    <n v="59"/>
    <n v="125"/>
    <n v="114"/>
    <n v="1434"/>
    <n v="213"/>
  </r>
  <r>
    <x v="1"/>
    <x v="0"/>
    <d v="2018-02-12T00:00:00"/>
    <x v="1"/>
    <n v="65"/>
    <n v="150"/>
    <n v="118"/>
    <n v="1437"/>
    <n v="226"/>
  </r>
  <r>
    <x v="1"/>
    <x v="0"/>
    <d v="2018-02-12T00:00:00"/>
    <x v="1"/>
    <n v="60"/>
    <n v="150"/>
    <n v="118"/>
    <n v="1435"/>
    <n v="209"/>
  </r>
  <r>
    <x v="1"/>
    <x v="0"/>
    <d v="2018-02-12T00:00:00"/>
    <x v="0"/>
    <n v="50"/>
    <n v="125"/>
    <n v="114"/>
    <n v="1433"/>
    <n v="186"/>
  </r>
  <r>
    <x v="1"/>
    <x v="0"/>
    <d v="2018-02-12T00:00:00"/>
    <x v="1"/>
    <n v="60"/>
    <n v="150"/>
    <n v="118"/>
    <n v="1432"/>
    <n v="278"/>
  </r>
  <r>
    <x v="1"/>
    <x v="0"/>
    <d v="2018-02-12T00:00:00"/>
    <x v="2"/>
    <n v="36"/>
    <n v="170"/>
    <n v="123"/>
    <n v="1436"/>
    <n v="128"/>
  </r>
  <r>
    <x v="1"/>
    <x v="0"/>
    <d v="2018-02-13T00:00:00"/>
    <x v="0"/>
    <n v="38"/>
    <n v="125"/>
    <n v="114"/>
    <n v="1438"/>
    <n v="140"/>
  </r>
  <r>
    <x v="1"/>
    <x v="0"/>
    <d v="2018-02-13T00:00:00"/>
    <x v="0"/>
    <n v="36"/>
    <n v="125"/>
    <n v="114"/>
    <n v="1439"/>
    <n v="131"/>
  </r>
  <r>
    <x v="1"/>
    <x v="0"/>
    <d v="2018-02-13T00:00:00"/>
    <x v="2"/>
    <n v="54"/>
    <n v="170"/>
    <n v="123"/>
    <n v="1440"/>
    <n v="187"/>
  </r>
  <r>
    <x v="1"/>
    <x v="0"/>
    <d v="2018-02-13T00:00:00"/>
    <x v="2"/>
    <n v="56"/>
    <n v="170"/>
    <n v="123"/>
    <n v="1441"/>
    <n v="201"/>
  </r>
  <r>
    <x v="1"/>
    <x v="0"/>
    <d v="2018-02-13T00:00:00"/>
    <x v="1"/>
    <n v="52"/>
    <n v="150"/>
    <n v="118"/>
    <n v="1442"/>
    <n v="186"/>
  </r>
  <r>
    <x v="1"/>
    <x v="0"/>
    <d v="2018-02-14T00:00:00"/>
    <x v="1"/>
    <n v="60"/>
    <n v="150"/>
    <n v="118"/>
    <n v="1443"/>
    <n v="277"/>
  </r>
  <r>
    <x v="1"/>
    <x v="0"/>
    <d v="2018-02-14T00:00:00"/>
    <x v="0"/>
    <n v="56"/>
    <n v="125"/>
    <n v="114"/>
    <n v="1444"/>
    <n v="196"/>
  </r>
  <r>
    <x v="1"/>
    <x v="0"/>
    <d v="2018-02-15T00:00:00"/>
    <x v="1"/>
    <n v="50"/>
    <n v="150"/>
    <n v="118"/>
    <n v="1446"/>
    <n v="185"/>
  </r>
  <r>
    <x v="1"/>
    <x v="0"/>
    <d v="2018-02-15T00:00:00"/>
    <x v="1"/>
    <n v="44"/>
    <n v="150"/>
    <n v="118"/>
    <n v="1447"/>
    <n v="160"/>
  </r>
  <r>
    <x v="1"/>
    <x v="0"/>
    <d v="2018-02-15T00:00:00"/>
    <x v="1"/>
    <n v="44"/>
    <n v="150"/>
    <n v="118"/>
    <n v="1448"/>
    <n v="155"/>
  </r>
  <r>
    <x v="1"/>
    <x v="0"/>
    <d v="2018-02-15T00:00:00"/>
    <x v="2"/>
    <n v="49"/>
    <n v="170"/>
    <n v="123"/>
    <n v="1445"/>
    <n v="174"/>
  </r>
  <r>
    <x v="1"/>
    <x v="0"/>
    <d v="2018-02-16T00:00:00"/>
    <x v="2"/>
    <n v="51"/>
    <n v="170"/>
    <n v="123"/>
    <n v="1452"/>
    <n v="176"/>
  </r>
  <r>
    <x v="1"/>
    <x v="0"/>
    <d v="2018-02-16T00:00:00"/>
    <x v="2"/>
    <n v="30"/>
    <n v="170"/>
    <n v="123"/>
    <n v="1455"/>
    <n v="103"/>
  </r>
  <r>
    <x v="1"/>
    <x v="0"/>
    <d v="2018-02-16T00:00:00"/>
    <x v="2"/>
    <n v="54"/>
    <n v="170"/>
    <n v="123"/>
    <n v="1453"/>
    <n v="194"/>
  </r>
  <r>
    <x v="1"/>
    <x v="0"/>
    <d v="2018-02-16T00:00:00"/>
    <x v="2"/>
    <n v="38"/>
    <n v="170"/>
    <n v="123"/>
    <n v="1451"/>
    <n v="133"/>
  </r>
  <r>
    <x v="1"/>
    <x v="0"/>
    <d v="2018-02-16T00:00:00"/>
    <x v="0"/>
    <n v="60"/>
    <n v="125"/>
    <n v="114"/>
    <n v="1450"/>
    <n v="280"/>
  </r>
  <r>
    <x v="1"/>
    <x v="0"/>
    <d v="2018-02-16T00:00:00"/>
    <x v="1"/>
    <n v="55"/>
    <n v="150"/>
    <n v="118"/>
    <n v="1449"/>
    <n v="195"/>
  </r>
  <r>
    <x v="1"/>
    <x v="0"/>
    <d v="2018-02-16T00:00:00"/>
    <x v="1"/>
    <n v="58"/>
    <n v="150"/>
    <n v="118"/>
    <n v="1454"/>
    <n v="268"/>
  </r>
  <r>
    <x v="1"/>
    <x v="0"/>
    <d v="2018-02-19T00:00:00"/>
    <x v="2"/>
    <n v="38"/>
    <n v="170"/>
    <n v="123"/>
    <n v="1456"/>
    <n v="133"/>
  </r>
  <r>
    <x v="1"/>
    <x v="0"/>
    <d v="2018-02-19T00:00:00"/>
    <x v="1"/>
    <n v="56"/>
    <n v="150"/>
    <n v="118"/>
    <n v="1457"/>
    <n v="192"/>
  </r>
  <r>
    <x v="1"/>
    <x v="0"/>
    <d v="2018-02-20T00:00:00"/>
    <x v="0"/>
    <n v="40"/>
    <n v="125"/>
    <n v="114"/>
    <n v="1459"/>
    <n v="139"/>
  </r>
  <r>
    <x v="1"/>
    <x v="0"/>
    <d v="2018-02-20T00:00:00"/>
    <x v="1"/>
    <n v="51"/>
    <n v="150"/>
    <n v="118"/>
    <n v="1465"/>
    <n v="190"/>
  </r>
  <r>
    <x v="1"/>
    <x v="0"/>
    <d v="2018-02-20T00:00:00"/>
    <x v="2"/>
    <n v="45"/>
    <n v="170"/>
    <n v="123"/>
    <n v="1464"/>
    <n v="162"/>
  </r>
  <r>
    <x v="1"/>
    <x v="0"/>
    <d v="2018-02-20T00:00:00"/>
    <x v="0"/>
    <n v="36"/>
    <n v="125"/>
    <n v="114"/>
    <n v="1463"/>
    <n v="131"/>
  </r>
  <r>
    <x v="1"/>
    <x v="0"/>
    <d v="2018-02-20T00:00:00"/>
    <x v="2"/>
    <n v="54"/>
    <n v="170"/>
    <n v="123"/>
    <n v="1460"/>
    <n v="191"/>
  </r>
  <r>
    <x v="1"/>
    <x v="0"/>
    <d v="2018-02-20T00:00:00"/>
    <x v="0"/>
    <n v="47"/>
    <n v="125"/>
    <n v="114"/>
    <n v="1462"/>
    <n v="166"/>
  </r>
  <r>
    <x v="1"/>
    <x v="0"/>
    <d v="2018-02-20T00:00:00"/>
    <x v="2"/>
    <n v="39"/>
    <n v="170"/>
    <n v="123"/>
    <n v="1458"/>
    <n v="139"/>
  </r>
  <r>
    <x v="1"/>
    <x v="0"/>
    <d v="2018-02-20T00:00:00"/>
    <x v="0"/>
    <n v="43"/>
    <n v="125"/>
    <n v="114"/>
    <n v="1461"/>
    <n v="156"/>
  </r>
  <r>
    <x v="1"/>
    <x v="0"/>
    <d v="2018-02-21T00:00:00"/>
    <x v="2"/>
    <n v="54"/>
    <n v="170"/>
    <n v="123"/>
    <n v="1466"/>
    <n v="194"/>
  </r>
  <r>
    <x v="1"/>
    <x v="0"/>
    <d v="2018-02-21T00:00:00"/>
    <x v="2"/>
    <n v="56"/>
    <n v="170"/>
    <n v="123"/>
    <n v="1467"/>
    <n v="199"/>
  </r>
  <r>
    <x v="1"/>
    <x v="0"/>
    <d v="2018-02-21T00:00:00"/>
    <x v="1"/>
    <n v="42"/>
    <n v="150"/>
    <n v="118"/>
    <n v="1468"/>
    <n v="146"/>
  </r>
  <r>
    <x v="1"/>
    <x v="0"/>
    <d v="2018-02-21T00:00:00"/>
    <x v="2"/>
    <n v="53"/>
    <n v="170"/>
    <n v="123"/>
    <n v="1469"/>
    <n v="183"/>
  </r>
  <r>
    <x v="1"/>
    <x v="0"/>
    <d v="2018-02-21T00:00:00"/>
    <x v="2"/>
    <n v="41"/>
    <n v="170"/>
    <n v="123"/>
    <n v="1470"/>
    <n v="148"/>
  </r>
  <r>
    <x v="1"/>
    <x v="0"/>
    <d v="2018-02-22T00:00:00"/>
    <x v="1"/>
    <n v="62"/>
    <n v="150"/>
    <n v="118"/>
    <n v="1471"/>
    <n v="226"/>
  </r>
  <r>
    <x v="1"/>
    <x v="0"/>
    <d v="2018-02-22T00:00:00"/>
    <x v="2"/>
    <n v="50"/>
    <n v="170"/>
    <n v="123"/>
    <n v="1472"/>
    <n v="233"/>
  </r>
  <r>
    <x v="1"/>
    <x v="0"/>
    <d v="2018-02-22T00:00:00"/>
    <x v="0"/>
    <n v="58"/>
    <n v="125"/>
    <n v="114"/>
    <n v="1473"/>
    <n v="200"/>
  </r>
  <r>
    <x v="1"/>
    <x v="0"/>
    <d v="2018-02-23T00:00:00"/>
    <x v="0"/>
    <n v="57"/>
    <n v="125"/>
    <n v="114"/>
    <n v="1474"/>
    <n v="197"/>
  </r>
  <r>
    <x v="1"/>
    <x v="0"/>
    <d v="2018-02-23T00:00:00"/>
    <x v="1"/>
    <n v="62"/>
    <n v="150"/>
    <n v="118"/>
    <n v="1475"/>
    <n v="214"/>
  </r>
  <r>
    <x v="1"/>
    <x v="0"/>
    <d v="2018-02-23T00:00:00"/>
    <x v="1"/>
    <n v="47"/>
    <n v="150"/>
    <n v="118"/>
    <n v="1476"/>
    <n v="221"/>
  </r>
  <r>
    <x v="1"/>
    <x v="0"/>
    <d v="2018-02-23T00:00:00"/>
    <x v="2"/>
    <n v="35"/>
    <n v="170"/>
    <n v="123"/>
    <n v="1477"/>
    <n v="125"/>
  </r>
  <r>
    <x v="1"/>
    <x v="0"/>
    <d v="2018-02-26T00:00:00"/>
    <x v="1"/>
    <n v="65"/>
    <n v="150"/>
    <n v="118"/>
    <n v="1478"/>
    <n v="232"/>
  </r>
  <r>
    <x v="1"/>
    <x v="0"/>
    <d v="2018-02-26T00:00:00"/>
    <x v="2"/>
    <n v="34"/>
    <n v="170"/>
    <n v="123"/>
    <n v="1479"/>
    <n v="124"/>
  </r>
  <r>
    <x v="1"/>
    <x v="0"/>
    <d v="2018-02-26T00:00:00"/>
    <x v="0"/>
    <n v="58"/>
    <n v="125"/>
    <n v="114"/>
    <n v="1480"/>
    <n v="201"/>
  </r>
  <r>
    <x v="1"/>
    <x v="0"/>
    <d v="2018-02-27T00:00:00"/>
    <x v="2"/>
    <n v="32"/>
    <n v="170"/>
    <n v="123"/>
    <n v="1484"/>
    <n v="116"/>
  </r>
  <r>
    <x v="1"/>
    <x v="0"/>
    <d v="2018-02-27T00:00:00"/>
    <x v="1"/>
    <n v="42"/>
    <n v="150"/>
    <n v="118"/>
    <n v="1481"/>
    <n v="153"/>
  </r>
  <r>
    <x v="1"/>
    <x v="0"/>
    <d v="2018-02-27T00:00:00"/>
    <x v="1"/>
    <n v="40"/>
    <n v="150"/>
    <n v="118"/>
    <n v="1482"/>
    <n v="138"/>
  </r>
  <r>
    <x v="1"/>
    <x v="0"/>
    <d v="2018-02-27T00:00:00"/>
    <x v="1"/>
    <n v="64"/>
    <n v="150"/>
    <n v="118"/>
    <n v="1483"/>
    <n v="246"/>
  </r>
  <r>
    <x v="1"/>
    <x v="0"/>
    <d v="2018-02-28T00:00:00"/>
    <x v="1"/>
    <n v="49"/>
    <n v="150"/>
    <n v="118"/>
    <n v="1491"/>
    <n v="178"/>
  </r>
  <r>
    <x v="1"/>
    <x v="0"/>
    <d v="2018-02-28T00:00:00"/>
    <x v="0"/>
    <n v="35"/>
    <n v="125"/>
    <n v="114"/>
    <n v="1485"/>
    <n v="122"/>
  </r>
  <r>
    <x v="1"/>
    <x v="0"/>
    <d v="2018-02-28T00:00:00"/>
    <x v="0"/>
    <n v="55"/>
    <n v="125"/>
    <n v="114"/>
    <n v="1486"/>
    <n v="189"/>
  </r>
  <r>
    <x v="1"/>
    <x v="0"/>
    <d v="2018-02-28T00:00:00"/>
    <x v="2"/>
    <n v="44"/>
    <n v="170"/>
    <n v="123"/>
    <n v="1487"/>
    <n v="152"/>
  </r>
  <r>
    <x v="1"/>
    <x v="0"/>
    <d v="2018-02-28T00:00:00"/>
    <x v="2"/>
    <n v="51"/>
    <n v="170"/>
    <n v="123"/>
    <n v="1488"/>
    <n v="177"/>
  </r>
  <r>
    <x v="1"/>
    <x v="0"/>
    <d v="2018-02-28T00:00:00"/>
    <x v="2"/>
    <n v="36"/>
    <n v="170"/>
    <n v="123"/>
    <n v="1489"/>
    <n v="130"/>
  </r>
  <r>
    <x v="1"/>
    <x v="0"/>
    <d v="2018-02-28T00:00:00"/>
    <x v="1"/>
    <n v="49"/>
    <n v="150"/>
    <n v="118"/>
    <n v="1490"/>
    <n v="172"/>
  </r>
  <r>
    <x v="1"/>
    <x v="0"/>
    <d v="2018-03-01T00:00:00"/>
    <x v="0"/>
    <n v="54"/>
    <n v="125"/>
    <n v="114"/>
    <n v="1497"/>
    <n v="196"/>
  </r>
  <r>
    <x v="1"/>
    <x v="0"/>
    <d v="2018-03-01T00:00:00"/>
    <x v="2"/>
    <n v="37"/>
    <n v="170"/>
    <n v="123"/>
    <n v="1496"/>
    <n v="130"/>
  </r>
  <r>
    <x v="1"/>
    <x v="0"/>
    <d v="2018-03-01T00:00:00"/>
    <x v="0"/>
    <n v="57"/>
    <n v="125"/>
    <n v="114"/>
    <n v="1495"/>
    <n v="206"/>
  </r>
  <r>
    <x v="1"/>
    <x v="0"/>
    <d v="2018-03-01T00:00:00"/>
    <x v="1"/>
    <n v="47"/>
    <n v="150"/>
    <n v="118"/>
    <n v="1494"/>
    <n v="176"/>
  </r>
  <r>
    <x v="1"/>
    <x v="0"/>
    <d v="2018-03-01T00:00:00"/>
    <x v="1"/>
    <n v="40"/>
    <n v="150"/>
    <n v="118"/>
    <n v="1492"/>
    <n v="143"/>
  </r>
  <r>
    <x v="1"/>
    <x v="0"/>
    <d v="2018-03-01T00:00:00"/>
    <x v="1"/>
    <n v="62"/>
    <n v="150"/>
    <n v="118"/>
    <n v="1493"/>
    <n v="215"/>
  </r>
  <r>
    <x v="1"/>
    <x v="0"/>
    <d v="2018-03-02T00:00:00"/>
    <x v="0"/>
    <n v="45"/>
    <n v="125"/>
    <n v="114"/>
    <n v="1502"/>
    <n v="210"/>
  </r>
  <r>
    <x v="1"/>
    <x v="0"/>
    <d v="2018-03-02T00:00:00"/>
    <x v="0"/>
    <n v="43"/>
    <n v="125"/>
    <n v="114"/>
    <n v="1504"/>
    <n v="153"/>
  </r>
  <r>
    <x v="1"/>
    <x v="0"/>
    <d v="2018-03-02T00:00:00"/>
    <x v="2"/>
    <n v="54"/>
    <n v="170"/>
    <n v="123"/>
    <n v="1503"/>
    <n v="196"/>
  </r>
  <r>
    <x v="1"/>
    <x v="0"/>
    <d v="2018-03-02T00:00:00"/>
    <x v="0"/>
    <n v="48"/>
    <n v="125"/>
    <n v="114"/>
    <n v="1498"/>
    <n v="226"/>
  </r>
  <r>
    <x v="1"/>
    <x v="0"/>
    <d v="2018-03-02T00:00:00"/>
    <x v="0"/>
    <n v="44"/>
    <n v="125"/>
    <n v="114"/>
    <n v="1499"/>
    <n v="164"/>
  </r>
  <r>
    <x v="1"/>
    <x v="0"/>
    <d v="2018-03-02T00:00:00"/>
    <x v="0"/>
    <n v="37"/>
    <n v="125"/>
    <n v="114"/>
    <n v="1500"/>
    <n v="132"/>
  </r>
  <r>
    <x v="1"/>
    <x v="0"/>
    <d v="2018-03-02T00:00:00"/>
    <x v="2"/>
    <n v="30"/>
    <n v="170"/>
    <n v="123"/>
    <n v="1501"/>
    <n v="108"/>
  </r>
  <r>
    <x v="1"/>
    <x v="0"/>
    <d v="2018-03-05T00:00:00"/>
    <x v="1"/>
    <n v="65"/>
    <n v="150"/>
    <n v="118"/>
    <n v="1505"/>
    <n v="238"/>
  </r>
  <r>
    <x v="1"/>
    <x v="0"/>
    <d v="2018-03-05T00:00:00"/>
    <x v="0"/>
    <n v="60"/>
    <n v="125"/>
    <n v="114"/>
    <n v="1506"/>
    <n v="210"/>
  </r>
  <r>
    <x v="1"/>
    <x v="0"/>
    <d v="2018-03-05T00:00:00"/>
    <x v="2"/>
    <n v="45"/>
    <n v="170"/>
    <n v="123"/>
    <n v="1507"/>
    <n v="155"/>
  </r>
  <r>
    <x v="1"/>
    <x v="0"/>
    <d v="2018-03-05T00:00:00"/>
    <x v="0"/>
    <n v="50"/>
    <n v="125"/>
    <n v="114"/>
    <n v="1508"/>
    <n v="179"/>
  </r>
  <r>
    <x v="1"/>
    <x v="0"/>
    <d v="2018-03-06T00:00:00"/>
    <x v="1"/>
    <n v="57"/>
    <n v="150"/>
    <n v="118"/>
    <n v="1509"/>
    <n v="208"/>
  </r>
  <r>
    <x v="1"/>
    <x v="0"/>
    <d v="2018-03-06T00:00:00"/>
    <x v="0"/>
    <n v="57"/>
    <n v="125"/>
    <n v="114"/>
    <n v="1510"/>
    <n v="208"/>
  </r>
  <r>
    <x v="1"/>
    <x v="0"/>
    <d v="2018-03-06T00:00:00"/>
    <x v="2"/>
    <n v="53"/>
    <n v="170"/>
    <n v="123"/>
    <n v="1511"/>
    <n v="187"/>
  </r>
  <r>
    <x v="1"/>
    <x v="0"/>
    <d v="2018-03-06T00:00:00"/>
    <x v="1"/>
    <n v="62"/>
    <n v="150"/>
    <n v="118"/>
    <n v="1512"/>
    <n v="224"/>
  </r>
  <r>
    <x v="1"/>
    <x v="0"/>
    <d v="2018-03-07T00:00:00"/>
    <x v="2"/>
    <n v="53"/>
    <n v="170"/>
    <n v="123"/>
    <n v="1518"/>
    <n v="192"/>
  </r>
  <r>
    <x v="1"/>
    <x v="0"/>
    <d v="2018-03-07T00:00:00"/>
    <x v="2"/>
    <n v="33"/>
    <n v="170"/>
    <n v="123"/>
    <n v="1519"/>
    <n v="117"/>
  </r>
  <r>
    <x v="1"/>
    <x v="0"/>
    <d v="2018-03-07T00:00:00"/>
    <x v="1"/>
    <n v="54"/>
    <n v="150"/>
    <n v="118"/>
    <n v="1517"/>
    <n v="194"/>
  </r>
  <r>
    <x v="1"/>
    <x v="0"/>
    <d v="2018-03-07T00:00:00"/>
    <x v="0"/>
    <n v="49"/>
    <n v="125"/>
    <n v="114"/>
    <n v="1515"/>
    <n v="170"/>
  </r>
  <r>
    <x v="1"/>
    <x v="0"/>
    <d v="2018-03-07T00:00:00"/>
    <x v="2"/>
    <n v="43"/>
    <n v="170"/>
    <n v="123"/>
    <n v="1514"/>
    <n v="151"/>
  </r>
  <r>
    <x v="1"/>
    <x v="0"/>
    <d v="2018-03-07T00:00:00"/>
    <x v="1"/>
    <n v="53"/>
    <n v="150"/>
    <n v="118"/>
    <n v="1513"/>
    <n v="188"/>
  </r>
  <r>
    <x v="1"/>
    <x v="0"/>
    <d v="2018-03-07T00:00:00"/>
    <x v="1"/>
    <n v="43"/>
    <n v="150"/>
    <n v="118"/>
    <n v="1520"/>
    <n v="151"/>
  </r>
  <r>
    <x v="1"/>
    <x v="0"/>
    <d v="2018-03-07T00:00:00"/>
    <x v="0"/>
    <n v="45"/>
    <n v="125"/>
    <n v="114"/>
    <n v="1516"/>
    <n v="158"/>
  </r>
  <r>
    <x v="1"/>
    <x v="0"/>
    <d v="2018-03-08T00:00:00"/>
    <x v="0"/>
    <n v="53"/>
    <n v="125"/>
    <n v="114"/>
    <n v="1525"/>
    <n v="189"/>
  </r>
  <r>
    <x v="1"/>
    <x v="0"/>
    <d v="2018-03-08T00:00:00"/>
    <x v="0"/>
    <n v="48"/>
    <n v="125"/>
    <n v="114"/>
    <n v="1521"/>
    <n v="171"/>
  </r>
  <r>
    <x v="1"/>
    <x v="0"/>
    <d v="2018-03-08T00:00:00"/>
    <x v="0"/>
    <n v="48"/>
    <n v="125"/>
    <n v="114"/>
    <n v="1522"/>
    <n v="176"/>
  </r>
  <r>
    <x v="1"/>
    <x v="0"/>
    <d v="2018-03-08T00:00:00"/>
    <x v="2"/>
    <n v="49"/>
    <n v="170"/>
    <n v="123"/>
    <n v="1523"/>
    <n v="178"/>
  </r>
  <r>
    <x v="1"/>
    <x v="0"/>
    <d v="2018-03-08T00:00:00"/>
    <x v="0"/>
    <n v="47"/>
    <n v="125"/>
    <n v="114"/>
    <n v="1524"/>
    <n v="163"/>
  </r>
  <r>
    <x v="1"/>
    <x v="0"/>
    <d v="2018-03-09T00:00:00"/>
    <x v="0"/>
    <n v="40"/>
    <n v="125"/>
    <n v="114"/>
    <n v="1526"/>
    <n v="138"/>
  </r>
  <r>
    <x v="1"/>
    <x v="0"/>
    <d v="2018-03-12T00:00:00"/>
    <x v="1"/>
    <n v="63"/>
    <n v="150"/>
    <n v="118"/>
    <n v="1533"/>
    <n v="220"/>
  </r>
  <r>
    <x v="1"/>
    <x v="0"/>
    <d v="2018-03-12T00:00:00"/>
    <x v="1"/>
    <n v="63"/>
    <n v="150"/>
    <n v="118"/>
    <n v="1528"/>
    <n v="226"/>
  </r>
  <r>
    <x v="1"/>
    <x v="0"/>
    <d v="2018-03-12T00:00:00"/>
    <x v="2"/>
    <n v="30"/>
    <n v="170"/>
    <n v="123"/>
    <n v="1529"/>
    <n v="104"/>
  </r>
  <r>
    <x v="1"/>
    <x v="0"/>
    <d v="2018-03-12T00:00:00"/>
    <x v="1"/>
    <n v="44"/>
    <n v="150"/>
    <n v="118"/>
    <n v="1530"/>
    <n v="150"/>
  </r>
  <r>
    <x v="1"/>
    <x v="0"/>
    <d v="2018-03-12T00:00:00"/>
    <x v="2"/>
    <n v="49"/>
    <n v="170"/>
    <n v="123"/>
    <n v="1531"/>
    <n v="227"/>
  </r>
  <r>
    <x v="1"/>
    <x v="0"/>
    <d v="2018-03-12T00:00:00"/>
    <x v="2"/>
    <n v="44"/>
    <n v="170"/>
    <n v="123"/>
    <n v="1532"/>
    <n v="205"/>
  </r>
  <r>
    <x v="1"/>
    <x v="0"/>
    <d v="2018-03-12T00:00:00"/>
    <x v="0"/>
    <n v="52"/>
    <n v="125"/>
    <n v="114"/>
    <n v="1527"/>
    <n v="239"/>
  </r>
  <r>
    <x v="1"/>
    <x v="0"/>
    <d v="2018-03-13T00:00:00"/>
    <x v="1"/>
    <n v="42"/>
    <n v="150"/>
    <n v="118"/>
    <n v="1537"/>
    <n v="161"/>
  </r>
  <r>
    <x v="1"/>
    <x v="0"/>
    <d v="2018-03-13T00:00:00"/>
    <x v="2"/>
    <n v="35"/>
    <n v="170"/>
    <n v="123"/>
    <n v="1536"/>
    <n v="121"/>
  </r>
  <r>
    <x v="1"/>
    <x v="0"/>
    <d v="2018-03-13T00:00:00"/>
    <x v="2"/>
    <n v="53"/>
    <n v="170"/>
    <n v="123"/>
    <n v="1534"/>
    <n v="195"/>
  </r>
  <r>
    <x v="1"/>
    <x v="0"/>
    <d v="2018-03-13T00:00:00"/>
    <x v="1"/>
    <n v="64"/>
    <n v="150"/>
    <n v="118"/>
    <n v="1535"/>
    <n v="225"/>
  </r>
  <r>
    <x v="1"/>
    <x v="0"/>
    <d v="2018-03-14T00:00:00"/>
    <x v="0"/>
    <n v="56"/>
    <n v="125"/>
    <n v="114"/>
    <n v="1538"/>
    <n v="262"/>
  </r>
  <r>
    <x v="1"/>
    <x v="0"/>
    <d v="2018-03-14T00:00:00"/>
    <x v="1"/>
    <n v="49"/>
    <n v="150"/>
    <n v="118"/>
    <n v="1539"/>
    <n v="170"/>
  </r>
  <r>
    <x v="1"/>
    <x v="0"/>
    <d v="2018-03-14T00:00:00"/>
    <x v="2"/>
    <n v="49"/>
    <n v="170"/>
    <n v="123"/>
    <n v="1540"/>
    <n v="230"/>
  </r>
  <r>
    <x v="1"/>
    <x v="0"/>
    <d v="2018-03-14T00:00:00"/>
    <x v="2"/>
    <n v="51"/>
    <n v="170"/>
    <n v="123"/>
    <n v="1541"/>
    <n v="182"/>
  </r>
  <r>
    <x v="1"/>
    <x v="0"/>
    <d v="2018-03-14T00:00:00"/>
    <x v="0"/>
    <n v="61"/>
    <n v="125"/>
    <n v="114"/>
    <n v="1542"/>
    <n v="283"/>
  </r>
  <r>
    <x v="1"/>
    <x v="0"/>
    <d v="2018-03-14T00:00:00"/>
    <x v="2"/>
    <n v="45"/>
    <n v="170"/>
    <n v="123"/>
    <n v="1543"/>
    <n v="155"/>
  </r>
  <r>
    <x v="1"/>
    <x v="0"/>
    <d v="2018-03-14T00:00:00"/>
    <x v="1"/>
    <n v="62"/>
    <n v="150"/>
    <n v="118"/>
    <n v="1544"/>
    <n v="221"/>
  </r>
  <r>
    <x v="1"/>
    <x v="0"/>
    <d v="2018-03-15T00:00:00"/>
    <x v="2"/>
    <n v="53"/>
    <n v="170"/>
    <n v="123"/>
    <n v="1545"/>
    <n v="186"/>
  </r>
  <r>
    <x v="1"/>
    <x v="0"/>
    <d v="2018-03-15T00:00:00"/>
    <x v="0"/>
    <n v="48"/>
    <n v="125"/>
    <n v="114"/>
    <n v="1549"/>
    <n v="165"/>
  </r>
  <r>
    <x v="1"/>
    <x v="0"/>
    <d v="2018-03-15T00:00:00"/>
    <x v="0"/>
    <n v="55"/>
    <n v="125"/>
    <n v="114"/>
    <n v="1548"/>
    <n v="190"/>
  </r>
  <r>
    <x v="1"/>
    <x v="0"/>
    <d v="2018-03-15T00:00:00"/>
    <x v="2"/>
    <n v="44"/>
    <n v="170"/>
    <n v="123"/>
    <n v="1546"/>
    <n v="161"/>
  </r>
  <r>
    <x v="1"/>
    <x v="0"/>
    <d v="2018-03-15T00:00:00"/>
    <x v="2"/>
    <n v="49"/>
    <n v="170"/>
    <n v="123"/>
    <n v="1547"/>
    <n v="171"/>
  </r>
  <r>
    <x v="1"/>
    <x v="0"/>
    <d v="2018-03-16T00:00:00"/>
    <x v="0"/>
    <n v="60"/>
    <n v="125"/>
    <n v="114"/>
    <n v="1550"/>
    <n v="221"/>
  </r>
  <r>
    <x v="1"/>
    <x v="0"/>
    <d v="2018-03-19T00:00:00"/>
    <x v="0"/>
    <n v="52"/>
    <n v="125"/>
    <n v="114"/>
    <n v="1553"/>
    <n v="180"/>
  </r>
  <r>
    <x v="1"/>
    <x v="0"/>
    <d v="2018-03-19T00:00:00"/>
    <x v="1"/>
    <n v="56"/>
    <n v="150"/>
    <n v="118"/>
    <n v="1551"/>
    <n v="203"/>
  </r>
  <r>
    <x v="1"/>
    <x v="0"/>
    <d v="2018-03-19T00:00:00"/>
    <x v="0"/>
    <n v="49"/>
    <n v="125"/>
    <n v="114"/>
    <n v="1552"/>
    <n v="172"/>
  </r>
  <r>
    <x v="1"/>
    <x v="0"/>
    <d v="2018-03-20T00:00:00"/>
    <x v="0"/>
    <n v="55"/>
    <n v="125"/>
    <n v="114"/>
    <n v="1558"/>
    <n v="193"/>
  </r>
  <r>
    <x v="1"/>
    <x v="0"/>
    <d v="2018-03-20T00:00:00"/>
    <x v="1"/>
    <n v="66"/>
    <n v="150"/>
    <n v="118"/>
    <n v="1557"/>
    <n v="230"/>
  </r>
  <r>
    <x v="1"/>
    <x v="0"/>
    <d v="2018-03-20T00:00:00"/>
    <x v="0"/>
    <n v="52"/>
    <n v="125"/>
    <n v="114"/>
    <n v="1554"/>
    <n v="240"/>
  </r>
  <r>
    <x v="1"/>
    <x v="0"/>
    <d v="2018-03-20T00:00:00"/>
    <x v="1"/>
    <n v="40"/>
    <n v="150"/>
    <n v="118"/>
    <n v="1556"/>
    <n v="143"/>
  </r>
  <r>
    <x v="1"/>
    <x v="0"/>
    <d v="2018-03-20T00:00:00"/>
    <x v="1"/>
    <n v="44"/>
    <n v="150"/>
    <n v="118"/>
    <n v="1555"/>
    <n v="151"/>
  </r>
  <r>
    <x v="1"/>
    <x v="0"/>
    <d v="2018-03-21T00:00:00"/>
    <x v="1"/>
    <n v="65"/>
    <n v="150"/>
    <n v="118"/>
    <n v="1559"/>
    <n v="250"/>
  </r>
  <r>
    <x v="1"/>
    <x v="0"/>
    <d v="2018-03-21T00:00:00"/>
    <x v="2"/>
    <n v="51"/>
    <n v="170"/>
    <n v="123"/>
    <n v="1560"/>
    <n v="178"/>
  </r>
  <r>
    <x v="1"/>
    <x v="0"/>
    <d v="2018-03-21T00:00:00"/>
    <x v="1"/>
    <n v="40"/>
    <n v="150"/>
    <n v="118"/>
    <n v="1561"/>
    <n v="143"/>
  </r>
  <r>
    <x v="1"/>
    <x v="0"/>
    <d v="2018-03-21T00:00:00"/>
    <x v="0"/>
    <n v="61"/>
    <n v="125"/>
    <n v="114"/>
    <n v="1562"/>
    <n v="218"/>
  </r>
  <r>
    <x v="1"/>
    <x v="0"/>
    <d v="2018-03-22T00:00:00"/>
    <x v="1"/>
    <n v="49"/>
    <n v="150"/>
    <n v="118"/>
    <n v="1563"/>
    <n v="180"/>
  </r>
  <r>
    <x v="1"/>
    <x v="0"/>
    <d v="2018-03-22T00:00:00"/>
    <x v="1"/>
    <n v="58"/>
    <n v="150"/>
    <n v="118"/>
    <n v="1568"/>
    <n v="206"/>
  </r>
  <r>
    <x v="1"/>
    <x v="0"/>
    <d v="2018-03-22T00:00:00"/>
    <x v="1"/>
    <n v="44"/>
    <n v="150"/>
    <n v="118"/>
    <n v="1567"/>
    <n v="155"/>
  </r>
  <r>
    <x v="1"/>
    <x v="0"/>
    <d v="2018-03-22T00:00:00"/>
    <x v="0"/>
    <n v="42"/>
    <n v="125"/>
    <n v="114"/>
    <n v="1566"/>
    <n v="150"/>
  </r>
  <r>
    <x v="1"/>
    <x v="0"/>
    <d v="2018-03-22T00:00:00"/>
    <x v="0"/>
    <n v="36"/>
    <n v="125"/>
    <n v="114"/>
    <n v="1564"/>
    <n v="125"/>
  </r>
  <r>
    <x v="1"/>
    <x v="0"/>
    <d v="2018-03-22T00:00:00"/>
    <x v="0"/>
    <n v="55"/>
    <n v="125"/>
    <n v="114"/>
    <n v="1565"/>
    <n v="190"/>
  </r>
  <r>
    <x v="1"/>
    <x v="0"/>
    <d v="2018-03-23T00:00:00"/>
    <x v="2"/>
    <n v="45"/>
    <n v="170"/>
    <n v="123"/>
    <n v="1570"/>
    <n v="162"/>
  </r>
  <r>
    <x v="1"/>
    <x v="0"/>
    <d v="2018-03-23T00:00:00"/>
    <x v="2"/>
    <n v="33"/>
    <n v="170"/>
    <n v="123"/>
    <n v="1573"/>
    <n v="122"/>
  </r>
  <r>
    <x v="1"/>
    <x v="0"/>
    <d v="2018-03-23T00:00:00"/>
    <x v="0"/>
    <n v="51"/>
    <n v="125"/>
    <n v="114"/>
    <n v="1574"/>
    <n v="240"/>
  </r>
  <r>
    <x v="1"/>
    <x v="0"/>
    <d v="2018-03-23T00:00:00"/>
    <x v="0"/>
    <n v="40"/>
    <n v="125"/>
    <n v="114"/>
    <n v="1569"/>
    <n v="141"/>
  </r>
  <r>
    <x v="1"/>
    <x v="0"/>
    <d v="2018-03-23T00:00:00"/>
    <x v="0"/>
    <n v="57"/>
    <n v="125"/>
    <n v="114"/>
    <n v="1572"/>
    <n v="198"/>
  </r>
  <r>
    <x v="1"/>
    <x v="0"/>
    <d v="2018-03-23T00:00:00"/>
    <x v="1"/>
    <n v="54"/>
    <n v="150"/>
    <n v="118"/>
    <n v="1571"/>
    <n v="189"/>
  </r>
  <r>
    <x v="1"/>
    <x v="0"/>
    <d v="2018-03-26T00:00:00"/>
    <x v="0"/>
    <n v="37"/>
    <n v="125"/>
    <n v="114"/>
    <n v="1575"/>
    <n v="131"/>
  </r>
  <r>
    <x v="1"/>
    <x v="0"/>
    <d v="2018-03-27T00:00:00"/>
    <x v="2"/>
    <n v="43"/>
    <n v="170"/>
    <n v="123"/>
    <n v="1579"/>
    <n v="158"/>
  </r>
  <r>
    <x v="1"/>
    <x v="0"/>
    <d v="2018-03-27T00:00:00"/>
    <x v="2"/>
    <n v="36"/>
    <n v="170"/>
    <n v="123"/>
    <n v="1583"/>
    <n v="131"/>
  </r>
  <r>
    <x v="1"/>
    <x v="0"/>
    <d v="2018-03-27T00:00:00"/>
    <x v="0"/>
    <n v="50"/>
    <n v="125"/>
    <n v="114"/>
    <n v="1582"/>
    <n v="233"/>
  </r>
  <r>
    <x v="1"/>
    <x v="0"/>
    <d v="2018-03-27T00:00:00"/>
    <x v="2"/>
    <n v="31"/>
    <n v="170"/>
    <n v="123"/>
    <n v="1580"/>
    <n v="108"/>
  </r>
  <r>
    <x v="1"/>
    <x v="0"/>
    <d v="2018-03-27T00:00:00"/>
    <x v="2"/>
    <n v="51"/>
    <n v="170"/>
    <n v="123"/>
    <n v="1578"/>
    <n v="188"/>
  </r>
  <r>
    <x v="1"/>
    <x v="0"/>
    <d v="2018-03-27T00:00:00"/>
    <x v="2"/>
    <n v="38"/>
    <n v="170"/>
    <n v="123"/>
    <n v="1577"/>
    <n v="139"/>
  </r>
  <r>
    <x v="1"/>
    <x v="0"/>
    <d v="2018-03-27T00:00:00"/>
    <x v="2"/>
    <n v="56"/>
    <n v="170"/>
    <n v="123"/>
    <n v="1576"/>
    <n v="203"/>
  </r>
  <r>
    <x v="1"/>
    <x v="0"/>
    <d v="2018-03-27T00:00:00"/>
    <x v="2"/>
    <n v="42"/>
    <n v="170"/>
    <n v="123"/>
    <n v="1581"/>
    <n v="148"/>
  </r>
  <r>
    <x v="1"/>
    <x v="0"/>
    <d v="2018-03-28T00:00:00"/>
    <x v="0"/>
    <n v="35"/>
    <n v="125"/>
    <n v="114"/>
    <n v="1584"/>
    <n v="126"/>
  </r>
  <r>
    <x v="1"/>
    <x v="0"/>
    <d v="2018-03-29T00:00:00"/>
    <x v="2"/>
    <n v="34"/>
    <n v="170"/>
    <n v="123"/>
    <n v="1585"/>
    <n v="125"/>
  </r>
  <r>
    <x v="1"/>
    <x v="0"/>
    <d v="2018-03-29T00:00:00"/>
    <x v="1"/>
    <n v="42"/>
    <n v="150"/>
    <n v="118"/>
    <n v="1586"/>
    <n v="149"/>
  </r>
  <r>
    <x v="1"/>
    <x v="0"/>
    <d v="2018-03-30T00:00:00"/>
    <x v="0"/>
    <n v="47"/>
    <n v="125"/>
    <n v="114"/>
    <n v="1588"/>
    <n v="170"/>
  </r>
  <r>
    <x v="1"/>
    <x v="0"/>
    <d v="2018-03-30T00:00:00"/>
    <x v="1"/>
    <n v="61"/>
    <n v="150"/>
    <n v="118"/>
    <n v="1589"/>
    <n v="216"/>
  </r>
  <r>
    <x v="1"/>
    <x v="0"/>
    <d v="2018-03-30T00:00:00"/>
    <x v="2"/>
    <n v="45"/>
    <n v="170"/>
    <n v="123"/>
    <n v="1587"/>
    <n v="157"/>
  </r>
  <r>
    <x v="1"/>
    <x v="1"/>
    <d v="2018-04-02T00:00:00"/>
    <x v="1"/>
    <n v="38"/>
    <n v="150"/>
    <n v="118"/>
    <n v="1590"/>
    <n v="139"/>
  </r>
  <r>
    <x v="1"/>
    <x v="1"/>
    <d v="2018-04-02T00:00:00"/>
    <x v="2"/>
    <n v="39"/>
    <n v="170"/>
    <n v="123"/>
    <n v="1591"/>
    <n v="134"/>
  </r>
  <r>
    <x v="1"/>
    <x v="1"/>
    <d v="2018-04-03T00:00:00"/>
    <x v="2"/>
    <n v="40"/>
    <n v="170"/>
    <n v="123"/>
    <n v="1597"/>
    <n v="140"/>
  </r>
  <r>
    <x v="1"/>
    <x v="1"/>
    <d v="2018-04-03T00:00:00"/>
    <x v="1"/>
    <n v="55"/>
    <n v="150"/>
    <n v="118"/>
    <n v="1598"/>
    <n v="198"/>
  </r>
  <r>
    <x v="1"/>
    <x v="1"/>
    <d v="2018-04-03T00:00:00"/>
    <x v="0"/>
    <n v="40"/>
    <n v="125"/>
    <n v="114"/>
    <n v="1596"/>
    <n v="145"/>
  </r>
  <r>
    <x v="1"/>
    <x v="1"/>
    <d v="2018-04-03T00:00:00"/>
    <x v="1"/>
    <n v="51"/>
    <n v="150"/>
    <n v="118"/>
    <n v="1595"/>
    <n v="238"/>
  </r>
  <r>
    <x v="1"/>
    <x v="1"/>
    <d v="2018-04-03T00:00:00"/>
    <x v="1"/>
    <n v="53"/>
    <n v="150"/>
    <n v="118"/>
    <n v="1594"/>
    <n v="186"/>
  </r>
  <r>
    <x v="1"/>
    <x v="1"/>
    <d v="2018-04-03T00:00:00"/>
    <x v="1"/>
    <n v="40"/>
    <n v="150"/>
    <n v="118"/>
    <n v="1593"/>
    <n v="140"/>
  </r>
  <r>
    <x v="1"/>
    <x v="1"/>
    <d v="2018-04-03T00:00:00"/>
    <x v="2"/>
    <n v="52"/>
    <n v="170"/>
    <n v="123"/>
    <n v="1592"/>
    <n v="239"/>
  </r>
  <r>
    <x v="1"/>
    <x v="1"/>
    <d v="2018-04-03T00:00:00"/>
    <x v="2"/>
    <n v="54"/>
    <n v="170"/>
    <n v="123"/>
    <n v="1599"/>
    <n v="197"/>
  </r>
  <r>
    <x v="1"/>
    <x v="1"/>
    <d v="2018-04-04T00:00:00"/>
    <x v="0"/>
    <n v="40"/>
    <n v="125"/>
    <n v="114"/>
    <n v="1605"/>
    <n v="145"/>
  </r>
  <r>
    <x v="1"/>
    <x v="1"/>
    <d v="2018-04-04T00:00:00"/>
    <x v="0"/>
    <n v="50"/>
    <n v="125"/>
    <n v="114"/>
    <n v="1600"/>
    <n v="174"/>
  </r>
  <r>
    <x v="1"/>
    <x v="1"/>
    <d v="2018-04-04T00:00:00"/>
    <x v="2"/>
    <n v="28"/>
    <n v="170"/>
    <n v="123"/>
    <n v="1601"/>
    <n v="98"/>
  </r>
  <r>
    <x v="1"/>
    <x v="1"/>
    <d v="2018-04-04T00:00:00"/>
    <x v="0"/>
    <n v="42"/>
    <n v="125"/>
    <n v="114"/>
    <n v="1602"/>
    <n v="144"/>
  </r>
  <r>
    <x v="1"/>
    <x v="1"/>
    <d v="2018-04-04T00:00:00"/>
    <x v="0"/>
    <n v="56"/>
    <n v="125"/>
    <n v="114"/>
    <n v="1603"/>
    <n v="259"/>
  </r>
  <r>
    <x v="1"/>
    <x v="1"/>
    <d v="2018-04-04T00:00:00"/>
    <x v="2"/>
    <n v="36"/>
    <n v="170"/>
    <n v="123"/>
    <n v="1604"/>
    <n v="130"/>
  </r>
  <r>
    <x v="1"/>
    <x v="1"/>
    <d v="2018-04-05T00:00:00"/>
    <x v="1"/>
    <n v="62"/>
    <n v="150"/>
    <n v="118"/>
    <n v="1608"/>
    <n v="285"/>
  </r>
  <r>
    <x v="1"/>
    <x v="1"/>
    <d v="2018-04-05T00:00:00"/>
    <x v="1"/>
    <n v="56"/>
    <n v="150"/>
    <n v="118"/>
    <n v="1607"/>
    <n v="205"/>
  </r>
  <r>
    <x v="1"/>
    <x v="1"/>
    <d v="2018-04-05T00:00:00"/>
    <x v="1"/>
    <n v="61"/>
    <n v="150"/>
    <n v="118"/>
    <n v="1606"/>
    <n v="210"/>
  </r>
  <r>
    <x v="1"/>
    <x v="1"/>
    <d v="2018-04-06T00:00:00"/>
    <x v="0"/>
    <n v="48"/>
    <n v="125"/>
    <n v="114"/>
    <n v="1615"/>
    <n v="225"/>
  </r>
  <r>
    <x v="1"/>
    <x v="1"/>
    <d v="2018-04-06T00:00:00"/>
    <x v="1"/>
    <n v="56"/>
    <n v="150"/>
    <n v="118"/>
    <n v="1616"/>
    <n v="193"/>
  </r>
  <r>
    <x v="1"/>
    <x v="1"/>
    <d v="2018-04-06T00:00:00"/>
    <x v="0"/>
    <n v="34"/>
    <n v="125"/>
    <n v="114"/>
    <n v="1614"/>
    <n v="120"/>
  </r>
  <r>
    <x v="1"/>
    <x v="1"/>
    <d v="2018-04-06T00:00:00"/>
    <x v="2"/>
    <n v="33"/>
    <n v="170"/>
    <n v="123"/>
    <n v="1613"/>
    <n v="117"/>
  </r>
  <r>
    <x v="1"/>
    <x v="1"/>
    <d v="2018-04-06T00:00:00"/>
    <x v="1"/>
    <n v="38"/>
    <n v="150"/>
    <n v="118"/>
    <n v="1612"/>
    <n v="137"/>
  </r>
  <r>
    <x v="1"/>
    <x v="1"/>
    <d v="2018-04-06T00:00:00"/>
    <x v="0"/>
    <n v="51"/>
    <n v="125"/>
    <n v="114"/>
    <n v="1611"/>
    <n v="187"/>
  </r>
  <r>
    <x v="1"/>
    <x v="1"/>
    <d v="2018-04-06T00:00:00"/>
    <x v="1"/>
    <n v="63"/>
    <n v="150"/>
    <n v="118"/>
    <n v="1610"/>
    <n v="220"/>
  </r>
  <r>
    <x v="1"/>
    <x v="1"/>
    <d v="2018-04-06T00:00:00"/>
    <x v="2"/>
    <n v="51"/>
    <n v="170"/>
    <n v="123"/>
    <n v="1609"/>
    <n v="178"/>
  </r>
  <r>
    <x v="1"/>
    <x v="1"/>
    <d v="2018-04-09T00:00:00"/>
    <x v="0"/>
    <n v="49"/>
    <n v="125"/>
    <n v="114"/>
    <n v="1618"/>
    <n v="172"/>
  </r>
  <r>
    <x v="1"/>
    <x v="1"/>
    <d v="2018-04-09T00:00:00"/>
    <x v="2"/>
    <n v="35"/>
    <n v="170"/>
    <n v="123"/>
    <n v="1619"/>
    <n v="162"/>
  </r>
  <r>
    <x v="1"/>
    <x v="1"/>
    <d v="2018-04-09T00:00:00"/>
    <x v="0"/>
    <n v="51"/>
    <n v="125"/>
    <n v="114"/>
    <n v="1620"/>
    <n v="175"/>
  </r>
  <r>
    <x v="1"/>
    <x v="1"/>
    <d v="2018-04-09T00:00:00"/>
    <x v="0"/>
    <n v="54"/>
    <n v="125"/>
    <n v="114"/>
    <n v="1621"/>
    <n v="189"/>
  </r>
  <r>
    <x v="1"/>
    <x v="1"/>
    <d v="2018-04-09T00:00:00"/>
    <x v="1"/>
    <n v="45"/>
    <n v="150"/>
    <n v="118"/>
    <n v="1622"/>
    <n v="166"/>
  </r>
  <r>
    <x v="1"/>
    <x v="1"/>
    <d v="2018-04-09T00:00:00"/>
    <x v="1"/>
    <n v="54"/>
    <n v="150"/>
    <n v="118"/>
    <n v="1617"/>
    <n v="187"/>
  </r>
  <r>
    <x v="1"/>
    <x v="1"/>
    <d v="2018-04-10T00:00:00"/>
    <x v="2"/>
    <n v="45"/>
    <n v="170"/>
    <n v="123"/>
    <n v="1623"/>
    <n v="166"/>
  </r>
  <r>
    <x v="1"/>
    <x v="1"/>
    <d v="2018-04-11T00:00:00"/>
    <x v="1"/>
    <n v="62"/>
    <n v="150"/>
    <n v="118"/>
    <n v="1625"/>
    <n v="223"/>
  </r>
  <r>
    <x v="1"/>
    <x v="1"/>
    <d v="2018-04-11T00:00:00"/>
    <x v="0"/>
    <n v="35"/>
    <n v="125"/>
    <n v="114"/>
    <n v="1626"/>
    <n v="127"/>
  </r>
  <r>
    <x v="1"/>
    <x v="1"/>
    <d v="2018-04-11T00:00:00"/>
    <x v="2"/>
    <n v="53"/>
    <n v="170"/>
    <n v="123"/>
    <n v="1624"/>
    <n v="183"/>
  </r>
  <r>
    <x v="1"/>
    <x v="1"/>
    <d v="2018-04-11T00:00:00"/>
    <x v="1"/>
    <n v="53"/>
    <n v="150"/>
    <n v="118"/>
    <n v="1627"/>
    <n v="189"/>
  </r>
  <r>
    <x v="1"/>
    <x v="1"/>
    <d v="2018-04-12T00:00:00"/>
    <x v="2"/>
    <n v="34"/>
    <n v="170"/>
    <n v="123"/>
    <n v="1628"/>
    <n v="159"/>
  </r>
  <r>
    <x v="1"/>
    <x v="1"/>
    <d v="2018-04-12T00:00:00"/>
    <x v="0"/>
    <n v="44"/>
    <n v="125"/>
    <n v="114"/>
    <n v="1629"/>
    <n v="155"/>
  </r>
  <r>
    <x v="1"/>
    <x v="1"/>
    <d v="2018-04-13T00:00:00"/>
    <x v="2"/>
    <n v="37"/>
    <n v="170"/>
    <n v="123"/>
    <n v="1634"/>
    <n v="128"/>
  </r>
  <r>
    <x v="1"/>
    <x v="1"/>
    <d v="2018-04-13T00:00:00"/>
    <x v="0"/>
    <n v="51"/>
    <n v="125"/>
    <n v="114"/>
    <n v="1635"/>
    <n v="177"/>
  </r>
  <r>
    <x v="1"/>
    <x v="1"/>
    <d v="2018-04-13T00:00:00"/>
    <x v="0"/>
    <n v="46"/>
    <n v="125"/>
    <n v="114"/>
    <n v="1633"/>
    <n v="165"/>
  </r>
  <r>
    <x v="1"/>
    <x v="1"/>
    <d v="2018-04-13T00:00:00"/>
    <x v="2"/>
    <n v="43"/>
    <n v="170"/>
    <n v="123"/>
    <n v="1632"/>
    <n v="149"/>
  </r>
  <r>
    <x v="1"/>
    <x v="1"/>
    <d v="2018-04-13T00:00:00"/>
    <x v="1"/>
    <n v="52"/>
    <n v="150"/>
    <n v="118"/>
    <n v="1631"/>
    <n v="184"/>
  </r>
  <r>
    <x v="1"/>
    <x v="1"/>
    <d v="2018-04-13T00:00:00"/>
    <x v="2"/>
    <n v="31"/>
    <n v="170"/>
    <n v="123"/>
    <n v="1630"/>
    <n v="106"/>
  </r>
  <r>
    <x v="1"/>
    <x v="1"/>
    <d v="2018-04-13T00:00:00"/>
    <x v="0"/>
    <n v="53"/>
    <n v="125"/>
    <n v="114"/>
    <n v="1636"/>
    <n v="193"/>
  </r>
  <r>
    <x v="1"/>
    <x v="1"/>
    <d v="2018-04-16T00:00:00"/>
    <x v="0"/>
    <n v="51"/>
    <n v="125"/>
    <n v="114"/>
    <n v="1641"/>
    <n v="181"/>
  </r>
  <r>
    <x v="1"/>
    <x v="1"/>
    <d v="2018-04-16T00:00:00"/>
    <x v="0"/>
    <n v="48"/>
    <n v="125"/>
    <n v="114"/>
    <n v="1637"/>
    <n v="169"/>
  </r>
  <r>
    <x v="1"/>
    <x v="1"/>
    <d v="2018-04-16T00:00:00"/>
    <x v="0"/>
    <n v="49"/>
    <n v="125"/>
    <n v="114"/>
    <n v="1638"/>
    <n v="178"/>
  </r>
  <r>
    <x v="1"/>
    <x v="1"/>
    <d v="2018-04-16T00:00:00"/>
    <x v="1"/>
    <n v="52"/>
    <n v="150"/>
    <n v="118"/>
    <n v="1639"/>
    <n v="187"/>
  </r>
  <r>
    <x v="1"/>
    <x v="1"/>
    <d v="2018-04-16T00:00:00"/>
    <x v="2"/>
    <n v="54"/>
    <n v="170"/>
    <n v="123"/>
    <n v="1640"/>
    <n v="187"/>
  </r>
  <r>
    <x v="1"/>
    <x v="1"/>
    <d v="2018-04-17T00:00:00"/>
    <x v="0"/>
    <n v="53"/>
    <n v="125"/>
    <n v="114"/>
    <n v="1648"/>
    <n v="184"/>
  </r>
  <r>
    <x v="1"/>
    <x v="1"/>
    <d v="2018-04-17T00:00:00"/>
    <x v="2"/>
    <n v="43"/>
    <n v="170"/>
    <n v="123"/>
    <n v="1647"/>
    <n v="150"/>
  </r>
  <r>
    <x v="1"/>
    <x v="1"/>
    <d v="2018-04-17T00:00:00"/>
    <x v="0"/>
    <n v="35"/>
    <n v="125"/>
    <n v="114"/>
    <n v="1646"/>
    <n v="164"/>
  </r>
  <r>
    <x v="1"/>
    <x v="1"/>
    <d v="2018-04-17T00:00:00"/>
    <x v="2"/>
    <n v="47"/>
    <n v="170"/>
    <n v="123"/>
    <n v="1644"/>
    <n v="164"/>
  </r>
  <r>
    <x v="1"/>
    <x v="1"/>
    <d v="2018-04-17T00:00:00"/>
    <x v="0"/>
    <n v="54"/>
    <n v="125"/>
    <n v="114"/>
    <n v="1642"/>
    <n v="192"/>
  </r>
  <r>
    <x v="1"/>
    <x v="1"/>
    <d v="2018-04-17T00:00:00"/>
    <x v="0"/>
    <n v="35"/>
    <n v="125"/>
    <n v="114"/>
    <n v="1643"/>
    <n v="121"/>
  </r>
  <r>
    <x v="1"/>
    <x v="1"/>
    <d v="2018-04-17T00:00:00"/>
    <x v="1"/>
    <n v="39"/>
    <n v="150"/>
    <n v="118"/>
    <n v="1645"/>
    <n v="137"/>
  </r>
  <r>
    <x v="1"/>
    <x v="1"/>
    <d v="2018-04-18T00:00:00"/>
    <x v="1"/>
    <n v="57"/>
    <n v="150"/>
    <n v="118"/>
    <n v="1652"/>
    <n v="263"/>
  </r>
  <r>
    <x v="1"/>
    <x v="1"/>
    <d v="2018-04-18T00:00:00"/>
    <x v="0"/>
    <n v="43"/>
    <n v="125"/>
    <n v="114"/>
    <n v="1653"/>
    <n v="155"/>
  </r>
  <r>
    <x v="1"/>
    <x v="1"/>
    <d v="2018-04-18T00:00:00"/>
    <x v="2"/>
    <n v="28"/>
    <n v="170"/>
    <n v="123"/>
    <n v="1651"/>
    <n v="101"/>
  </r>
  <r>
    <x v="1"/>
    <x v="1"/>
    <d v="2018-04-18T00:00:00"/>
    <x v="0"/>
    <n v="55"/>
    <n v="125"/>
    <n v="114"/>
    <n v="1650"/>
    <n v="192"/>
  </r>
  <r>
    <x v="1"/>
    <x v="1"/>
    <d v="2018-04-18T00:00:00"/>
    <x v="2"/>
    <n v="46"/>
    <n v="170"/>
    <n v="123"/>
    <n v="1649"/>
    <n v="165"/>
  </r>
  <r>
    <x v="1"/>
    <x v="1"/>
    <d v="2018-04-18T00:00:00"/>
    <x v="1"/>
    <n v="51"/>
    <n v="150"/>
    <n v="118"/>
    <n v="1654"/>
    <n v="177"/>
  </r>
  <r>
    <x v="1"/>
    <x v="1"/>
    <d v="2018-04-19T00:00:00"/>
    <x v="2"/>
    <n v="46"/>
    <n v="170"/>
    <n v="123"/>
    <n v="1655"/>
    <n v="166"/>
  </r>
  <r>
    <x v="1"/>
    <x v="1"/>
    <d v="2018-04-19T00:00:00"/>
    <x v="0"/>
    <n v="57"/>
    <n v="125"/>
    <n v="114"/>
    <n v="1656"/>
    <n v="205"/>
  </r>
  <r>
    <x v="1"/>
    <x v="1"/>
    <d v="2018-04-19T00:00:00"/>
    <x v="0"/>
    <n v="50"/>
    <n v="125"/>
    <n v="114"/>
    <n v="1657"/>
    <n v="183"/>
  </r>
  <r>
    <x v="1"/>
    <x v="1"/>
    <d v="2018-04-20T00:00:00"/>
    <x v="2"/>
    <n v="29"/>
    <n v="170"/>
    <n v="123"/>
    <n v="1660"/>
    <n v="106"/>
  </r>
  <r>
    <x v="1"/>
    <x v="1"/>
    <d v="2018-04-20T00:00:00"/>
    <x v="2"/>
    <n v="49"/>
    <n v="170"/>
    <n v="123"/>
    <n v="1663"/>
    <n v="229"/>
  </r>
  <r>
    <x v="1"/>
    <x v="1"/>
    <d v="2018-04-20T00:00:00"/>
    <x v="0"/>
    <n v="46"/>
    <n v="125"/>
    <n v="114"/>
    <n v="1661"/>
    <n v="161"/>
  </r>
  <r>
    <x v="1"/>
    <x v="1"/>
    <d v="2018-04-20T00:00:00"/>
    <x v="2"/>
    <n v="40"/>
    <n v="170"/>
    <n v="123"/>
    <n v="1658"/>
    <n v="145"/>
  </r>
  <r>
    <x v="1"/>
    <x v="1"/>
    <d v="2018-04-20T00:00:00"/>
    <x v="2"/>
    <n v="52"/>
    <n v="170"/>
    <n v="123"/>
    <n v="1662"/>
    <n v="179"/>
  </r>
  <r>
    <x v="1"/>
    <x v="1"/>
    <d v="2018-04-20T00:00:00"/>
    <x v="1"/>
    <n v="56"/>
    <n v="150"/>
    <n v="118"/>
    <n v="1659"/>
    <n v="197"/>
  </r>
  <r>
    <x v="1"/>
    <x v="1"/>
    <d v="2018-04-23T00:00:00"/>
    <x v="1"/>
    <n v="39"/>
    <n v="150"/>
    <n v="118"/>
    <n v="1668"/>
    <n v="135"/>
  </r>
  <r>
    <x v="1"/>
    <x v="1"/>
    <d v="2018-04-23T00:00:00"/>
    <x v="0"/>
    <n v="42"/>
    <n v="125"/>
    <n v="114"/>
    <n v="1669"/>
    <n v="144"/>
  </r>
  <r>
    <x v="1"/>
    <x v="1"/>
    <d v="2018-04-23T00:00:00"/>
    <x v="2"/>
    <n v="41"/>
    <n v="170"/>
    <n v="123"/>
    <n v="1667"/>
    <n v="146"/>
  </r>
  <r>
    <x v="1"/>
    <x v="1"/>
    <d v="2018-04-23T00:00:00"/>
    <x v="1"/>
    <n v="45"/>
    <n v="150"/>
    <n v="118"/>
    <n v="1666"/>
    <n v="165"/>
  </r>
  <r>
    <x v="1"/>
    <x v="1"/>
    <d v="2018-04-23T00:00:00"/>
    <x v="0"/>
    <n v="39"/>
    <n v="125"/>
    <n v="114"/>
    <n v="1665"/>
    <n v="139"/>
  </r>
  <r>
    <x v="1"/>
    <x v="1"/>
    <d v="2018-04-23T00:00:00"/>
    <x v="1"/>
    <n v="53"/>
    <n v="150"/>
    <n v="118"/>
    <n v="1664"/>
    <n v="190"/>
  </r>
  <r>
    <x v="1"/>
    <x v="1"/>
    <d v="2018-04-24T00:00:00"/>
    <x v="2"/>
    <n v="50"/>
    <n v="170"/>
    <n v="123"/>
    <n v="1671"/>
    <n v="182"/>
  </r>
  <r>
    <x v="1"/>
    <x v="1"/>
    <d v="2018-04-24T00:00:00"/>
    <x v="2"/>
    <n v="46"/>
    <n v="170"/>
    <n v="123"/>
    <n v="1672"/>
    <n v="163"/>
  </r>
  <r>
    <x v="1"/>
    <x v="1"/>
    <d v="2018-04-24T00:00:00"/>
    <x v="1"/>
    <n v="61"/>
    <n v="150"/>
    <n v="118"/>
    <n v="1673"/>
    <n v="219"/>
  </r>
  <r>
    <x v="1"/>
    <x v="1"/>
    <d v="2018-04-24T00:00:00"/>
    <x v="0"/>
    <n v="58"/>
    <n v="125"/>
    <n v="114"/>
    <n v="1670"/>
    <n v="200"/>
  </r>
  <r>
    <x v="1"/>
    <x v="1"/>
    <d v="2018-04-25T00:00:00"/>
    <x v="1"/>
    <n v="49"/>
    <n v="150"/>
    <n v="118"/>
    <n v="1677"/>
    <n v="172"/>
  </r>
  <r>
    <x v="1"/>
    <x v="1"/>
    <d v="2018-04-25T00:00:00"/>
    <x v="1"/>
    <n v="58"/>
    <n v="150"/>
    <n v="118"/>
    <n v="1674"/>
    <n v="209"/>
  </r>
  <r>
    <x v="1"/>
    <x v="1"/>
    <d v="2018-04-25T00:00:00"/>
    <x v="0"/>
    <n v="54"/>
    <n v="125"/>
    <n v="114"/>
    <n v="1675"/>
    <n v="196"/>
  </r>
  <r>
    <x v="1"/>
    <x v="1"/>
    <d v="2018-04-25T00:00:00"/>
    <x v="2"/>
    <n v="43"/>
    <n v="170"/>
    <n v="123"/>
    <n v="1676"/>
    <n v="158"/>
  </r>
  <r>
    <x v="1"/>
    <x v="1"/>
    <d v="2018-04-26T00:00:00"/>
    <x v="1"/>
    <n v="61"/>
    <n v="150"/>
    <n v="118"/>
    <n v="1678"/>
    <n v="211"/>
  </r>
  <r>
    <x v="1"/>
    <x v="1"/>
    <d v="2018-04-27T00:00:00"/>
    <x v="2"/>
    <n v="43"/>
    <n v="170"/>
    <n v="123"/>
    <n v="1679"/>
    <n v="150"/>
  </r>
  <r>
    <x v="1"/>
    <x v="1"/>
    <d v="2018-04-30T00:00:00"/>
    <x v="0"/>
    <n v="55"/>
    <n v="125"/>
    <n v="114"/>
    <n v="1680"/>
    <n v="198"/>
  </r>
  <r>
    <x v="1"/>
    <x v="1"/>
    <d v="2018-05-01T00:00:00"/>
    <x v="0"/>
    <n v="44"/>
    <n v="125"/>
    <n v="114"/>
    <n v="1681"/>
    <n v="154"/>
  </r>
  <r>
    <x v="1"/>
    <x v="1"/>
    <d v="2018-05-01T00:00:00"/>
    <x v="1"/>
    <n v="57"/>
    <n v="150"/>
    <n v="118"/>
    <n v="1682"/>
    <n v="201"/>
  </r>
  <r>
    <x v="1"/>
    <x v="1"/>
    <d v="2018-05-01T00:00:00"/>
    <x v="0"/>
    <n v="39"/>
    <n v="125"/>
    <n v="114"/>
    <n v="1683"/>
    <n v="143"/>
  </r>
  <r>
    <x v="1"/>
    <x v="1"/>
    <d v="2018-05-01T00:00:00"/>
    <x v="2"/>
    <n v="41"/>
    <n v="170"/>
    <n v="123"/>
    <n v="1684"/>
    <n v="142"/>
  </r>
  <r>
    <x v="1"/>
    <x v="1"/>
    <d v="2018-05-01T00:00:00"/>
    <x v="2"/>
    <n v="34"/>
    <n v="170"/>
    <n v="123"/>
    <n v="1685"/>
    <n v="124"/>
  </r>
  <r>
    <x v="1"/>
    <x v="1"/>
    <d v="2018-05-02T00:00:00"/>
    <x v="0"/>
    <n v="44"/>
    <n v="125"/>
    <n v="114"/>
    <n v="1687"/>
    <n v="166"/>
  </r>
  <r>
    <x v="1"/>
    <x v="1"/>
    <d v="2018-05-02T00:00:00"/>
    <x v="2"/>
    <n v="44"/>
    <n v="170"/>
    <n v="123"/>
    <n v="1690"/>
    <n v="161"/>
  </r>
  <r>
    <x v="1"/>
    <x v="1"/>
    <d v="2018-05-02T00:00:00"/>
    <x v="1"/>
    <n v="56"/>
    <n v="150"/>
    <n v="118"/>
    <n v="1688"/>
    <n v="201"/>
  </r>
  <r>
    <x v="1"/>
    <x v="1"/>
    <d v="2018-05-02T00:00:00"/>
    <x v="2"/>
    <n v="49"/>
    <n v="170"/>
    <n v="123"/>
    <n v="1687"/>
    <n v="176"/>
  </r>
  <r>
    <x v="1"/>
    <x v="1"/>
    <d v="2018-05-02T00:00:00"/>
    <x v="2"/>
    <n v="43"/>
    <n v="170"/>
    <n v="123"/>
    <n v="1689"/>
    <n v="154"/>
  </r>
  <r>
    <x v="1"/>
    <x v="1"/>
    <d v="2018-05-03T00:00:00"/>
    <x v="0"/>
    <n v="37"/>
    <n v="125"/>
    <n v="114"/>
    <n v="1691"/>
    <n v="132"/>
  </r>
  <r>
    <x v="1"/>
    <x v="1"/>
    <d v="2018-05-03T00:00:00"/>
    <x v="1"/>
    <n v="51"/>
    <n v="150"/>
    <n v="118"/>
    <n v="1692"/>
    <n v="175"/>
  </r>
  <r>
    <x v="1"/>
    <x v="1"/>
    <d v="2018-05-03T00:00:00"/>
    <x v="0"/>
    <n v="55"/>
    <n v="125"/>
    <n v="114"/>
    <n v="1693"/>
    <n v="195"/>
  </r>
  <r>
    <x v="1"/>
    <x v="1"/>
    <d v="2018-05-03T00:00:00"/>
    <x v="2"/>
    <n v="54"/>
    <n v="170"/>
    <n v="123"/>
    <n v="1694"/>
    <n v="191"/>
  </r>
  <r>
    <x v="1"/>
    <x v="1"/>
    <d v="2018-05-04T00:00:00"/>
    <x v="2"/>
    <n v="54"/>
    <n v="170"/>
    <n v="123"/>
    <n v="1695"/>
    <n v="249"/>
  </r>
  <r>
    <x v="1"/>
    <x v="1"/>
    <d v="2018-05-04T00:00:00"/>
    <x v="0"/>
    <n v="40"/>
    <n v="125"/>
    <n v="114"/>
    <n v="1699"/>
    <n v="140"/>
  </r>
  <r>
    <x v="1"/>
    <x v="1"/>
    <d v="2018-05-04T00:00:00"/>
    <x v="2"/>
    <n v="41"/>
    <n v="170"/>
    <n v="123"/>
    <n v="1698"/>
    <n v="144"/>
  </r>
  <r>
    <x v="1"/>
    <x v="1"/>
    <d v="2018-05-04T00:00:00"/>
    <x v="0"/>
    <n v="48"/>
    <n v="125"/>
    <n v="114"/>
    <n v="1697"/>
    <n v="169"/>
  </r>
  <r>
    <x v="1"/>
    <x v="1"/>
    <d v="2018-05-04T00:00:00"/>
    <x v="0"/>
    <n v="44"/>
    <n v="125"/>
    <n v="114"/>
    <n v="1696"/>
    <n v="153"/>
  </r>
  <r>
    <x v="1"/>
    <x v="1"/>
    <d v="2018-05-07T00:00:00"/>
    <x v="0"/>
    <n v="47"/>
    <n v="125"/>
    <n v="114"/>
    <n v="1700"/>
    <n v="171"/>
  </r>
  <r>
    <x v="1"/>
    <x v="1"/>
    <d v="2018-05-07T00:00:00"/>
    <x v="2"/>
    <n v="53"/>
    <n v="170"/>
    <n v="123"/>
    <n v="1701"/>
    <n v="183"/>
  </r>
  <r>
    <x v="1"/>
    <x v="1"/>
    <d v="2018-05-07T00:00:00"/>
    <x v="2"/>
    <n v="47"/>
    <n v="170"/>
    <n v="123"/>
    <n v="1702"/>
    <n v="175"/>
  </r>
  <r>
    <x v="1"/>
    <x v="1"/>
    <d v="2018-05-08T00:00:00"/>
    <x v="2"/>
    <n v="51"/>
    <n v="170"/>
    <n v="123"/>
    <n v="1705"/>
    <n v="186"/>
  </r>
  <r>
    <x v="1"/>
    <x v="1"/>
    <d v="2018-05-08T00:00:00"/>
    <x v="1"/>
    <n v="45"/>
    <n v="150"/>
    <n v="118"/>
    <n v="1709"/>
    <n v="162"/>
  </r>
  <r>
    <x v="1"/>
    <x v="1"/>
    <d v="2018-05-08T00:00:00"/>
    <x v="1"/>
    <n v="39"/>
    <n v="150"/>
    <n v="118"/>
    <n v="1708"/>
    <n v="142"/>
  </r>
  <r>
    <x v="1"/>
    <x v="1"/>
    <d v="2018-05-08T00:00:00"/>
    <x v="2"/>
    <n v="40"/>
    <n v="170"/>
    <n v="123"/>
    <n v="1706"/>
    <n v="138"/>
  </r>
  <r>
    <x v="1"/>
    <x v="1"/>
    <d v="2018-05-08T00:00:00"/>
    <x v="1"/>
    <n v="56"/>
    <n v="150"/>
    <n v="118"/>
    <n v="1704"/>
    <n v="199"/>
  </r>
  <r>
    <x v="1"/>
    <x v="1"/>
    <d v="2018-05-08T00:00:00"/>
    <x v="1"/>
    <n v="47"/>
    <n v="150"/>
    <n v="118"/>
    <n v="1703"/>
    <n v="173"/>
  </r>
  <r>
    <x v="1"/>
    <x v="1"/>
    <d v="2018-05-08T00:00:00"/>
    <x v="1"/>
    <n v="59"/>
    <n v="150"/>
    <n v="118"/>
    <n v="1707"/>
    <n v="212"/>
  </r>
  <r>
    <x v="1"/>
    <x v="1"/>
    <d v="2018-05-09T00:00:00"/>
    <x v="0"/>
    <n v="38"/>
    <n v="125"/>
    <n v="114"/>
    <n v="1713"/>
    <n v="175"/>
  </r>
  <r>
    <x v="1"/>
    <x v="1"/>
    <d v="2018-05-09T00:00:00"/>
    <x v="1"/>
    <n v="55"/>
    <n v="150"/>
    <n v="118"/>
    <n v="1716"/>
    <n v="193"/>
  </r>
  <r>
    <x v="1"/>
    <x v="1"/>
    <d v="2018-05-09T00:00:00"/>
    <x v="0"/>
    <n v="59"/>
    <n v="125"/>
    <n v="114"/>
    <n v="1717"/>
    <n v="216"/>
  </r>
  <r>
    <x v="1"/>
    <x v="1"/>
    <d v="2018-05-09T00:00:00"/>
    <x v="1"/>
    <n v="63"/>
    <n v="150"/>
    <n v="118"/>
    <n v="1714"/>
    <n v="226"/>
  </r>
  <r>
    <x v="1"/>
    <x v="1"/>
    <d v="2018-05-09T00:00:00"/>
    <x v="2"/>
    <n v="42"/>
    <n v="170"/>
    <n v="123"/>
    <n v="1711"/>
    <n v="193"/>
  </r>
  <r>
    <x v="1"/>
    <x v="1"/>
    <d v="2018-05-09T00:00:00"/>
    <x v="0"/>
    <n v="40"/>
    <n v="125"/>
    <n v="114"/>
    <n v="1710"/>
    <n v="142"/>
  </r>
  <r>
    <x v="1"/>
    <x v="1"/>
    <d v="2018-05-09T00:00:00"/>
    <x v="2"/>
    <n v="45"/>
    <n v="170"/>
    <n v="123"/>
    <n v="1715"/>
    <n v="154"/>
  </r>
  <r>
    <x v="1"/>
    <x v="1"/>
    <d v="2018-05-09T00:00:00"/>
    <x v="2"/>
    <n v="46"/>
    <n v="170"/>
    <n v="123"/>
    <n v="1712"/>
    <n v="166"/>
  </r>
  <r>
    <x v="1"/>
    <x v="1"/>
    <d v="2018-05-10T00:00:00"/>
    <x v="2"/>
    <n v="43"/>
    <n v="170"/>
    <n v="123"/>
    <n v="1718"/>
    <n v="154"/>
  </r>
  <r>
    <x v="1"/>
    <x v="1"/>
    <d v="2018-05-10T00:00:00"/>
    <x v="2"/>
    <n v="39"/>
    <n v="170"/>
    <n v="123"/>
    <n v="1719"/>
    <n v="143"/>
  </r>
  <r>
    <x v="1"/>
    <x v="1"/>
    <d v="2018-05-10T00:00:00"/>
    <x v="1"/>
    <n v="50"/>
    <n v="150"/>
    <n v="118"/>
    <n v="1720"/>
    <n v="176"/>
  </r>
  <r>
    <x v="1"/>
    <x v="1"/>
    <d v="2018-05-10T00:00:00"/>
    <x v="2"/>
    <n v="38"/>
    <n v="170"/>
    <n v="123"/>
    <n v="1721"/>
    <n v="133"/>
  </r>
  <r>
    <x v="1"/>
    <x v="1"/>
    <d v="2018-05-11T00:00:00"/>
    <x v="0"/>
    <n v="46"/>
    <n v="125"/>
    <n v="114"/>
    <n v="1722"/>
    <n v="167"/>
  </r>
  <r>
    <x v="1"/>
    <x v="1"/>
    <d v="2018-05-11T00:00:00"/>
    <x v="1"/>
    <n v="60"/>
    <n v="150"/>
    <n v="118"/>
    <n v="1729"/>
    <n v="280"/>
  </r>
  <r>
    <x v="1"/>
    <x v="1"/>
    <d v="2018-05-11T00:00:00"/>
    <x v="2"/>
    <n v="43"/>
    <n v="170"/>
    <n v="123"/>
    <n v="1728"/>
    <n v="158"/>
  </r>
  <r>
    <x v="1"/>
    <x v="1"/>
    <d v="2018-05-11T00:00:00"/>
    <x v="2"/>
    <n v="34"/>
    <n v="170"/>
    <n v="123"/>
    <n v="1727"/>
    <n v="121"/>
  </r>
  <r>
    <x v="1"/>
    <x v="1"/>
    <d v="2018-05-11T00:00:00"/>
    <x v="1"/>
    <n v="57"/>
    <n v="150"/>
    <n v="118"/>
    <n v="1726"/>
    <n v="202"/>
  </r>
  <r>
    <x v="1"/>
    <x v="1"/>
    <d v="2018-05-11T00:00:00"/>
    <x v="0"/>
    <n v="59"/>
    <n v="125"/>
    <n v="114"/>
    <n v="1725"/>
    <n v="210"/>
  </r>
  <r>
    <x v="1"/>
    <x v="1"/>
    <d v="2018-05-11T00:00:00"/>
    <x v="2"/>
    <n v="54"/>
    <n v="170"/>
    <n v="123"/>
    <n v="1723"/>
    <n v="248"/>
  </r>
  <r>
    <x v="1"/>
    <x v="1"/>
    <d v="2018-05-11T00:00:00"/>
    <x v="0"/>
    <n v="45"/>
    <n v="125"/>
    <n v="114"/>
    <n v="1724"/>
    <n v="162"/>
  </r>
  <r>
    <x v="1"/>
    <x v="1"/>
    <d v="2018-05-14T00:00:00"/>
    <x v="1"/>
    <n v="54"/>
    <n v="150"/>
    <n v="118"/>
    <n v="1731"/>
    <n v="194"/>
  </r>
  <r>
    <x v="1"/>
    <x v="1"/>
    <d v="2018-05-14T00:00:00"/>
    <x v="1"/>
    <n v="46"/>
    <n v="150"/>
    <n v="118"/>
    <n v="1732"/>
    <n v="165"/>
  </r>
  <r>
    <x v="1"/>
    <x v="1"/>
    <d v="2018-05-14T00:00:00"/>
    <x v="2"/>
    <n v="50"/>
    <n v="170"/>
    <n v="123"/>
    <n v="1730"/>
    <n v="184"/>
  </r>
  <r>
    <x v="1"/>
    <x v="1"/>
    <d v="2018-05-14T00:00:00"/>
    <x v="1"/>
    <n v="43"/>
    <n v="150"/>
    <n v="118"/>
    <n v="1733"/>
    <n v="156"/>
  </r>
  <r>
    <x v="1"/>
    <x v="1"/>
    <d v="2018-05-15T00:00:00"/>
    <x v="1"/>
    <n v="51"/>
    <n v="150"/>
    <n v="118"/>
    <n v="1734"/>
    <n v="186"/>
  </r>
  <r>
    <x v="1"/>
    <x v="1"/>
    <d v="2018-05-15T00:00:00"/>
    <x v="1"/>
    <n v="61"/>
    <n v="150"/>
    <n v="118"/>
    <n v="1735"/>
    <n v="210"/>
  </r>
  <r>
    <x v="1"/>
    <x v="1"/>
    <d v="2018-05-15T00:00:00"/>
    <x v="0"/>
    <n v="43"/>
    <n v="125"/>
    <n v="114"/>
    <n v="1736"/>
    <n v="148"/>
  </r>
  <r>
    <x v="1"/>
    <x v="1"/>
    <d v="2018-05-16T00:00:00"/>
    <x v="0"/>
    <n v="53"/>
    <n v="125"/>
    <n v="114"/>
    <n v="1737"/>
    <n v="192"/>
  </r>
  <r>
    <x v="1"/>
    <x v="1"/>
    <d v="2018-05-16T00:00:00"/>
    <x v="1"/>
    <n v="52"/>
    <n v="150"/>
    <n v="118"/>
    <n v="1738"/>
    <n v="183"/>
  </r>
  <r>
    <x v="1"/>
    <x v="1"/>
    <d v="2018-05-17T00:00:00"/>
    <x v="0"/>
    <n v="54"/>
    <n v="125"/>
    <n v="114"/>
    <n v="1740"/>
    <n v="191"/>
  </r>
  <r>
    <x v="1"/>
    <x v="1"/>
    <d v="2018-05-17T00:00:00"/>
    <x v="2"/>
    <n v="44"/>
    <n v="170"/>
    <n v="123"/>
    <n v="1739"/>
    <n v="158"/>
  </r>
  <r>
    <x v="1"/>
    <x v="1"/>
    <d v="2018-05-18T00:00:00"/>
    <x v="1"/>
    <n v="44"/>
    <n v="150"/>
    <n v="118"/>
    <n v="1747"/>
    <n v="153"/>
  </r>
  <r>
    <x v="1"/>
    <x v="1"/>
    <d v="2018-05-18T00:00:00"/>
    <x v="0"/>
    <n v="50"/>
    <n v="125"/>
    <n v="114"/>
    <n v="1746"/>
    <n v="180"/>
  </r>
  <r>
    <x v="1"/>
    <x v="1"/>
    <d v="2018-05-18T00:00:00"/>
    <x v="2"/>
    <n v="50"/>
    <n v="170"/>
    <n v="123"/>
    <n v="1745"/>
    <n v="232"/>
  </r>
  <r>
    <x v="1"/>
    <x v="1"/>
    <d v="2018-05-18T00:00:00"/>
    <x v="1"/>
    <n v="57"/>
    <n v="150"/>
    <n v="118"/>
    <n v="1744"/>
    <n v="202"/>
  </r>
  <r>
    <x v="1"/>
    <x v="1"/>
    <d v="2018-05-18T00:00:00"/>
    <x v="1"/>
    <n v="47"/>
    <n v="150"/>
    <n v="118"/>
    <n v="1743"/>
    <n v="173"/>
  </r>
  <r>
    <x v="1"/>
    <x v="1"/>
    <d v="2018-05-18T00:00:00"/>
    <x v="0"/>
    <n v="41"/>
    <n v="125"/>
    <n v="114"/>
    <n v="1741"/>
    <n v="189"/>
  </r>
  <r>
    <x v="1"/>
    <x v="1"/>
    <d v="2018-05-18T00:00:00"/>
    <x v="0"/>
    <n v="51"/>
    <n v="125"/>
    <n v="114"/>
    <n v="1742"/>
    <n v="178"/>
  </r>
  <r>
    <x v="1"/>
    <x v="1"/>
    <d v="2018-05-21T00:00:00"/>
    <x v="0"/>
    <n v="39"/>
    <n v="125"/>
    <n v="114"/>
    <n v="1750"/>
    <n v="140"/>
  </r>
  <r>
    <x v="1"/>
    <x v="1"/>
    <d v="2018-05-21T00:00:00"/>
    <x v="1"/>
    <n v="51"/>
    <n v="150"/>
    <n v="118"/>
    <n v="1751"/>
    <n v="239"/>
  </r>
  <r>
    <x v="1"/>
    <x v="1"/>
    <d v="2018-05-21T00:00:00"/>
    <x v="2"/>
    <n v="35"/>
    <n v="170"/>
    <n v="123"/>
    <n v="1748"/>
    <n v="164"/>
  </r>
  <r>
    <x v="1"/>
    <x v="1"/>
    <d v="2018-05-21T00:00:00"/>
    <x v="1"/>
    <n v="55"/>
    <n v="150"/>
    <n v="118"/>
    <n v="1749"/>
    <n v="197"/>
  </r>
  <r>
    <x v="1"/>
    <x v="1"/>
    <d v="2018-05-21T00:00:00"/>
    <x v="1"/>
    <n v="64"/>
    <n v="150"/>
    <n v="118"/>
    <n v="1752"/>
    <n v="236"/>
  </r>
  <r>
    <x v="1"/>
    <x v="1"/>
    <d v="2018-05-22T00:00:00"/>
    <x v="1"/>
    <n v="42"/>
    <n v="150"/>
    <n v="118"/>
    <n v="1753"/>
    <n v="195"/>
  </r>
  <r>
    <x v="1"/>
    <x v="1"/>
    <d v="2018-05-22T00:00:00"/>
    <x v="0"/>
    <n v="43"/>
    <n v="125"/>
    <n v="114"/>
    <n v="1754"/>
    <n v="148"/>
  </r>
  <r>
    <x v="1"/>
    <x v="1"/>
    <d v="2018-05-23T00:00:00"/>
    <x v="2"/>
    <n v="35"/>
    <n v="170"/>
    <n v="123"/>
    <n v="1759"/>
    <n v="124"/>
  </r>
  <r>
    <x v="1"/>
    <x v="1"/>
    <d v="2018-05-23T00:00:00"/>
    <x v="0"/>
    <n v="34"/>
    <n v="125"/>
    <n v="114"/>
    <n v="1762"/>
    <n v="120"/>
  </r>
  <r>
    <x v="1"/>
    <x v="1"/>
    <d v="2018-05-23T00:00:00"/>
    <x v="2"/>
    <n v="46"/>
    <n v="170"/>
    <n v="123"/>
    <n v="1760"/>
    <n v="159"/>
  </r>
  <r>
    <x v="1"/>
    <x v="1"/>
    <d v="2018-05-23T00:00:00"/>
    <x v="1"/>
    <n v="42"/>
    <n v="150"/>
    <n v="118"/>
    <n v="1758"/>
    <n v="148"/>
  </r>
  <r>
    <x v="1"/>
    <x v="1"/>
    <d v="2018-05-23T00:00:00"/>
    <x v="2"/>
    <n v="30"/>
    <n v="170"/>
    <n v="123"/>
    <n v="1757"/>
    <n v="108"/>
  </r>
  <r>
    <x v="1"/>
    <x v="1"/>
    <d v="2018-05-23T00:00:00"/>
    <x v="2"/>
    <n v="39"/>
    <n v="170"/>
    <n v="123"/>
    <n v="1756"/>
    <n v="140"/>
  </r>
  <r>
    <x v="1"/>
    <x v="1"/>
    <d v="2018-05-23T00:00:00"/>
    <x v="0"/>
    <n v="35"/>
    <n v="125"/>
    <n v="114"/>
    <n v="1755"/>
    <n v="128"/>
  </r>
  <r>
    <x v="1"/>
    <x v="1"/>
    <d v="2018-05-23T00:00:00"/>
    <x v="1"/>
    <n v="54"/>
    <n v="150"/>
    <n v="118"/>
    <n v="1761"/>
    <n v="196"/>
  </r>
  <r>
    <x v="1"/>
    <x v="1"/>
    <d v="2018-05-24T00:00:00"/>
    <x v="1"/>
    <n v="45"/>
    <n v="150"/>
    <n v="118"/>
    <n v="1763"/>
    <n v="161"/>
  </r>
  <r>
    <x v="1"/>
    <x v="1"/>
    <d v="2018-05-24T00:00:00"/>
    <x v="2"/>
    <n v="45"/>
    <n v="170"/>
    <n v="123"/>
    <n v="1764"/>
    <n v="161"/>
  </r>
  <r>
    <x v="1"/>
    <x v="1"/>
    <d v="2018-05-24T00:00:00"/>
    <x v="2"/>
    <n v="53"/>
    <n v="170"/>
    <n v="123"/>
    <n v="1765"/>
    <n v="187"/>
  </r>
  <r>
    <x v="1"/>
    <x v="1"/>
    <d v="2018-05-25T00:00:00"/>
    <x v="2"/>
    <n v="36"/>
    <n v="170"/>
    <n v="123"/>
    <n v="1767"/>
    <n v="130"/>
  </r>
  <r>
    <x v="1"/>
    <x v="1"/>
    <d v="2018-05-25T00:00:00"/>
    <x v="0"/>
    <n v="45"/>
    <n v="125"/>
    <n v="114"/>
    <n v="1766"/>
    <n v="164"/>
  </r>
  <r>
    <x v="1"/>
    <x v="1"/>
    <d v="2018-05-28T00:00:00"/>
    <x v="1"/>
    <n v="44"/>
    <n v="150"/>
    <n v="118"/>
    <n v="1771"/>
    <n v="167"/>
  </r>
  <r>
    <x v="1"/>
    <x v="1"/>
    <d v="2018-05-28T00:00:00"/>
    <x v="2"/>
    <n v="31"/>
    <n v="170"/>
    <n v="123"/>
    <n v="1773"/>
    <n v="114"/>
  </r>
  <r>
    <x v="1"/>
    <x v="1"/>
    <d v="2018-05-28T00:00:00"/>
    <x v="0"/>
    <n v="52"/>
    <n v="125"/>
    <n v="114"/>
    <n v="1772"/>
    <n v="189"/>
  </r>
  <r>
    <x v="1"/>
    <x v="1"/>
    <d v="2018-05-28T00:00:00"/>
    <x v="0"/>
    <n v="58"/>
    <n v="125"/>
    <n v="114"/>
    <n v="1768"/>
    <n v="203"/>
  </r>
  <r>
    <x v="1"/>
    <x v="1"/>
    <d v="2018-05-28T00:00:00"/>
    <x v="0"/>
    <n v="41"/>
    <n v="125"/>
    <n v="114"/>
    <n v="1769"/>
    <n v="151"/>
  </r>
  <r>
    <x v="1"/>
    <x v="1"/>
    <d v="2018-05-28T00:00:00"/>
    <x v="1"/>
    <n v="38"/>
    <n v="150"/>
    <n v="118"/>
    <n v="1770"/>
    <n v="133"/>
  </r>
  <r>
    <x v="1"/>
    <x v="1"/>
    <d v="2018-05-29T00:00:00"/>
    <x v="0"/>
    <n v="48"/>
    <n v="125"/>
    <n v="114"/>
    <n v="1778"/>
    <n v="175"/>
  </r>
  <r>
    <x v="1"/>
    <x v="1"/>
    <d v="2018-05-29T00:00:00"/>
    <x v="2"/>
    <n v="54"/>
    <n v="170"/>
    <n v="123"/>
    <n v="1781"/>
    <n v="187"/>
  </r>
  <r>
    <x v="1"/>
    <x v="1"/>
    <d v="2018-05-29T00:00:00"/>
    <x v="0"/>
    <n v="59"/>
    <n v="125"/>
    <n v="114"/>
    <n v="1779"/>
    <n v="276"/>
  </r>
  <r>
    <x v="1"/>
    <x v="1"/>
    <d v="2018-05-29T00:00:00"/>
    <x v="2"/>
    <n v="49"/>
    <n v="170"/>
    <n v="123"/>
    <n v="1777"/>
    <n v="181"/>
  </r>
  <r>
    <x v="1"/>
    <x v="1"/>
    <d v="2018-05-29T00:00:00"/>
    <x v="0"/>
    <n v="41"/>
    <n v="125"/>
    <n v="114"/>
    <n v="1776"/>
    <n v="147"/>
  </r>
  <r>
    <x v="1"/>
    <x v="1"/>
    <d v="2018-05-29T00:00:00"/>
    <x v="1"/>
    <n v="63"/>
    <n v="150"/>
    <n v="118"/>
    <n v="1775"/>
    <n v="223"/>
  </r>
  <r>
    <x v="1"/>
    <x v="1"/>
    <d v="2018-05-29T00:00:00"/>
    <x v="1"/>
    <n v="50"/>
    <n v="150"/>
    <n v="118"/>
    <n v="1774"/>
    <n v="172"/>
  </r>
  <r>
    <x v="1"/>
    <x v="1"/>
    <d v="2018-05-29T00:00:00"/>
    <x v="0"/>
    <n v="43"/>
    <n v="125"/>
    <n v="114"/>
    <n v="1780"/>
    <n v="199"/>
  </r>
  <r>
    <x v="1"/>
    <x v="1"/>
    <d v="2018-05-30T00:00:00"/>
    <x v="1"/>
    <n v="49"/>
    <n v="150"/>
    <n v="118"/>
    <n v="1782"/>
    <n v="172"/>
  </r>
  <r>
    <x v="1"/>
    <x v="1"/>
    <d v="2018-05-31T00:00:00"/>
    <x v="2"/>
    <n v="47"/>
    <n v="170"/>
    <n v="123"/>
    <n v="1787"/>
    <n v="171"/>
  </r>
  <r>
    <x v="1"/>
    <x v="1"/>
    <d v="2018-05-31T00:00:00"/>
    <x v="1"/>
    <n v="39"/>
    <n v="150"/>
    <n v="118"/>
    <n v="1790"/>
    <n v="140"/>
  </r>
  <r>
    <x v="1"/>
    <x v="1"/>
    <d v="2018-05-31T00:00:00"/>
    <x v="2"/>
    <n v="48"/>
    <n v="170"/>
    <n v="123"/>
    <n v="1789"/>
    <n v="166"/>
  </r>
  <r>
    <x v="1"/>
    <x v="1"/>
    <d v="2018-05-31T00:00:00"/>
    <x v="2"/>
    <n v="52"/>
    <n v="170"/>
    <n v="123"/>
    <n v="1786"/>
    <n v="179"/>
  </r>
  <r>
    <x v="1"/>
    <x v="1"/>
    <d v="2018-05-31T00:00:00"/>
    <x v="2"/>
    <n v="36"/>
    <n v="170"/>
    <n v="123"/>
    <n v="1785"/>
    <n v="126"/>
  </r>
  <r>
    <x v="1"/>
    <x v="1"/>
    <d v="2018-05-31T00:00:00"/>
    <x v="2"/>
    <n v="44"/>
    <n v="170"/>
    <n v="123"/>
    <n v="1784"/>
    <n v="166"/>
  </r>
  <r>
    <x v="1"/>
    <x v="1"/>
    <d v="2018-05-31T00:00:00"/>
    <x v="1"/>
    <n v="48"/>
    <n v="150"/>
    <n v="118"/>
    <n v="1783"/>
    <n v="173"/>
  </r>
  <r>
    <x v="1"/>
    <x v="1"/>
    <d v="2018-05-31T00:00:00"/>
    <x v="0"/>
    <n v="51"/>
    <n v="125"/>
    <n v="114"/>
    <n v="1788"/>
    <n v="177"/>
  </r>
  <r>
    <x v="1"/>
    <x v="1"/>
    <d v="2018-06-01T00:00:00"/>
    <x v="1"/>
    <n v="42"/>
    <n v="150"/>
    <n v="118"/>
    <n v="1795"/>
    <n v="150"/>
  </r>
  <r>
    <x v="1"/>
    <x v="1"/>
    <d v="2018-06-01T00:00:00"/>
    <x v="2"/>
    <n v="44"/>
    <n v="170"/>
    <n v="123"/>
    <n v="1791"/>
    <n v="161"/>
  </r>
  <r>
    <x v="1"/>
    <x v="1"/>
    <d v="2018-06-01T00:00:00"/>
    <x v="0"/>
    <n v="56"/>
    <n v="125"/>
    <n v="114"/>
    <n v="1792"/>
    <n v="204"/>
  </r>
  <r>
    <x v="1"/>
    <x v="1"/>
    <d v="2018-06-01T00:00:00"/>
    <x v="1"/>
    <n v="39"/>
    <n v="150"/>
    <n v="118"/>
    <n v="1793"/>
    <n v="135"/>
  </r>
  <r>
    <x v="1"/>
    <x v="1"/>
    <d v="2018-06-01T00:00:00"/>
    <x v="1"/>
    <n v="48"/>
    <n v="150"/>
    <n v="118"/>
    <n v="1794"/>
    <n v="173"/>
  </r>
  <r>
    <x v="1"/>
    <x v="1"/>
    <d v="2018-06-04T00:00:00"/>
    <x v="1"/>
    <n v="41"/>
    <n v="150"/>
    <n v="118"/>
    <n v="1799"/>
    <n v="145"/>
  </r>
  <r>
    <x v="1"/>
    <x v="1"/>
    <d v="2018-06-04T00:00:00"/>
    <x v="1"/>
    <n v="40"/>
    <n v="150"/>
    <n v="118"/>
    <n v="1798"/>
    <n v="146"/>
  </r>
  <r>
    <x v="1"/>
    <x v="1"/>
    <d v="2018-06-04T00:00:00"/>
    <x v="0"/>
    <n v="57"/>
    <n v="125"/>
    <n v="114"/>
    <n v="1796"/>
    <n v="204"/>
  </r>
  <r>
    <x v="1"/>
    <x v="1"/>
    <d v="2018-06-04T00:00:00"/>
    <x v="2"/>
    <n v="50"/>
    <n v="170"/>
    <n v="123"/>
    <n v="1797"/>
    <n v="175"/>
  </r>
  <r>
    <x v="1"/>
    <x v="1"/>
    <d v="2018-06-05T00:00:00"/>
    <x v="0"/>
    <n v="35"/>
    <n v="125"/>
    <n v="114"/>
    <n v="1804"/>
    <n v="123"/>
  </r>
  <r>
    <x v="1"/>
    <x v="1"/>
    <d v="2018-06-05T00:00:00"/>
    <x v="2"/>
    <n v="54"/>
    <n v="170"/>
    <n v="123"/>
    <n v="1800"/>
    <n v="194"/>
  </r>
  <r>
    <x v="1"/>
    <x v="1"/>
    <d v="2018-06-05T00:00:00"/>
    <x v="2"/>
    <n v="33"/>
    <n v="170"/>
    <n v="123"/>
    <n v="1801"/>
    <n v="118"/>
  </r>
  <r>
    <x v="1"/>
    <x v="1"/>
    <d v="2018-06-05T00:00:00"/>
    <x v="1"/>
    <n v="52"/>
    <n v="150"/>
    <n v="118"/>
    <n v="1802"/>
    <n v="190"/>
  </r>
  <r>
    <x v="1"/>
    <x v="1"/>
    <d v="2018-06-05T00:00:00"/>
    <x v="0"/>
    <n v="42"/>
    <n v="125"/>
    <n v="114"/>
    <n v="1803"/>
    <n v="151"/>
  </r>
  <r>
    <x v="1"/>
    <x v="1"/>
    <d v="2018-06-06T00:00:00"/>
    <x v="1"/>
    <n v="38"/>
    <n v="150"/>
    <n v="118"/>
    <n v="1806"/>
    <n v="135"/>
  </r>
  <r>
    <x v="1"/>
    <x v="1"/>
    <d v="2018-06-06T00:00:00"/>
    <x v="0"/>
    <n v="49"/>
    <n v="125"/>
    <n v="114"/>
    <n v="1805"/>
    <n v="180"/>
  </r>
  <r>
    <x v="1"/>
    <x v="1"/>
    <d v="2018-06-07T00:00:00"/>
    <x v="0"/>
    <n v="45"/>
    <n v="125"/>
    <n v="114"/>
    <n v="1807"/>
    <n v="158"/>
  </r>
  <r>
    <x v="1"/>
    <x v="1"/>
    <d v="2018-06-07T00:00:00"/>
    <x v="1"/>
    <n v="58"/>
    <n v="150"/>
    <n v="118"/>
    <n v="1808"/>
    <n v="205"/>
  </r>
  <r>
    <x v="1"/>
    <x v="1"/>
    <d v="2018-06-07T00:00:00"/>
    <x v="0"/>
    <n v="38"/>
    <n v="125"/>
    <n v="114"/>
    <n v="1809"/>
    <n v="139"/>
  </r>
  <r>
    <x v="1"/>
    <x v="1"/>
    <d v="2018-06-07T00:00:00"/>
    <x v="2"/>
    <n v="34"/>
    <n v="170"/>
    <n v="123"/>
    <n v="1810"/>
    <n v="117"/>
  </r>
  <r>
    <x v="1"/>
    <x v="1"/>
    <d v="2018-06-07T00:00:00"/>
    <x v="0"/>
    <n v="53"/>
    <n v="125"/>
    <n v="114"/>
    <n v="1811"/>
    <n v="197"/>
  </r>
  <r>
    <x v="1"/>
    <x v="1"/>
    <d v="2018-06-07T00:00:00"/>
    <x v="1"/>
    <n v="40"/>
    <n v="150"/>
    <n v="118"/>
    <n v="1812"/>
    <n v="144"/>
  </r>
  <r>
    <x v="1"/>
    <x v="1"/>
    <d v="2018-06-08T00:00:00"/>
    <x v="0"/>
    <n v="37"/>
    <n v="125"/>
    <n v="114"/>
    <n v="1813"/>
    <n v="130"/>
  </r>
  <r>
    <x v="1"/>
    <x v="1"/>
    <d v="2018-06-08T00:00:00"/>
    <x v="0"/>
    <n v="51"/>
    <n v="125"/>
    <n v="114"/>
    <n v="1814"/>
    <n v="187"/>
  </r>
  <r>
    <x v="1"/>
    <x v="1"/>
    <d v="2018-06-11T00:00:00"/>
    <x v="0"/>
    <n v="53"/>
    <n v="125"/>
    <n v="114"/>
    <n v="1816"/>
    <n v="249"/>
  </r>
  <r>
    <x v="1"/>
    <x v="1"/>
    <d v="2018-06-11T00:00:00"/>
    <x v="2"/>
    <n v="42"/>
    <n v="170"/>
    <n v="123"/>
    <n v="1817"/>
    <n v="147"/>
  </r>
  <r>
    <x v="1"/>
    <x v="1"/>
    <d v="2018-06-11T00:00:00"/>
    <x v="2"/>
    <n v="28"/>
    <n v="170"/>
    <n v="123"/>
    <n v="1818"/>
    <n v="105"/>
  </r>
  <r>
    <x v="1"/>
    <x v="1"/>
    <d v="2018-06-11T00:00:00"/>
    <x v="0"/>
    <n v="47"/>
    <n v="125"/>
    <n v="114"/>
    <n v="1819"/>
    <n v="172"/>
  </r>
  <r>
    <x v="1"/>
    <x v="1"/>
    <d v="2018-06-11T00:00:00"/>
    <x v="1"/>
    <n v="40"/>
    <n v="150"/>
    <n v="118"/>
    <n v="1820"/>
    <n v="140"/>
  </r>
  <r>
    <x v="1"/>
    <x v="1"/>
    <d v="2018-06-11T00:00:00"/>
    <x v="2"/>
    <n v="40"/>
    <n v="170"/>
    <n v="123"/>
    <n v="1815"/>
    <n v="139"/>
  </r>
  <r>
    <x v="1"/>
    <x v="1"/>
    <d v="2018-06-12T00:00:00"/>
    <x v="2"/>
    <n v="44"/>
    <n v="170"/>
    <n v="123"/>
    <n v="1822"/>
    <n v="161"/>
  </r>
  <r>
    <x v="1"/>
    <x v="1"/>
    <d v="2018-06-12T00:00:00"/>
    <x v="2"/>
    <n v="41"/>
    <n v="170"/>
    <n v="123"/>
    <n v="1826"/>
    <n v="143"/>
  </r>
  <r>
    <x v="1"/>
    <x v="1"/>
    <d v="2018-06-12T00:00:00"/>
    <x v="1"/>
    <n v="63"/>
    <n v="150"/>
    <n v="118"/>
    <n v="1825"/>
    <n v="291"/>
  </r>
  <r>
    <x v="1"/>
    <x v="1"/>
    <d v="2018-06-12T00:00:00"/>
    <x v="2"/>
    <n v="46"/>
    <n v="170"/>
    <n v="123"/>
    <n v="1823"/>
    <n v="215"/>
  </r>
  <r>
    <x v="1"/>
    <x v="1"/>
    <d v="2018-06-12T00:00:00"/>
    <x v="0"/>
    <n v="38"/>
    <n v="125"/>
    <n v="114"/>
    <n v="1821"/>
    <n v="141"/>
  </r>
  <r>
    <x v="1"/>
    <x v="1"/>
    <d v="2018-06-12T00:00:00"/>
    <x v="0"/>
    <n v="44"/>
    <n v="125"/>
    <n v="114"/>
    <n v="1824"/>
    <n v="151"/>
  </r>
  <r>
    <x v="1"/>
    <x v="1"/>
    <d v="2018-06-13T00:00:00"/>
    <x v="0"/>
    <n v="40"/>
    <n v="125"/>
    <n v="114"/>
    <n v="1827"/>
    <n v="143"/>
  </r>
  <r>
    <x v="1"/>
    <x v="1"/>
    <d v="2018-06-14T00:00:00"/>
    <x v="2"/>
    <n v="29"/>
    <n v="170"/>
    <n v="123"/>
    <n v="1828"/>
    <n v="100"/>
  </r>
  <r>
    <x v="1"/>
    <x v="1"/>
    <d v="2018-06-14T00:00:00"/>
    <x v="0"/>
    <n v="49"/>
    <n v="125"/>
    <n v="114"/>
    <n v="1829"/>
    <n v="176"/>
  </r>
  <r>
    <x v="1"/>
    <x v="1"/>
    <d v="2018-06-15T00:00:00"/>
    <x v="2"/>
    <n v="38"/>
    <n v="170"/>
    <n v="123"/>
    <n v="1831"/>
    <n v="130"/>
  </r>
  <r>
    <x v="1"/>
    <x v="1"/>
    <d v="2018-06-15T00:00:00"/>
    <x v="1"/>
    <n v="39"/>
    <n v="150"/>
    <n v="118"/>
    <n v="1830"/>
    <n v="144"/>
  </r>
  <r>
    <x v="1"/>
    <x v="1"/>
    <d v="2018-06-18T00:00:00"/>
    <x v="0"/>
    <n v="45"/>
    <n v="125"/>
    <n v="114"/>
    <n v="1836"/>
    <n v="158"/>
  </r>
  <r>
    <x v="1"/>
    <x v="1"/>
    <d v="2018-06-18T00:00:00"/>
    <x v="0"/>
    <n v="49"/>
    <n v="125"/>
    <n v="114"/>
    <n v="1835"/>
    <n v="175"/>
  </r>
  <r>
    <x v="1"/>
    <x v="1"/>
    <d v="2018-06-18T00:00:00"/>
    <x v="2"/>
    <n v="54"/>
    <n v="170"/>
    <n v="123"/>
    <n v="1834"/>
    <n v="202"/>
  </r>
  <r>
    <x v="1"/>
    <x v="1"/>
    <d v="2018-06-18T00:00:00"/>
    <x v="2"/>
    <n v="28"/>
    <n v="170"/>
    <n v="123"/>
    <n v="1832"/>
    <n v="103"/>
  </r>
  <r>
    <x v="1"/>
    <x v="1"/>
    <d v="2018-06-18T00:00:00"/>
    <x v="2"/>
    <n v="37"/>
    <n v="170"/>
    <n v="123"/>
    <n v="1833"/>
    <n v="171"/>
  </r>
  <r>
    <x v="1"/>
    <x v="1"/>
    <d v="2018-06-19T00:00:00"/>
    <x v="2"/>
    <n v="50"/>
    <n v="170"/>
    <n v="123"/>
    <n v="1841"/>
    <n v="184"/>
  </r>
  <r>
    <x v="1"/>
    <x v="1"/>
    <d v="2018-06-19T00:00:00"/>
    <x v="0"/>
    <n v="46"/>
    <n v="125"/>
    <n v="114"/>
    <n v="1842"/>
    <n v="169"/>
  </r>
  <r>
    <x v="1"/>
    <x v="1"/>
    <d v="2018-06-19T00:00:00"/>
    <x v="1"/>
    <n v="44"/>
    <n v="150"/>
    <n v="118"/>
    <n v="1843"/>
    <n v="162"/>
  </r>
  <r>
    <x v="1"/>
    <x v="1"/>
    <d v="2018-06-19T00:00:00"/>
    <x v="0"/>
    <n v="39"/>
    <n v="125"/>
    <n v="114"/>
    <n v="1839"/>
    <n v="138"/>
  </r>
  <r>
    <x v="1"/>
    <x v="1"/>
    <d v="2018-06-19T00:00:00"/>
    <x v="1"/>
    <n v="44"/>
    <n v="150"/>
    <n v="118"/>
    <n v="1838"/>
    <n v="153"/>
  </r>
  <r>
    <x v="1"/>
    <x v="1"/>
    <d v="2018-06-19T00:00:00"/>
    <x v="0"/>
    <n v="42"/>
    <n v="125"/>
    <n v="114"/>
    <n v="1837"/>
    <n v="152"/>
  </r>
  <r>
    <x v="1"/>
    <x v="1"/>
    <d v="2018-06-19T00:00:00"/>
    <x v="1"/>
    <n v="60"/>
    <n v="150"/>
    <n v="118"/>
    <n v="1840"/>
    <n v="219"/>
  </r>
  <r>
    <x v="1"/>
    <x v="1"/>
    <d v="2018-06-19T00:00:00"/>
    <x v="0"/>
    <n v="34"/>
    <n v="125"/>
    <n v="114"/>
    <n v="1844"/>
    <n v="122"/>
  </r>
  <r>
    <x v="1"/>
    <x v="1"/>
    <d v="2018-06-20T00:00:00"/>
    <x v="2"/>
    <n v="54"/>
    <n v="170"/>
    <n v="123"/>
    <n v="1845"/>
    <n v="193"/>
  </r>
  <r>
    <x v="1"/>
    <x v="1"/>
    <d v="2018-06-20T00:00:00"/>
    <x v="2"/>
    <n v="35"/>
    <n v="170"/>
    <n v="123"/>
    <n v="1846"/>
    <n v="122"/>
  </r>
  <r>
    <x v="1"/>
    <x v="1"/>
    <d v="2018-06-20T00:00:00"/>
    <x v="0"/>
    <n v="50"/>
    <n v="125"/>
    <n v="114"/>
    <n v="1847"/>
    <n v="192"/>
  </r>
  <r>
    <x v="1"/>
    <x v="1"/>
    <d v="2018-06-20T00:00:00"/>
    <x v="2"/>
    <n v="41"/>
    <n v="170"/>
    <n v="123"/>
    <n v="1848"/>
    <n v="150"/>
  </r>
  <r>
    <x v="1"/>
    <x v="1"/>
    <d v="2018-06-20T00:00:00"/>
    <x v="0"/>
    <n v="33"/>
    <n v="125"/>
    <n v="114"/>
    <n v="1849"/>
    <n v="120"/>
  </r>
  <r>
    <x v="1"/>
    <x v="1"/>
    <d v="2018-06-21T00:00:00"/>
    <x v="1"/>
    <n v="56"/>
    <n v="150"/>
    <n v="118"/>
    <n v="1850"/>
    <n v="209"/>
  </r>
  <r>
    <x v="1"/>
    <x v="1"/>
    <d v="2018-06-21T00:00:00"/>
    <x v="2"/>
    <n v="52"/>
    <n v="170"/>
    <n v="123"/>
    <n v="1853"/>
    <n v="192"/>
  </r>
  <r>
    <x v="1"/>
    <x v="1"/>
    <d v="2018-06-21T00:00:00"/>
    <x v="0"/>
    <n v="53"/>
    <n v="125"/>
    <n v="114"/>
    <n v="1851"/>
    <n v="192"/>
  </r>
  <r>
    <x v="1"/>
    <x v="1"/>
    <d v="2018-06-21T00:00:00"/>
    <x v="1"/>
    <n v="49"/>
    <n v="150"/>
    <n v="118"/>
    <n v="1852"/>
    <n v="174"/>
  </r>
  <r>
    <x v="1"/>
    <x v="1"/>
    <d v="2018-06-22T00:00:00"/>
    <x v="2"/>
    <n v="51"/>
    <n v="170"/>
    <n v="123"/>
    <n v="1859"/>
    <n v="176"/>
  </r>
  <r>
    <x v="1"/>
    <x v="1"/>
    <d v="2018-06-22T00:00:00"/>
    <x v="2"/>
    <n v="47"/>
    <n v="170"/>
    <n v="123"/>
    <n v="1854"/>
    <n v="168"/>
  </r>
  <r>
    <x v="1"/>
    <x v="1"/>
    <d v="2018-06-22T00:00:00"/>
    <x v="1"/>
    <n v="55"/>
    <n v="150"/>
    <n v="118"/>
    <n v="1855"/>
    <n v="195"/>
  </r>
  <r>
    <x v="1"/>
    <x v="1"/>
    <d v="2018-06-22T00:00:00"/>
    <x v="1"/>
    <n v="60"/>
    <n v="150"/>
    <n v="118"/>
    <n v="1856"/>
    <n v="276"/>
  </r>
  <r>
    <x v="1"/>
    <x v="1"/>
    <d v="2018-06-22T00:00:00"/>
    <x v="2"/>
    <n v="45"/>
    <n v="170"/>
    <n v="123"/>
    <n v="1857"/>
    <n v="166"/>
  </r>
  <r>
    <x v="1"/>
    <x v="1"/>
    <d v="2018-06-22T00:00:00"/>
    <x v="0"/>
    <n v="39"/>
    <n v="125"/>
    <n v="114"/>
    <n v="1858"/>
    <n v="140"/>
  </r>
  <r>
    <x v="1"/>
    <x v="1"/>
    <d v="2018-06-25T00:00:00"/>
    <x v="2"/>
    <n v="28"/>
    <n v="170"/>
    <n v="123"/>
    <n v="1863"/>
    <n v="96"/>
  </r>
  <r>
    <x v="1"/>
    <x v="1"/>
    <d v="2018-06-25T00:00:00"/>
    <x v="1"/>
    <n v="44"/>
    <n v="150"/>
    <n v="118"/>
    <n v="1862"/>
    <n v="155"/>
  </r>
  <r>
    <x v="1"/>
    <x v="1"/>
    <d v="2018-06-25T00:00:00"/>
    <x v="0"/>
    <n v="51"/>
    <n v="125"/>
    <n v="114"/>
    <n v="1861"/>
    <n v="178"/>
  </r>
  <r>
    <x v="1"/>
    <x v="1"/>
    <d v="2018-06-25T00:00:00"/>
    <x v="1"/>
    <n v="38"/>
    <n v="150"/>
    <n v="118"/>
    <n v="1860"/>
    <n v="133"/>
  </r>
  <r>
    <x v="1"/>
    <x v="1"/>
    <d v="2018-06-26T00:00:00"/>
    <x v="0"/>
    <n v="48"/>
    <n v="125"/>
    <n v="114"/>
    <n v="1864"/>
    <n v="167"/>
  </r>
  <r>
    <x v="1"/>
    <x v="1"/>
    <d v="2018-06-26T00:00:00"/>
    <x v="2"/>
    <n v="47"/>
    <n v="170"/>
    <n v="123"/>
    <n v="1865"/>
    <n v="168"/>
  </r>
  <r>
    <x v="1"/>
    <x v="1"/>
    <d v="2018-06-26T00:00:00"/>
    <x v="1"/>
    <n v="47"/>
    <n v="150"/>
    <n v="118"/>
    <n v="1866"/>
    <n v="162"/>
  </r>
  <r>
    <x v="1"/>
    <x v="1"/>
    <d v="2018-06-26T00:00:00"/>
    <x v="0"/>
    <n v="33"/>
    <n v="125"/>
    <n v="114"/>
    <n v="1867"/>
    <n v="152"/>
  </r>
  <r>
    <x v="1"/>
    <x v="1"/>
    <d v="2018-06-26T00:00:00"/>
    <x v="0"/>
    <n v="42"/>
    <n v="125"/>
    <n v="114"/>
    <n v="1868"/>
    <n v="146"/>
  </r>
  <r>
    <x v="1"/>
    <x v="1"/>
    <d v="2018-06-27T00:00:00"/>
    <x v="0"/>
    <n v="55"/>
    <n v="125"/>
    <n v="114"/>
    <n v="1869"/>
    <n v="198"/>
  </r>
  <r>
    <x v="1"/>
    <x v="1"/>
    <d v="2018-06-28T00:00:00"/>
    <x v="2"/>
    <n v="35"/>
    <n v="170"/>
    <n v="123"/>
    <n v="1870"/>
    <n v="162"/>
  </r>
  <r>
    <x v="1"/>
    <x v="1"/>
    <d v="2018-06-28T00:00:00"/>
    <x v="0"/>
    <n v="53"/>
    <n v="125"/>
    <n v="114"/>
    <n v="1871"/>
    <n v="189"/>
  </r>
  <r>
    <x v="1"/>
    <x v="1"/>
    <d v="2018-06-28T00:00:00"/>
    <x v="1"/>
    <n v="61"/>
    <n v="150"/>
    <n v="118"/>
    <n v="1872"/>
    <n v="224"/>
  </r>
  <r>
    <x v="1"/>
    <x v="1"/>
    <d v="2018-06-28T00:00:00"/>
    <x v="1"/>
    <n v="48"/>
    <n v="150"/>
    <n v="118"/>
    <n v="1873"/>
    <n v="225"/>
  </r>
  <r>
    <x v="1"/>
    <x v="1"/>
    <d v="2018-06-29T00:00:00"/>
    <x v="2"/>
    <n v="38"/>
    <n v="170"/>
    <n v="123"/>
    <n v="1878"/>
    <n v="136"/>
  </r>
  <r>
    <x v="1"/>
    <x v="1"/>
    <d v="2018-06-29T00:00:00"/>
    <x v="1"/>
    <n v="40"/>
    <n v="150"/>
    <n v="118"/>
    <n v="1879"/>
    <n v="145"/>
  </r>
  <r>
    <x v="1"/>
    <x v="1"/>
    <d v="2018-06-29T00:00:00"/>
    <x v="2"/>
    <n v="36"/>
    <n v="170"/>
    <n v="123"/>
    <n v="1877"/>
    <n v="124"/>
  </r>
  <r>
    <x v="1"/>
    <x v="1"/>
    <d v="2018-06-29T00:00:00"/>
    <x v="0"/>
    <n v="50"/>
    <n v="125"/>
    <n v="114"/>
    <n v="1875"/>
    <n v="230"/>
  </r>
  <r>
    <x v="1"/>
    <x v="1"/>
    <d v="2018-06-29T00:00:00"/>
    <x v="1"/>
    <n v="52"/>
    <n v="150"/>
    <n v="118"/>
    <n v="1874"/>
    <n v="190"/>
  </r>
  <r>
    <x v="1"/>
    <x v="1"/>
    <d v="2018-06-29T00:00:00"/>
    <x v="0"/>
    <n v="34"/>
    <n v="125"/>
    <n v="114"/>
    <n v="1880"/>
    <n v="117"/>
  </r>
  <r>
    <x v="1"/>
    <x v="1"/>
    <d v="2018-06-29T00:00:00"/>
    <x v="1"/>
    <n v="59"/>
    <n v="150"/>
    <n v="118"/>
    <n v="1876"/>
    <n v="216"/>
  </r>
  <r>
    <x v="1"/>
    <x v="2"/>
    <d v="2018-07-02T00:00:00"/>
    <x v="0"/>
    <n v="36"/>
    <n v="120"/>
    <n v="114"/>
    <n v="1886"/>
    <n v="169"/>
  </r>
  <r>
    <x v="1"/>
    <x v="2"/>
    <d v="2018-07-02T00:00:00"/>
    <x v="0"/>
    <n v="57"/>
    <n v="120"/>
    <n v="114"/>
    <n v="1887"/>
    <n v="209"/>
  </r>
  <r>
    <x v="1"/>
    <x v="2"/>
    <d v="2018-07-02T00:00:00"/>
    <x v="2"/>
    <n v="49"/>
    <n v="155"/>
    <n v="123"/>
    <n v="1885"/>
    <n v="177"/>
  </r>
  <r>
    <x v="1"/>
    <x v="2"/>
    <d v="2018-07-02T00:00:00"/>
    <x v="0"/>
    <n v="54"/>
    <n v="120"/>
    <n v="114"/>
    <n v="1884"/>
    <n v="192"/>
  </r>
  <r>
    <x v="1"/>
    <x v="2"/>
    <d v="2018-07-02T00:00:00"/>
    <x v="2"/>
    <n v="38"/>
    <n v="155"/>
    <n v="123"/>
    <n v="1883"/>
    <n v="175"/>
  </r>
  <r>
    <x v="1"/>
    <x v="2"/>
    <d v="2018-07-02T00:00:00"/>
    <x v="1"/>
    <n v="61"/>
    <n v="145"/>
    <n v="118"/>
    <n v="1882"/>
    <n v="282"/>
  </r>
  <r>
    <x v="1"/>
    <x v="2"/>
    <d v="2018-07-02T00:00:00"/>
    <x v="1"/>
    <n v="36"/>
    <n v="145"/>
    <n v="118"/>
    <n v="1881"/>
    <n v="124"/>
  </r>
  <r>
    <x v="1"/>
    <x v="2"/>
    <d v="2018-07-03T00:00:00"/>
    <x v="2"/>
    <n v="49"/>
    <n v="155"/>
    <n v="123"/>
    <n v="1888"/>
    <n v="178"/>
  </r>
  <r>
    <x v="1"/>
    <x v="2"/>
    <d v="2018-07-04T00:00:00"/>
    <x v="2"/>
    <n v="26"/>
    <n v="155"/>
    <n v="123"/>
    <n v="1895"/>
    <n v="120"/>
  </r>
  <r>
    <x v="1"/>
    <x v="2"/>
    <d v="2018-07-04T00:00:00"/>
    <x v="2"/>
    <n v="35"/>
    <n v="155"/>
    <n v="123"/>
    <n v="1889"/>
    <n v="122"/>
  </r>
  <r>
    <x v="1"/>
    <x v="2"/>
    <d v="2018-07-04T00:00:00"/>
    <x v="1"/>
    <n v="59"/>
    <n v="145"/>
    <n v="118"/>
    <n v="1890"/>
    <n v="206"/>
  </r>
  <r>
    <x v="1"/>
    <x v="2"/>
    <d v="2018-07-04T00:00:00"/>
    <x v="1"/>
    <n v="52"/>
    <n v="145"/>
    <n v="118"/>
    <n v="1891"/>
    <n v="243"/>
  </r>
  <r>
    <x v="1"/>
    <x v="2"/>
    <d v="2018-07-04T00:00:00"/>
    <x v="0"/>
    <n v="44"/>
    <n v="120"/>
    <n v="114"/>
    <n v="1892"/>
    <n v="165"/>
  </r>
  <r>
    <x v="1"/>
    <x v="2"/>
    <d v="2018-07-04T00:00:00"/>
    <x v="0"/>
    <n v="54"/>
    <n v="120"/>
    <n v="114"/>
    <n v="1893"/>
    <n v="249"/>
  </r>
  <r>
    <x v="1"/>
    <x v="2"/>
    <d v="2018-07-04T00:00:00"/>
    <x v="1"/>
    <n v="40"/>
    <n v="145"/>
    <n v="118"/>
    <n v="1894"/>
    <n v="140"/>
  </r>
  <r>
    <x v="1"/>
    <x v="2"/>
    <d v="2018-07-05T00:00:00"/>
    <x v="2"/>
    <n v="42"/>
    <n v="155"/>
    <n v="123"/>
    <n v="1898"/>
    <n v="195"/>
  </r>
  <r>
    <x v="1"/>
    <x v="2"/>
    <d v="2018-07-05T00:00:00"/>
    <x v="1"/>
    <n v="37"/>
    <n v="145"/>
    <n v="118"/>
    <n v="1897"/>
    <n v="128"/>
  </r>
  <r>
    <x v="1"/>
    <x v="2"/>
    <d v="2018-07-05T00:00:00"/>
    <x v="2"/>
    <n v="28"/>
    <n v="155"/>
    <n v="123"/>
    <n v="1896"/>
    <n v="132"/>
  </r>
  <r>
    <x v="1"/>
    <x v="2"/>
    <d v="2018-07-06T00:00:00"/>
    <x v="0"/>
    <n v="33"/>
    <n v="120"/>
    <n v="114"/>
    <n v="1899"/>
    <n v="119"/>
  </r>
  <r>
    <x v="1"/>
    <x v="2"/>
    <d v="2018-07-09T00:00:00"/>
    <x v="2"/>
    <n v="27"/>
    <n v="155"/>
    <n v="123"/>
    <n v="1905"/>
    <n v="99"/>
  </r>
  <r>
    <x v="1"/>
    <x v="2"/>
    <d v="2018-07-09T00:00:00"/>
    <x v="1"/>
    <n v="58"/>
    <n v="145"/>
    <n v="118"/>
    <n v="1900"/>
    <n v="208"/>
  </r>
  <r>
    <x v="1"/>
    <x v="2"/>
    <d v="2018-07-09T00:00:00"/>
    <x v="2"/>
    <n v="48"/>
    <n v="155"/>
    <n v="123"/>
    <n v="1901"/>
    <n v="170"/>
  </r>
  <r>
    <x v="1"/>
    <x v="2"/>
    <d v="2018-07-09T00:00:00"/>
    <x v="1"/>
    <n v="55"/>
    <n v="145"/>
    <n v="118"/>
    <n v="1902"/>
    <n v="257"/>
  </r>
  <r>
    <x v="1"/>
    <x v="2"/>
    <d v="2018-07-09T00:00:00"/>
    <x v="1"/>
    <n v="39"/>
    <n v="145"/>
    <n v="118"/>
    <n v="1903"/>
    <n v="135"/>
  </r>
  <r>
    <x v="1"/>
    <x v="2"/>
    <d v="2018-07-09T00:00:00"/>
    <x v="0"/>
    <n v="44"/>
    <n v="120"/>
    <n v="114"/>
    <n v="1904"/>
    <n v="163"/>
  </r>
  <r>
    <x v="1"/>
    <x v="2"/>
    <d v="2018-07-10T00:00:00"/>
    <x v="0"/>
    <n v="46"/>
    <n v="120"/>
    <n v="114"/>
    <n v="1912"/>
    <n v="175"/>
  </r>
  <r>
    <x v="1"/>
    <x v="2"/>
    <d v="2018-07-10T00:00:00"/>
    <x v="2"/>
    <n v="27"/>
    <n v="155"/>
    <n v="123"/>
    <n v="1911"/>
    <n v="94"/>
  </r>
  <r>
    <x v="1"/>
    <x v="2"/>
    <d v="2018-07-10T00:00:00"/>
    <x v="0"/>
    <n v="31"/>
    <n v="120"/>
    <n v="114"/>
    <n v="1910"/>
    <n v="111"/>
  </r>
  <r>
    <x v="1"/>
    <x v="2"/>
    <d v="2018-07-10T00:00:00"/>
    <x v="0"/>
    <n v="51"/>
    <n v="120"/>
    <n v="114"/>
    <n v="1909"/>
    <n v="190"/>
  </r>
  <r>
    <x v="1"/>
    <x v="2"/>
    <d v="2018-07-10T00:00:00"/>
    <x v="2"/>
    <n v="51"/>
    <n v="155"/>
    <n v="123"/>
    <n v="1908"/>
    <n v="188"/>
  </r>
  <r>
    <x v="1"/>
    <x v="2"/>
    <d v="2018-07-10T00:00:00"/>
    <x v="1"/>
    <n v="50"/>
    <n v="145"/>
    <n v="118"/>
    <n v="1906"/>
    <n v="178"/>
  </r>
  <r>
    <x v="1"/>
    <x v="2"/>
    <d v="2018-07-10T00:00:00"/>
    <x v="2"/>
    <n v="32"/>
    <n v="155"/>
    <n v="123"/>
    <n v="1907"/>
    <n v="116"/>
  </r>
  <r>
    <x v="1"/>
    <x v="2"/>
    <d v="2018-07-11T00:00:00"/>
    <x v="1"/>
    <n v="60"/>
    <n v="145"/>
    <n v="118"/>
    <n v="1914"/>
    <n v="221"/>
  </r>
  <r>
    <x v="1"/>
    <x v="2"/>
    <d v="2018-07-11T00:00:00"/>
    <x v="2"/>
    <n v="30"/>
    <n v="155"/>
    <n v="123"/>
    <n v="1918"/>
    <n v="106"/>
  </r>
  <r>
    <x v="1"/>
    <x v="2"/>
    <d v="2018-07-11T00:00:00"/>
    <x v="1"/>
    <n v="56"/>
    <n v="145"/>
    <n v="118"/>
    <n v="1917"/>
    <n v="195"/>
  </r>
  <r>
    <x v="1"/>
    <x v="2"/>
    <d v="2018-07-11T00:00:00"/>
    <x v="0"/>
    <n v="42"/>
    <n v="120"/>
    <n v="114"/>
    <n v="1916"/>
    <n v="153"/>
  </r>
  <r>
    <x v="1"/>
    <x v="2"/>
    <d v="2018-07-11T00:00:00"/>
    <x v="0"/>
    <n v="48"/>
    <n v="120"/>
    <n v="114"/>
    <n v="1913"/>
    <n v="170"/>
  </r>
  <r>
    <x v="1"/>
    <x v="2"/>
    <d v="2018-07-11T00:00:00"/>
    <x v="2"/>
    <n v="47"/>
    <n v="155"/>
    <n v="123"/>
    <n v="1915"/>
    <n v="178"/>
  </r>
  <r>
    <x v="1"/>
    <x v="2"/>
    <d v="2018-07-12T00:00:00"/>
    <x v="1"/>
    <n v="38"/>
    <n v="145"/>
    <n v="118"/>
    <n v="1924"/>
    <n v="146"/>
  </r>
  <r>
    <x v="1"/>
    <x v="2"/>
    <d v="2018-07-12T00:00:00"/>
    <x v="1"/>
    <n v="48"/>
    <n v="145"/>
    <n v="118"/>
    <n v="1925"/>
    <n v="224"/>
  </r>
  <r>
    <x v="1"/>
    <x v="2"/>
    <d v="2018-07-12T00:00:00"/>
    <x v="1"/>
    <n v="50"/>
    <n v="145"/>
    <n v="118"/>
    <n v="1923"/>
    <n v="182"/>
  </r>
  <r>
    <x v="1"/>
    <x v="2"/>
    <d v="2018-07-12T00:00:00"/>
    <x v="0"/>
    <n v="33"/>
    <n v="120"/>
    <n v="114"/>
    <n v="1922"/>
    <n v="119"/>
  </r>
  <r>
    <x v="1"/>
    <x v="2"/>
    <d v="2018-07-12T00:00:00"/>
    <x v="2"/>
    <n v="45"/>
    <n v="155"/>
    <n v="123"/>
    <n v="1921"/>
    <n v="161"/>
  </r>
  <r>
    <x v="1"/>
    <x v="2"/>
    <d v="2018-07-12T00:00:00"/>
    <x v="1"/>
    <n v="51"/>
    <n v="145"/>
    <n v="118"/>
    <n v="1920"/>
    <n v="187"/>
  </r>
  <r>
    <x v="1"/>
    <x v="2"/>
    <d v="2018-07-12T00:00:00"/>
    <x v="0"/>
    <n v="50"/>
    <n v="120"/>
    <n v="114"/>
    <n v="1919"/>
    <n v="182"/>
  </r>
  <r>
    <x v="1"/>
    <x v="2"/>
    <d v="2018-07-12T00:00:00"/>
    <x v="0"/>
    <n v="46"/>
    <n v="120"/>
    <n v="114"/>
    <n v="1926"/>
    <n v="166"/>
  </r>
  <r>
    <x v="1"/>
    <x v="2"/>
    <d v="2018-07-13T00:00:00"/>
    <x v="2"/>
    <n v="27"/>
    <n v="155"/>
    <n v="123"/>
    <n v="1927"/>
    <n v="93"/>
  </r>
  <r>
    <x v="1"/>
    <x v="2"/>
    <d v="2018-07-13T00:00:00"/>
    <x v="0"/>
    <n v="51"/>
    <n v="120"/>
    <n v="114"/>
    <n v="1928"/>
    <n v="177"/>
  </r>
  <r>
    <x v="1"/>
    <x v="2"/>
    <d v="2018-07-13T00:00:00"/>
    <x v="1"/>
    <n v="39"/>
    <n v="145"/>
    <n v="118"/>
    <n v="1929"/>
    <n v="144"/>
  </r>
  <r>
    <x v="1"/>
    <x v="2"/>
    <d v="2018-07-13T00:00:00"/>
    <x v="1"/>
    <n v="47"/>
    <n v="145"/>
    <n v="118"/>
    <n v="1930"/>
    <n v="171"/>
  </r>
  <r>
    <x v="1"/>
    <x v="2"/>
    <d v="2018-07-16T00:00:00"/>
    <x v="2"/>
    <n v="38"/>
    <n v="155"/>
    <n v="123"/>
    <n v="1932"/>
    <n v="134"/>
  </r>
  <r>
    <x v="1"/>
    <x v="2"/>
    <d v="2018-07-16T00:00:00"/>
    <x v="0"/>
    <n v="33"/>
    <n v="120"/>
    <n v="114"/>
    <n v="1936"/>
    <n v="119"/>
  </r>
  <r>
    <x v="1"/>
    <x v="2"/>
    <d v="2018-07-16T00:00:00"/>
    <x v="2"/>
    <n v="50"/>
    <n v="155"/>
    <n v="123"/>
    <n v="1935"/>
    <n v="172"/>
  </r>
  <r>
    <x v="1"/>
    <x v="2"/>
    <d v="2018-07-16T00:00:00"/>
    <x v="2"/>
    <n v="39"/>
    <n v="155"/>
    <n v="123"/>
    <n v="1934"/>
    <n v="181"/>
  </r>
  <r>
    <x v="1"/>
    <x v="2"/>
    <d v="2018-07-16T00:00:00"/>
    <x v="1"/>
    <n v="50"/>
    <n v="145"/>
    <n v="118"/>
    <n v="1931"/>
    <n v="179"/>
  </r>
  <r>
    <x v="1"/>
    <x v="2"/>
    <d v="2018-07-16T00:00:00"/>
    <x v="1"/>
    <n v="40"/>
    <n v="145"/>
    <n v="118"/>
    <n v="1933"/>
    <n v="142"/>
  </r>
  <r>
    <x v="1"/>
    <x v="2"/>
    <d v="2018-07-17T00:00:00"/>
    <x v="2"/>
    <n v="34"/>
    <n v="155"/>
    <n v="123"/>
    <n v="1937"/>
    <n v="122"/>
  </r>
  <r>
    <x v="1"/>
    <x v="2"/>
    <d v="2018-07-17T00:00:00"/>
    <x v="0"/>
    <n v="33"/>
    <n v="120"/>
    <n v="114"/>
    <n v="1938"/>
    <n v="119"/>
  </r>
  <r>
    <x v="1"/>
    <x v="2"/>
    <d v="2018-07-18T00:00:00"/>
    <x v="2"/>
    <n v="50"/>
    <n v="155"/>
    <n v="123"/>
    <n v="1943"/>
    <n v="182"/>
  </r>
  <r>
    <x v="1"/>
    <x v="2"/>
    <d v="2018-07-18T00:00:00"/>
    <x v="2"/>
    <n v="35"/>
    <n v="155"/>
    <n v="123"/>
    <n v="1944"/>
    <n v="126"/>
  </r>
  <r>
    <x v="1"/>
    <x v="2"/>
    <d v="2018-07-18T00:00:00"/>
    <x v="0"/>
    <n v="34"/>
    <n v="120"/>
    <n v="114"/>
    <n v="1942"/>
    <n v="125"/>
  </r>
  <r>
    <x v="1"/>
    <x v="2"/>
    <d v="2018-07-18T00:00:00"/>
    <x v="0"/>
    <n v="48"/>
    <n v="120"/>
    <n v="114"/>
    <n v="1941"/>
    <n v="174"/>
  </r>
  <r>
    <x v="1"/>
    <x v="2"/>
    <d v="2018-07-18T00:00:00"/>
    <x v="1"/>
    <n v="59"/>
    <n v="145"/>
    <n v="118"/>
    <n v="1940"/>
    <n v="271"/>
  </r>
  <r>
    <x v="1"/>
    <x v="2"/>
    <d v="2018-07-18T00:00:00"/>
    <x v="2"/>
    <n v="48"/>
    <n v="155"/>
    <n v="123"/>
    <n v="1939"/>
    <n v="174"/>
  </r>
  <r>
    <x v="1"/>
    <x v="2"/>
    <d v="2018-07-18T00:00:00"/>
    <x v="2"/>
    <n v="38"/>
    <n v="155"/>
    <n v="123"/>
    <n v="1945"/>
    <n v="137"/>
  </r>
  <r>
    <x v="1"/>
    <x v="2"/>
    <d v="2018-07-19T00:00:00"/>
    <x v="0"/>
    <n v="42"/>
    <n v="120"/>
    <n v="114"/>
    <n v="1946"/>
    <n v="155"/>
  </r>
  <r>
    <x v="1"/>
    <x v="2"/>
    <d v="2018-07-19T00:00:00"/>
    <x v="1"/>
    <n v="44"/>
    <n v="145"/>
    <n v="118"/>
    <n v="1947"/>
    <n v="158"/>
  </r>
  <r>
    <x v="1"/>
    <x v="2"/>
    <d v="2018-07-19T00:00:00"/>
    <x v="1"/>
    <n v="42"/>
    <n v="145"/>
    <n v="118"/>
    <n v="1948"/>
    <n v="153"/>
  </r>
  <r>
    <x v="1"/>
    <x v="2"/>
    <d v="2018-07-19T00:00:00"/>
    <x v="2"/>
    <n v="48"/>
    <n v="155"/>
    <n v="123"/>
    <n v="1949"/>
    <n v="165"/>
  </r>
  <r>
    <x v="1"/>
    <x v="2"/>
    <d v="2018-07-20T00:00:00"/>
    <x v="0"/>
    <n v="41"/>
    <n v="120"/>
    <n v="114"/>
    <n v="1950"/>
    <n v="144"/>
  </r>
  <r>
    <x v="1"/>
    <x v="2"/>
    <d v="2018-07-20T00:00:00"/>
    <x v="2"/>
    <n v="31"/>
    <n v="155"/>
    <n v="123"/>
    <n v="1954"/>
    <n v="111"/>
  </r>
  <r>
    <x v="1"/>
    <x v="2"/>
    <d v="2018-07-20T00:00:00"/>
    <x v="2"/>
    <n v="46"/>
    <n v="155"/>
    <n v="123"/>
    <n v="1955"/>
    <n v="169"/>
  </r>
  <r>
    <x v="1"/>
    <x v="2"/>
    <d v="2018-07-20T00:00:00"/>
    <x v="1"/>
    <n v="59"/>
    <n v="145"/>
    <n v="118"/>
    <n v="1956"/>
    <n v="272"/>
  </r>
  <r>
    <x v="1"/>
    <x v="2"/>
    <d v="2018-07-20T00:00:00"/>
    <x v="0"/>
    <n v="39"/>
    <n v="120"/>
    <n v="114"/>
    <n v="1953"/>
    <n v="135"/>
  </r>
  <r>
    <x v="1"/>
    <x v="2"/>
    <d v="2018-07-20T00:00:00"/>
    <x v="1"/>
    <n v="60"/>
    <n v="145"/>
    <n v="118"/>
    <n v="1951"/>
    <n v="212"/>
  </r>
  <r>
    <x v="1"/>
    <x v="2"/>
    <d v="2018-07-20T00:00:00"/>
    <x v="1"/>
    <n v="48"/>
    <n v="145"/>
    <n v="118"/>
    <n v="1952"/>
    <n v="170"/>
  </r>
  <r>
    <x v="1"/>
    <x v="2"/>
    <d v="2018-07-23T00:00:00"/>
    <x v="0"/>
    <n v="36"/>
    <n v="120"/>
    <n v="114"/>
    <n v="1957"/>
    <n v="129"/>
  </r>
  <r>
    <x v="1"/>
    <x v="2"/>
    <d v="2018-07-24T00:00:00"/>
    <x v="0"/>
    <n v="50"/>
    <n v="120"/>
    <n v="114"/>
    <n v="1958"/>
    <n v="182"/>
  </r>
  <r>
    <x v="1"/>
    <x v="2"/>
    <d v="2018-07-24T00:00:00"/>
    <x v="2"/>
    <n v="34"/>
    <n v="155"/>
    <n v="123"/>
    <n v="1959"/>
    <n v="122"/>
  </r>
  <r>
    <x v="1"/>
    <x v="2"/>
    <d v="2018-07-24T00:00:00"/>
    <x v="2"/>
    <n v="34"/>
    <n v="155"/>
    <n v="123"/>
    <n v="1960"/>
    <n v="119"/>
  </r>
  <r>
    <x v="1"/>
    <x v="2"/>
    <d v="2018-07-24T00:00:00"/>
    <x v="0"/>
    <n v="37"/>
    <n v="120"/>
    <n v="114"/>
    <n v="1961"/>
    <n v="171"/>
  </r>
  <r>
    <x v="1"/>
    <x v="2"/>
    <d v="2018-07-24T00:00:00"/>
    <x v="1"/>
    <n v="51"/>
    <n v="145"/>
    <n v="118"/>
    <n v="1962"/>
    <n v="184"/>
  </r>
  <r>
    <x v="1"/>
    <x v="2"/>
    <d v="2018-07-24T00:00:00"/>
    <x v="0"/>
    <n v="48"/>
    <n v="120"/>
    <n v="114"/>
    <n v="1963"/>
    <n v="181"/>
  </r>
  <r>
    <x v="1"/>
    <x v="2"/>
    <d v="2018-07-24T00:00:00"/>
    <x v="2"/>
    <n v="50"/>
    <n v="155"/>
    <n v="123"/>
    <n v="1964"/>
    <n v="173"/>
  </r>
  <r>
    <x v="1"/>
    <x v="2"/>
    <d v="2018-07-25T00:00:00"/>
    <x v="0"/>
    <n v="55"/>
    <n v="120"/>
    <n v="114"/>
    <n v="1968"/>
    <n v="257"/>
  </r>
  <r>
    <x v="1"/>
    <x v="2"/>
    <d v="2018-07-25T00:00:00"/>
    <x v="1"/>
    <n v="40"/>
    <n v="145"/>
    <n v="118"/>
    <n v="1971"/>
    <n v="185"/>
  </r>
  <r>
    <x v="1"/>
    <x v="2"/>
    <d v="2018-07-25T00:00:00"/>
    <x v="2"/>
    <n v="34"/>
    <n v="155"/>
    <n v="123"/>
    <n v="1972"/>
    <n v="119"/>
  </r>
  <r>
    <x v="1"/>
    <x v="2"/>
    <d v="2018-07-25T00:00:00"/>
    <x v="0"/>
    <n v="45"/>
    <n v="120"/>
    <n v="114"/>
    <n v="1969"/>
    <n v="164"/>
  </r>
  <r>
    <x v="1"/>
    <x v="2"/>
    <d v="2018-07-25T00:00:00"/>
    <x v="1"/>
    <n v="55"/>
    <n v="145"/>
    <n v="118"/>
    <n v="1966"/>
    <n v="187"/>
  </r>
  <r>
    <x v="1"/>
    <x v="2"/>
    <d v="2018-07-25T00:00:00"/>
    <x v="0"/>
    <n v="50"/>
    <n v="120"/>
    <n v="114"/>
    <n v="1965"/>
    <n v="181"/>
  </r>
  <r>
    <x v="1"/>
    <x v="2"/>
    <d v="2018-07-25T00:00:00"/>
    <x v="2"/>
    <n v="43"/>
    <n v="155"/>
    <n v="123"/>
    <n v="1970"/>
    <n v="198"/>
  </r>
  <r>
    <x v="1"/>
    <x v="2"/>
    <d v="2018-07-25T00:00:00"/>
    <x v="2"/>
    <n v="38"/>
    <n v="155"/>
    <n v="123"/>
    <n v="1967"/>
    <n v="175"/>
  </r>
  <r>
    <x v="1"/>
    <x v="2"/>
    <d v="2018-07-26T00:00:00"/>
    <x v="2"/>
    <n v="33"/>
    <n v="155"/>
    <n v="123"/>
    <n v="1973"/>
    <n v="115"/>
  </r>
  <r>
    <x v="1"/>
    <x v="2"/>
    <d v="2018-07-26T00:00:00"/>
    <x v="0"/>
    <n v="31"/>
    <n v="120"/>
    <n v="114"/>
    <n v="1974"/>
    <n v="110"/>
  </r>
  <r>
    <x v="1"/>
    <x v="2"/>
    <d v="2018-07-26T00:00:00"/>
    <x v="0"/>
    <n v="52"/>
    <n v="120"/>
    <n v="114"/>
    <n v="1975"/>
    <n v="180"/>
  </r>
  <r>
    <x v="1"/>
    <x v="2"/>
    <d v="2018-07-26T00:00:00"/>
    <x v="1"/>
    <n v="53"/>
    <n v="145"/>
    <n v="118"/>
    <n v="1976"/>
    <n v="186"/>
  </r>
  <r>
    <x v="1"/>
    <x v="2"/>
    <d v="2018-07-26T00:00:00"/>
    <x v="2"/>
    <n v="47"/>
    <n v="155"/>
    <n v="123"/>
    <n v="1977"/>
    <n v="168"/>
  </r>
  <r>
    <x v="1"/>
    <x v="2"/>
    <d v="2018-07-27T00:00:00"/>
    <x v="0"/>
    <n v="40"/>
    <n v="120"/>
    <n v="114"/>
    <n v="1978"/>
    <n v="143"/>
  </r>
  <r>
    <x v="1"/>
    <x v="2"/>
    <d v="2018-07-27T00:00:00"/>
    <x v="0"/>
    <n v="41"/>
    <n v="120"/>
    <n v="114"/>
    <n v="1979"/>
    <n v="144"/>
  </r>
  <r>
    <x v="1"/>
    <x v="2"/>
    <d v="2018-07-30T00:00:00"/>
    <x v="0"/>
    <n v="49"/>
    <n v="120"/>
    <n v="114"/>
    <n v="1985"/>
    <n v="173"/>
  </r>
  <r>
    <x v="1"/>
    <x v="2"/>
    <d v="2018-07-30T00:00:00"/>
    <x v="1"/>
    <n v="55"/>
    <n v="145"/>
    <n v="118"/>
    <n v="1986"/>
    <n v="190"/>
  </r>
  <r>
    <x v="1"/>
    <x v="2"/>
    <d v="2018-07-30T00:00:00"/>
    <x v="0"/>
    <n v="34"/>
    <n v="120"/>
    <n v="114"/>
    <n v="1984"/>
    <n v="124"/>
  </r>
  <r>
    <x v="1"/>
    <x v="2"/>
    <d v="2018-07-30T00:00:00"/>
    <x v="2"/>
    <n v="33"/>
    <n v="155"/>
    <n v="123"/>
    <n v="1982"/>
    <n v="122"/>
  </r>
  <r>
    <x v="1"/>
    <x v="2"/>
    <d v="2018-07-30T00:00:00"/>
    <x v="2"/>
    <n v="49"/>
    <n v="155"/>
    <n v="123"/>
    <n v="1987"/>
    <n v="177"/>
  </r>
  <r>
    <x v="1"/>
    <x v="2"/>
    <d v="2018-07-30T00:00:00"/>
    <x v="0"/>
    <n v="32"/>
    <n v="120"/>
    <n v="114"/>
    <n v="1981"/>
    <n v="113"/>
  </r>
  <r>
    <x v="1"/>
    <x v="2"/>
    <d v="2018-07-30T00:00:00"/>
    <x v="2"/>
    <n v="32"/>
    <n v="155"/>
    <n v="123"/>
    <n v="1980"/>
    <n v="150"/>
  </r>
  <r>
    <x v="1"/>
    <x v="2"/>
    <d v="2018-07-30T00:00:00"/>
    <x v="2"/>
    <n v="45"/>
    <n v="155"/>
    <n v="123"/>
    <n v="1983"/>
    <n v="160"/>
  </r>
  <r>
    <x v="1"/>
    <x v="2"/>
    <d v="2018-07-31T00:00:00"/>
    <x v="1"/>
    <n v="58"/>
    <n v="145"/>
    <n v="118"/>
    <n v="1992"/>
    <n v="207"/>
  </r>
  <r>
    <x v="1"/>
    <x v="2"/>
    <d v="2018-07-31T00:00:00"/>
    <x v="2"/>
    <n v="39"/>
    <n v="155"/>
    <n v="123"/>
    <n v="1993"/>
    <n v="147"/>
  </r>
  <r>
    <x v="1"/>
    <x v="2"/>
    <d v="2018-07-31T00:00:00"/>
    <x v="0"/>
    <n v="55"/>
    <n v="120"/>
    <n v="114"/>
    <n v="1991"/>
    <n v="200"/>
  </r>
  <r>
    <x v="1"/>
    <x v="2"/>
    <d v="2018-07-31T00:00:00"/>
    <x v="1"/>
    <n v="38"/>
    <n v="145"/>
    <n v="118"/>
    <n v="1990"/>
    <n v="135"/>
  </r>
  <r>
    <x v="1"/>
    <x v="2"/>
    <d v="2018-07-31T00:00:00"/>
    <x v="0"/>
    <n v="51"/>
    <n v="120"/>
    <n v="114"/>
    <n v="1989"/>
    <n v="184"/>
  </r>
  <r>
    <x v="1"/>
    <x v="2"/>
    <d v="2018-07-31T00:00:00"/>
    <x v="0"/>
    <n v="37"/>
    <n v="120"/>
    <n v="114"/>
    <n v="1988"/>
    <n v="128"/>
  </r>
  <r>
    <x v="1"/>
    <x v="2"/>
    <d v="2018-07-31T00:00:00"/>
    <x v="0"/>
    <n v="55"/>
    <n v="120"/>
    <n v="114"/>
    <n v="1994"/>
    <n v="195"/>
  </r>
  <r>
    <x v="1"/>
    <x v="2"/>
    <d v="2018-08-01T00:00:00"/>
    <x v="1"/>
    <n v="57"/>
    <n v="145"/>
    <n v="118"/>
    <n v="1995"/>
    <n v="208"/>
  </r>
  <r>
    <x v="1"/>
    <x v="2"/>
    <d v="2018-08-01T00:00:00"/>
    <x v="1"/>
    <n v="62"/>
    <n v="145"/>
    <n v="118"/>
    <n v="1996"/>
    <n v="213"/>
  </r>
  <r>
    <x v="1"/>
    <x v="2"/>
    <d v="2018-08-01T00:00:00"/>
    <x v="1"/>
    <n v="42"/>
    <n v="145"/>
    <n v="118"/>
    <n v="1997"/>
    <n v="153"/>
  </r>
  <r>
    <x v="1"/>
    <x v="2"/>
    <d v="2018-08-02T00:00:00"/>
    <x v="2"/>
    <n v="48"/>
    <n v="155"/>
    <n v="123"/>
    <n v="1998"/>
    <n v="167"/>
  </r>
  <r>
    <x v="1"/>
    <x v="2"/>
    <d v="2018-08-02T00:00:00"/>
    <x v="0"/>
    <n v="34"/>
    <n v="120"/>
    <n v="114"/>
    <n v="1999"/>
    <n v="121"/>
  </r>
  <r>
    <x v="1"/>
    <x v="2"/>
    <d v="2018-08-02T00:00:00"/>
    <x v="0"/>
    <n v="46"/>
    <n v="120"/>
    <n v="114"/>
    <n v="2000"/>
    <n v="164"/>
  </r>
  <r>
    <x v="1"/>
    <x v="2"/>
    <d v="2018-08-03T00:00:00"/>
    <x v="2"/>
    <n v="51"/>
    <n v="155"/>
    <n v="123"/>
    <n v="2004"/>
    <n v="184"/>
  </r>
  <r>
    <x v="1"/>
    <x v="2"/>
    <d v="2018-08-03T00:00:00"/>
    <x v="0"/>
    <n v="45"/>
    <n v="120"/>
    <n v="114"/>
    <n v="2005"/>
    <n v="158"/>
  </r>
  <r>
    <x v="1"/>
    <x v="2"/>
    <d v="2018-08-03T00:00:00"/>
    <x v="0"/>
    <n v="42"/>
    <n v="120"/>
    <n v="114"/>
    <n v="2002"/>
    <n v="149"/>
  </r>
  <r>
    <x v="1"/>
    <x v="2"/>
    <d v="2018-08-03T00:00:00"/>
    <x v="1"/>
    <n v="38"/>
    <n v="145"/>
    <n v="118"/>
    <n v="2001"/>
    <n v="139"/>
  </r>
  <r>
    <x v="1"/>
    <x v="2"/>
    <d v="2018-08-03T00:00:00"/>
    <x v="0"/>
    <n v="32"/>
    <n v="120"/>
    <n v="114"/>
    <n v="2006"/>
    <n v="114"/>
  </r>
  <r>
    <x v="1"/>
    <x v="2"/>
    <d v="2018-08-03T00:00:00"/>
    <x v="0"/>
    <n v="36"/>
    <n v="120"/>
    <n v="114"/>
    <n v="2003"/>
    <n v="166"/>
  </r>
  <r>
    <x v="1"/>
    <x v="2"/>
    <d v="2018-08-06T00:00:00"/>
    <x v="0"/>
    <n v="52"/>
    <n v="120"/>
    <n v="114"/>
    <n v="2010"/>
    <n v="191"/>
  </r>
  <r>
    <x v="1"/>
    <x v="2"/>
    <d v="2018-08-06T00:00:00"/>
    <x v="1"/>
    <n v="46"/>
    <n v="145"/>
    <n v="118"/>
    <n v="2011"/>
    <n v="162"/>
  </r>
  <r>
    <x v="1"/>
    <x v="2"/>
    <d v="2018-08-06T00:00:00"/>
    <x v="2"/>
    <n v="46"/>
    <n v="155"/>
    <n v="123"/>
    <n v="2009"/>
    <n v="160"/>
  </r>
  <r>
    <x v="1"/>
    <x v="2"/>
    <d v="2018-08-06T00:00:00"/>
    <x v="1"/>
    <n v="61"/>
    <n v="145"/>
    <n v="118"/>
    <n v="2008"/>
    <n v="286"/>
  </r>
  <r>
    <x v="1"/>
    <x v="2"/>
    <d v="2018-08-06T00:00:00"/>
    <x v="2"/>
    <n v="27"/>
    <n v="155"/>
    <n v="123"/>
    <n v="2007"/>
    <n v="99"/>
  </r>
  <r>
    <x v="1"/>
    <x v="2"/>
    <d v="2018-08-07T00:00:00"/>
    <x v="1"/>
    <n v="44"/>
    <n v="145"/>
    <n v="118"/>
    <n v="2013"/>
    <n v="153"/>
  </r>
  <r>
    <x v="1"/>
    <x v="2"/>
    <d v="2018-08-07T00:00:00"/>
    <x v="2"/>
    <n v="30"/>
    <n v="155"/>
    <n v="123"/>
    <n v="2014"/>
    <n v="110"/>
  </r>
  <r>
    <x v="1"/>
    <x v="2"/>
    <d v="2018-08-07T00:00:00"/>
    <x v="2"/>
    <n v="29"/>
    <n v="155"/>
    <n v="123"/>
    <n v="2015"/>
    <n v="105"/>
  </r>
  <r>
    <x v="1"/>
    <x v="2"/>
    <d v="2018-08-07T00:00:00"/>
    <x v="1"/>
    <n v="58"/>
    <n v="145"/>
    <n v="118"/>
    <n v="2016"/>
    <n v="200"/>
  </r>
  <r>
    <x v="1"/>
    <x v="2"/>
    <d v="2018-08-07T00:00:00"/>
    <x v="1"/>
    <n v="61"/>
    <n v="145"/>
    <n v="118"/>
    <n v="2012"/>
    <n v="222"/>
  </r>
  <r>
    <x v="1"/>
    <x v="2"/>
    <d v="2018-08-08T00:00:00"/>
    <x v="2"/>
    <n v="49"/>
    <n v="155"/>
    <n v="123"/>
    <n v="2021"/>
    <n v="171"/>
  </r>
  <r>
    <x v="1"/>
    <x v="2"/>
    <d v="2018-08-08T00:00:00"/>
    <x v="1"/>
    <n v="46"/>
    <n v="145"/>
    <n v="118"/>
    <n v="2020"/>
    <n v="163"/>
  </r>
  <r>
    <x v="1"/>
    <x v="2"/>
    <d v="2018-08-08T00:00:00"/>
    <x v="2"/>
    <n v="51"/>
    <n v="155"/>
    <n v="123"/>
    <n v="2022"/>
    <n v="184"/>
  </r>
  <r>
    <x v="1"/>
    <x v="2"/>
    <d v="2018-08-08T00:00:00"/>
    <x v="2"/>
    <n v="28"/>
    <n v="155"/>
    <n v="123"/>
    <n v="2018"/>
    <n v="132"/>
  </r>
  <r>
    <x v="1"/>
    <x v="2"/>
    <d v="2018-08-08T00:00:00"/>
    <x v="2"/>
    <n v="39"/>
    <n v="155"/>
    <n v="123"/>
    <n v="2017"/>
    <n v="139"/>
  </r>
  <r>
    <x v="1"/>
    <x v="2"/>
    <d v="2018-08-08T00:00:00"/>
    <x v="1"/>
    <n v="45"/>
    <n v="145"/>
    <n v="118"/>
    <n v="2019"/>
    <n v="164"/>
  </r>
  <r>
    <x v="1"/>
    <x v="2"/>
    <d v="2018-08-09T00:00:00"/>
    <x v="2"/>
    <n v="37"/>
    <n v="155"/>
    <n v="123"/>
    <n v="2024"/>
    <n v="171"/>
  </r>
  <r>
    <x v="1"/>
    <x v="2"/>
    <d v="2018-08-09T00:00:00"/>
    <x v="2"/>
    <n v="33"/>
    <n v="155"/>
    <n v="123"/>
    <n v="2025"/>
    <n v="119"/>
  </r>
  <r>
    <x v="1"/>
    <x v="2"/>
    <d v="2018-08-09T00:00:00"/>
    <x v="2"/>
    <n v="31"/>
    <n v="155"/>
    <n v="123"/>
    <n v="2026"/>
    <n v="113"/>
  </r>
  <r>
    <x v="1"/>
    <x v="2"/>
    <d v="2018-08-09T00:00:00"/>
    <x v="0"/>
    <n v="44"/>
    <n v="120"/>
    <n v="114"/>
    <n v="2027"/>
    <n v="151"/>
  </r>
  <r>
    <x v="1"/>
    <x v="2"/>
    <d v="2018-08-09T00:00:00"/>
    <x v="0"/>
    <n v="45"/>
    <n v="120"/>
    <n v="114"/>
    <n v="2028"/>
    <n v="160"/>
  </r>
  <r>
    <x v="1"/>
    <x v="2"/>
    <d v="2018-08-09T00:00:00"/>
    <x v="2"/>
    <n v="51"/>
    <n v="155"/>
    <n v="123"/>
    <n v="2029"/>
    <n v="184"/>
  </r>
  <r>
    <x v="1"/>
    <x v="2"/>
    <d v="2018-08-09T00:00:00"/>
    <x v="0"/>
    <n v="36"/>
    <n v="120"/>
    <n v="114"/>
    <n v="2023"/>
    <n v="166"/>
  </r>
  <r>
    <x v="1"/>
    <x v="2"/>
    <d v="2018-08-10T00:00:00"/>
    <x v="2"/>
    <n v="32"/>
    <n v="155"/>
    <n v="123"/>
    <n v="2030"/>
    <n v="116"/>
  </r>
  <r>
    <x v="1"/>
    <x v="2"/>
    <d v="2018-08-10T00:00:00"/>
    <x v="1"/>
    <n v="47"/>
    <n v="145"/>
    <n v="118"/>
    <n v="2037"/>
    <n v="163"/>
  </r>
  <r>
    <x v="1"/>
    <x v="2"/>
    <d v="2018-08-10T00:00:00"/>
    <x v="2"/>
    <n v="26"/>
    <n v="155"/>
    <n v="123"/>
    <n v="2036"/>
    <n v="91"/>
  </r>
  <r>
    <x v="1"/>
    <x v="2"/>
    <d v="2018-08-10T00:00:00"/>
    <x v="1"/>
    <n v="48"/>
    <n v="145"/>
    <n v="118"/>
    <n v="2035"/>
    <n v="166"/>
  </r>
  <r>
    <x v="1"/>
    <x v="2"/>
    <d v="2018-08-10T00:00:00"/>
    <x v="2"/>
    <n v="45"/>
    <n v="155"/>
    <n v="123"/>
    <n v="2034"/>
    <n v="163"/>
  </r>
  <r>
    <x v="1"/>
    <x v="2"/>
    <d v="2018-08-10T00:00:00"/>
    <x v="0"/>
    <n v="31"/>
    <n v="120"/>
    <n v="114"/>
    <n v="2033"/>
    <n v="113"/>
  </r>
  <r>
    <x v="1"/>
    <x v="2"/>
    <d v="2018-08-10T00:00:00"/>
    <x v="1"/>
    <n v="45"/>
    <n v="145"/>
    <n v="118"/>
    <n v="2031"/>
    <n v="166"/>
  </r>
  <r>
    <x v="1"/>
    <x v="2"/>
    <d v="2018-08-10T00:00:00"/>
    <x v="0"/>
    <n v="41"/>
    <n v="120"/>
    <n v="114"/>
    <n v="2032"/>
    <n v="142"/>
  </r>
  <r>
    <x v="1"/>
    <x v="2"/>
    <d v="2018-08-13T00:00:00"/>
    <x v="2"/>
    <n v="37"/>
    <n v="155"/>
    <n v="123"/>
    <n v="2040"/>
    <n v="128"/>
  </r>
  <r>
    <x v="1"/>
    <x v="2"/>
    <d v="2018-08-13T00:00:00"/>
    <x v="0"/>
    <n v="34"/>
    <n v="120"/>
    <n v="114"/>
    <n v="2044"/>
    <n v="121"/>
  </r>
  <r>
    <x v="1"/>
    <x v="2"/>
    <d v="2018-08-13T00:00:00"/>
    <x v="1"/>
    <n v="42"/>
    <n v="145"/>
    <n v="118"/>
    <n v="2043"/>
    <n v="158"/>
  </r>
  <r>
    <x v="1"/>
    <x v="2"/>
    <d v="2018-08-13T00:00:00"/>
    <x v="0"/>
    <n v="55"/>
    <n v="120"/>
    <n v="114"/>
    <n v="2045"/>
    <n v="192"/>
  </r>
  <r>
    <x v="1"/>
    <x v="2"/>
    <d v="2018-08-13T00:00:00"/>
    <x v="1"/>
    <n v="55"/>
    <n v="145"/>
    <n v="118"/>
    <n v="2039"/>
    <n v="202"/>
  </r>
  <r>
    <x v="1"/>
    <x v="2"/>
    <d v="2018-08-13T00:00:00"/>
    <x v="1"/>
    <n v="49"/>
    <n v="145"/>
    <n v="118"/>
    <n v="2038"/>
    <n v="174"/>
  </r>
  <r>
    <x v="1"/>
    <x v="2"/>
    <d v="2018-08-13T00:00:00"/>
    <x v="1"/>
    <n v="47"/>
    <n v="145"/>
    <n v="118"/>
    <n v="2042"/>
    <n v="173"/>
  </r>
  <r>
    <x v="1"/>
    <x v="2"/>
    <d v="2018-08-13T00:00:00"/>
    <x v="2"/>
    <n v="52"/>
    <n v="155"/>
    <n v="123"/>
    <n v="2041"/>
    <n v="191"/>
  </r>
  <r>
    <x v="1"/>
    <x v="2"/>
    <d v="2018-08-14T00:00:00"/>
    <x v="2"/>
    <n v="36"/>
    <n v="155"/>
    <n v="123"/>
    <n v="2049"/>
    <n v="129"/>
  </r>
  <r>
    <x v="1"/>
    <x v="2"/>
    <d v="2018-08-14T00:00:00"/>
    <x v="1"/>
    <n v="43"/>
    <n v="145"/>
    <n v="118"/>
    <n v="2050"/>
    <n v="201"/>
  </r>
  <r>
    <x v="1"/>
    <x v="2"/>
    <d v="2018-08-14T00:00:00"/>
    <x v="2"/>
    <n v="33"/>
    <n v="155"/>
    <n v="123"/>
    <n v="2048"/>
    <n v="115"/>
  </r>
  <r>
    <x v="1"/>
    <x v="2"/>
    <d v="2018-08-14T00:00:00"/>
    <x v="0"/>
    <n v="38"/>
    <n v="120"/>
    <n v="114"/>
    <n v="2047"/>
    <n v="138"/>
  </r>
  <r>
    <x v="1"/>
    <x v="2"/>
    <d v="2018-08-14T00:00:00"/>
    <x v="2"/>
    <n v="49"/>
    <n v="155"/>
    <n v="123"/>
    <n v="2046"/>
    <n v="170"/>
  </r>
  <r>
    <x v="1"/>
    <x v="2"/>
    <d v="2018-08-14T00:00:00"/>
    <x v="1"/>
    <n v="56"/>
    <n v="145"/>
    <n v="118"/>
    <n v="2051"/>
    <n v="197"/>
  </r>
  <r>
    <x v="1"/>
    <x v="2"/>
    <d v="2018-08-15T00:00:00"/>
    <x v="2"/>
    <n v="27"/>
    <n v="155"/>
    <n v="123"/>
    <n v="2052"/>
    <n v="95"/>
  </r>
  <r>
    <x v="1"/>
    <x v="2"/>
    <d v="2018-08-15T00:00:00"/>
    <x v="2"/>
    <n v="48"/>
    <n v="155"/>
    <n v="123"/>
    <n v="2053"/>
    <n v="166"/>
  </r>
  <r>
    <x v="1"/>
    <x v="2"/>
    <d v="2018-08-16T00:00:00"/>
    <x v="1"/>
    <n v="45"/>
    <n v="145"/>
    <n v="118"/>
    <n v="2054"/>
    <n v="165"/>
  </r>
  <r>
    <x v="1"/>
    <x v="2"/>
    <d v="2018-08-16T00:00:00"/>
    <x v="2"/>
    <n v="34"/>
    <n v="155"/>
    <n v="123"/>
    <n v="2055"/>
    <n v="159"/>
  </r>
  <r>
    <x v="1"/>
    <x v="2"/>
    <d v="2018-08-17T00:00:00"/>
    <x v="1"/>
    <n v="57"/>
    <n v="145"/>
    <n v="118"/>
    <n v="2059"/>
    <n v="198"/>
  </r>
  <r>
    <x v="1"/>
    <x v="2"/>
    <d v="2018-08-17T00:00:00"/>
    <x v="1"/>
    <n v="38"/>
    <n v="145"/>
    <n v="118"/>
    <n v="2060"/>
    <n v="132"/>
  </r>
  <r>
    <x v="1"/>
    <x v="2"/>
    <d v="2018-08-17T00:00:00"/>
    <x v="0"/>
    <n v="54"/>
    <n v="120"/>
    <n v="114"/>
    <n v="2057"/>
    <n v="194"/>
  </r>
  <r>
    <x v="1"/>
    <x v="2"/>
    <d v="2018-08-17T00:00:00"/>
    <x v="1"/>
    <n v="61"/>
    <n v="145"/>
    <n v="118"/>
    <n v="2056"/>
    <n v="215"/>
  </r>
  <r>
    <x v="1"/>
    <x v="2"/>
    <d v="2018-08-17T00:00:00"/>
    <x v="1"/>
    <n v="48"/>
    <n v="145"/>
    <n v="118"/>
    <n v="2058"/>
    <n v="173"/>
  </r>
  <r>
    <x v="1"/>
    <x v="2"/>
    <d v="2018-08-20T00:00:00"/>
    <x v="1"/>
    <n v="56"/>
    <n v="145"/>
    <n v="118"/>
    <n v="2067"/>
    <n v="204"/>
  </r>
  <r>
    <x v="1"/>
    <x v="2"/>
    <d v="2018-08-20T00:00:00"/>
    <x v="2"/>
    <n v="40"/>
    <n v="155"/>
    <n v="123"/>
    <n v="2061"/>
    <n v="147"/>
  </r>
  <r>
    <x v="1"/>
    <x v="2"/>
    <d v="2018-08-20T00:00:00"/>
    <x v="0"/>
    <n v="36"/>
    <n v="120"/>
    <n v="114"/>
    <n v="2068"/>
    <n v="169"/>
  </r>
  <r>
    <x v="1"/>
    <x v="2"/>
    <d v="2018-08-20T00:00:00"/>
    <x v="0"/>
    <n v="41"/>
    <n v="120"/>
    <n v="114"/>
    <n v="2066"/>
    <n v="148"/>
  </r>
  <r>
    <x v="1"/>
    <x v="2"/>
    <d v="2018-08-20T00:00:00"/>
    <x v="1"/>
    <n v="49"/>
    <n v="145"/>
    <n v="118"/>
    <n v="2065"/>
    <n v="168"/>
  </r>
  <r>
    <x v="1"/>
    <x v="2"/>
    <d v="2018-08-20T00:00:00"/>
    <x v="1"/>
    <n v="62"/>
    <n v="145"/>
    <n v="118"/>
    <n v="2064"/>
    <n v="214"/>
  </r>
  <r>
    <x v="1"/>
    <x v="2"/>
    <d v="2018-08-20T00:00:00"/>
    <x v="1"/>
    <n v="44"/>
    <n v="145"/>
    <n v="118"/>
    <n v="2063"/>
    <n v="162"/>
  </r>
  <r>
    <x v="1"/>
    <x v="2"/>
    <d v="2018-08-20T00:00:00"/>
    <x v="2"/>
    <n v="33"/>
    <n v="155"/>
    <n v="123"/>
    <n v="2062"/>
    <n v="122"/>
  </r>
  <r>
    <x v="1"/>
    <x v="2"/>
    <d v="2018-08-21T00:00:00"/>
    <x v="1"/>
    <n v="59"/>
    <n v="145"/>
    <n v="118"/>
    <n v="2069"/>
    <n v="209"/>
  </r>
  <r>
    <x v="1"/>
    <x v="2"/>
    <d v="2018-08-22T00:00:00"/>
    <x v="0"/>
    <n v="56"/>
    <n v="120"/>
    <n v="114"/>
    <n v="2070"/>
    <n v="206"/>
  </r>
  <r>
    <x v="1"/>
    <x v="2"/>
    <d v="2018-08-22T00:00:00"/>
    <x v="1"/>
    <n v="51"/>
    <n v="145"/>
    <n v="118"/>
    <n v="2071"/>
    <n v="186"/>
  </r>
  <r>
    <x v="1"/>
    <x v="2"/>
    <d v="2018-08-23T00:00:00"/>
    <x v="0"/>
    <n v="50"/>
    <n v="120"/>
    <n v="114"/>
    <n v="2072"/>
    <n v="182"/>
  </r>
  <r>
    <x v="1"/>
    <x v="2"/>
    <d v="2018-08-23T00:00:00"/>
    <x v="1"/>
    <n v="42"/>
    <n v="145"/>
    <n v="118"/>
    <n v="2073"/>
    <n v="146"/>
  </r>
  <r>
    <x v="1"/>
    <x v="2"/>
    <d v="2018-08-24T00:00:00"/>
    <x v="2"/>
    <n v="52"/>
    <n v="155"/>
    <n v="123"/>
    <n v="2074"/>
    <n v="189"/>
  </r>
  <r>
    <x v="1"/>
    <x v="2"/>
    <d v="2018-08-24T00:00:00"/>
    <x v="1"/>
    <n v="39"/>
    <n v="145"/>
    <n v="118"/>
    <n v="2075"/>
    <n v="140"/>
  </r>
  <r>
    <x v="1"/>
    <x v="2"/>
    <d v="2018-08-27T00:00:00"/>
    <x v="0"/>
    <n v="49"/>
    <n v="120"/>
    <n v="114"/>
    <n v="2076"/>
    <n v="168"/>
  </r>
  <r>
    <x v="1"/>
    <x v="2"/>
    <d v="2018-08-28T00:00:00"/>
    <x v="0"/>
    <n v="47"/>
    <n v="120"/>
    <n v="114"/>
    <n v="2077"/>
    <n v="167"/>
  </r>
  <r>
    <x v="1"/>
    <x v="2"/>
    <d v="2018-08-28T00:00:00"/>
    <x v="0"/>
    <n v="56"/>
    <n v="120"/>
    <n v="114"/>
    <n v="2078"/>
    <n v="193"/>
  </r>
  <r>
    <x v="1"/>
    <x v="2"/>
    <d v="2018-08-29T00:00:00"/>
    <x v="1"/>
    <n v="52"/>
    <n v="145"/>
    <n v="118"/>
    <n v="2079"/>
    <n v="179"/>
  </r>
  <r>
    <x v="1"/>
    <x v="2"/>
    <d v="2018-08-29T00:00:00"/>
    <x v="1"/>
    <n v="60"/>
    <n v="145"/>
    <n v="118"/>
    <n v="2080"/>
    <n v="212"/>
  </r>
  <r>
    <x v="1"/>
    <x v="2"/>
    <d v="2018-08-30T00:00:00"/>
    <x v="2"/>
    <n v="44"/>
    <n v="155"/>
    <n v="123"/>
    <n v="2081"/>
    <n v="153"/>
  </r>
  <r>
    <x v="1"/>
    <x v="2"/>
    <d v="2018-08-30T00:00:00"/>
    <x v="1"/>
    <n v="42"/>
    <n v="145"/>
    <n v="118"/>
    <n v="2082"/>
    <n v="154"/>
  </r>
  <r>
    <x v="1"/>
    <x v="2"/>
    <d v="2018-08-30T00:00:00"/>
    <x v="1"/>
    <n v="38"/>
    <n v="145"/>
    <n v="118"/>
    <n v="2083"/>
    <n v="137"/>
  </r>
  <r>
    <x v="1"/>
    <x v="2"/>
    <d v="2018-08-30T00:00:00"/>
    <x v="0"/>
    <n v="55"/>
    <n v="120"/>
    <n v="114"/>
    <n v="2084"/>
    <n v="192"/>
  </r>
  <r>
    <x v="1"/>
    <x v="2"/>
    <d v="2018-08-30T00:00:00"/>
    <x v="0"/>
    <n v="52"/>
    <n v="120"/>
    <n v="114"/>
    <n v="2085"/>
    <n v="183"/>
  </r>
  <r>
    <x v="1"/>
    <x v="2"/>
    <d v="2018-08-30T00:00:00"/>
    <x v="2"/>
    <n v="32"/>
    <n v="155"/>
    <n v="123"/>
    <n v="2086"/>
    <n v="118"/>
  </r>
  <r>
    <x v="1"/>
    <x v="2"/>
    <d v="2018-08-31T00:00:00"/>
    <x v="0"/>
    <n v="43"/>
    <n v="120"/>
    <n v="114"/>
    <n v="2087"/>
    <n v="152"/>
  </r>
  <r>
    <x v="1"/>
    <x v="2"/>
    <d v="2018-08-31T00:00:00"/>
    <x v="2"/>
    <n v="39"/>
    <n v="155"/>
    <n v="123"/>
    <n v="2088"/>
    <n v="143"/>
  </r>
  <r>
    <x v="1"/>
    <x v="2"/>
    <d v="2018-08-31T00:00:00"/>
    <x v="2"/>
    <n v="28"/>
    <n v="155"/>
    <n v="123"/>
    <n v="2089"/>
    <n v="99"/>
  </r>
  <r>
    <x v="1"/>
    <x v="2"/>
    <d v="2018-09-03T00:00:00"/>
    <x v="1"/>
    <n v="51"/>
    <n v="145"/>
    <n v="118"/>
    <n v="2095"/>
    <n v="187"/>
  </r>
  <r>
    <x v="1"/>
    <x v="2"/>
    <d v="2018-09-03T00:00:00"/>
    <x v="2"/>
    <n v="29"/>
    <n v="155"/>
    <n v="123"/>
    <n v="2096"/>
    <n v="102"/>
  </r>
  <r>
    <x v="1"/>
    <x v="2"/>
    <d v="2018-09-03T00:00:00"/>
    <x v="0"/>
    <n v="44"/>
    <n v="120"/>
    <n v="114"/>
    <n v="2094"/>
    <n v="205"/>
  </r>
  <r>
    <x v="1"/>
    <x v="2"/>
    <d v="2018-09-03T00:00:00"/>
    <x v="1"/>
    <n v="54"/>
    <n v="145"/>
    <n v="118"/>
    <n v="2092"/>
    <n v="193"/>
  </r>
  <r>
    <x v="1"/>
    <x v="2"/>
    <d v="2018-09-03T00:00:00"/>
    <x v="2"/>
    <n v="47"/>
    <n v="155"/>
    <n v="123"/>
    <n v="2091"/>
    <n v="172"/>
  </r>
  <r>
    <x v="1"/>
    <x v="2"/>
    <d v="2018-09-03T00:00:00"/>
    <x v="1"/>
    <n v="39"/>
    <n v="145"/>
    <n v="118"/>
    <n v="2090"/>
    <n v="135"/>
  </r>
  <r>
    <x v="1"/>
    <x v="2"/>
    <d v="2018-09-03T00:00:00"/>
    <x v="2"/>
    <n v="35"/>
    <n v="155"/>
    <n v="123"/>
    <n v="2097"/>
    <n v="123"/>
  </r>
  <r>
    <x v="1"/>
    <x v="2"/>
    <d v="2018-09-03T00:00:00"/>
    <x v="0"/>
    <n v="54"/>
    <n v="120"/>
    <n v="114"/>
    <n v="2093"/>
    <n v="197"/>
  </r>
  <r>
    <x v="1"/>
    <x v="2"/>
    <d v="2018-09-04T00:00:00"/>
    <x v="2"/>
    <n v="48"/>
    <n v="155"/>
    <n v="123"/>
    <n v="2098"/>
    <n v="170"/>
  </r>
  <r>
    <x v="1"/>
    <x v="2"/>
    <d v="2018-09-04T00:00:00"/>
    <x v="2"/>
    <n v="35"/>
    <n v="155"/>
    <n v="123"/>
    <n v="2099"/>
    <n v="128"/>
  </r>
  <r>
    <x v="1"/>
    <x v="2"/>
    <d v="2018-09-04T00:00:00"/>
    <x v="1"/>
    <n v="60"/>
    <n v="145"/>
    <n v="118"/>
    <n v="2100"/>
    <n v="207"/>
  </r>
  <r>
    <x v="1"/>
    <x v="2"/>
    <d v="2018-09-05T00:00:00"/>
    <x v="1"/>
    <n v="54"/>
    <n v="145"/>
    <n v="118"/>
    <n v="2103"/>
    <n v="199"/>
  </r>
  <r>
    <x v="1"/>
    <x v="2"/>
    <d v="2018-09-05T00:00:00"/>
    <x v="0"/>
    <n v="52"/>
    <n v="120"/>
    <n v="114"/>
    <n v="2104"/>
    <n v="182"/>
  </r>
  <r>
    <x v="1"/>
    <x v="2"/>
    <d v="2018-09-05T00:00:00"/>
    <x v="1"/>
    <n v="45"/>
    <n v="145"/>
    <n v="118"/>
    <n v="2102"/>
    <n v="159"/>
  </r>
  <r>
    <x v="1"/>
    <x v="2"/>
    <d v="2018-09-05T00:00:00"/>
    <x v="2"/>
    <n v="37"/>
    <n v="155"/>
    <n v="123"/>
    <n v="2101"/>
    <n v="141"/>
  </r>
  <r>
    <x v="1"/>
    <x v="2"/>
    <d v="2018-09-06T00:00:00"/>
    <x v="1"/>
    <n v="51"/>
    <n v="145"/>
    <n v="118"/>
    <n v="2105"/>
    <n v="178"/>
  </r>
  <r>
    <x v="1"/>
    <x v="2"/>
    <d v="2018-09-07T00:00:00"/>
    <x v="2"/>
    <n v="50"/>
    <n v="155"/>
    <n v="123"/>
    <n v="2106"/>
    <n v="175"/>
  </r>
  <r>
    <x v="1"/>
    <x v="2"/>
    <d v="2018-09-10T00:00:00"/>
    <x v="2"/>
    <n v="42"/>
    <n v="155"/>
    <n v="123"/>
    <n v="2107"/>
    <n v="150"/>
  </r>
  <r>
    <x v="1"/>
    <x v="2"/>
    <d v="2018-09-10T00:00:00"/>
    <x v="0"/>
    <n v="54"/>
    <n v="120"/>
    <n v="114"/>
    <n v="2108"/>
    <n v="190"/>
  </r>
  <r>
    <x v="1"/>
    <x v="2"/>
    <d v="2018-09-10T00:00:00"/>
    <x v="2"/>
    <n v="27"/>
    <n v="155"/>
    <n v="123"/>
    <n v="2109"/>
    <n v="99"/>
  </r>
  <r>
    <x v="1"/>
    <x v="2"/>
    <d v="2018-09-10T00:00:00"/>
    <x v="0"/>
    <n v="55"/>
    <n v="120"/>
    <n v="114"/>
    <n v="2110"/>
    <n v="193"/>
  </r>
  <r>
    <x v="1"/>
    <x v="2"/>
    <d v="2018-09-10T00:00:00"/>
    <x v="2"/>
    <n v="41"/>
    <n v="155"/>
    <n v="123"/>
    <n v="2111"/>
    <n v="146"/>
  </r>
  <r>
    <x v="1"/>
    <x v="2"/>
    <d v="2018-09-10T00:00:00"/>
    <x v="0"/>
    <n v="34"/>
    <n v="120"/>
    <n v="114"/>
    <n v="2112"/>
    <n v="124"/>
  </r>
  <r>
    <x v="1"/>
    <x v="2"/>
    <d v="2018-09-11T00:00:00"/>
    <x v="0"/>
    <n v="54"/>
    <n v="120"/>
    <n v="114"/>
    <n v="2115"/>
    <n v="206"/>
  </r>
  <r>
    <x v="1"/>
    <x v="2"/>
    <d v="2018-09-11T00:00:00"/>
    <x v="1"/>
    <n v="53"/>
    <n v="145"/>
    <n v="118"/>
    <n v="2116"/>
    <n v="188"/>
  </r>
  <r>
    <x v="1"/>
    <x v="2"/>
    <d v="2018-09-11T00:00:00"/>
    <x v="0"/>
    <n v="43"/>
    <n v="120"/>
    <n v="114"/>
    <n v="2113"/>
    <n v="158"/>
  </r>
  <r>
    <x v="1"/>
    <x v="2"/>
    <d v="2018-09-11T00:00:00"/>
    <x v="1"/>
    <n v="45"/>
    <n v="145"/>
    <n v="118"/>
    <n v="2114"/>
    <n v="164"/>
  </r>
  <r>
    <x v="1"/>
    <x v="2"/>
    <d v="2018-09-12T00:00:00"/>
    <x v="1"/>
    <n v="38"/>
    <n v="145"/>
    <n v="118"/>
    <n v="2117"/>
    <n v="140"/>
  </r>
  <r>
    <x v="1"/>
    <x v="2"/>
    <d v="2018-09-12T00:00:00"/>
    <x v="0"/>
    <n v="53"/>
    <n v="120"/>
    <n v="114"/>
    <n v="2118"/>
    <n v="187"/>
  </r>
  <r>
    <x v="1"/>
    <x v="2"/>
    <d v="2018-09-12T00:00:00"/>
    <x v="1"/>
    <n v="49"/>
    <n v="145"/>
    <n v="118"/>
    <n v="2119"/>
    <n v="176"/>
  </r>
  <r>
    <x v="1"/>
    <x v="2"/>
    <d v="2018-09-12T00:00:00"/>
    <x v="0"/>
    <n v="53"/>
    <n v="120"/>
    <n v="114"/>
    <n v="2120"/>
    <n v="191"/>
  </r>
  <r>
    <x v="1"/>
    <x v="2"/>
    <d v="2018-09-12T00:00:00"/>
    <x v="2"/>
    <n v="52"/>
    <n v="155"/>
    <n v="123"/>
    <n v="2121"/>
    <n v="182"/>
  </r>
  <r>
    <x v="1"/>
    <x v="2"/>
    <d v="2018-09-12T00:00:00"/>
    <x v="0"/>
    <n v="37"/>
    <n v="120"/>
    <n v="114"/>
    <n v="2122"/>
    <n v="127"/>
  </r>
  <r>
    <x v="1"/>
    <x v="2"/>
    <d v="2018-09-12T00:00:00"/>
    <x v="1"/>
    <n v="37"/>
    <n v="145"/>
    <n v="118"/>
    <n v="2123"/>
    <n v="127"/>
  </r>
  <r>
    <x v="1"/>
    <x v="2"/>
    <d v="2018-09-12T00:00:00"/>
    <x v="1"/>
    <n v="37"/>
    <n v="145"/>
    <n v="118"/>
    <n v="2124"/>
    <n v="132"/>
  </r>
  <r>
    <x v="1"/>
    <x v="2"/>
    <d v="2018-09-13T00:00:00"/>
    <x v="2"/>
    <n v="40"/>
    <n v="155"/>
    <n v="123"/>
    <n v="2125"/>
    <n v="137"/>
  </r>
  <r>
    <x v="1"/>
    <x v="2"/>
    <d v="2018-09-14T00:00:00"/>
    <x v="0"/>
    <n v="38"/>
    <n v="120"/>
    <n v="114"/>
    <n v="2131"/>
    <n v="144"/>
  </r>
  <r>
    <x v="1"/>
    <x v="2"/>
    <d v="2018-09-14T00:00:00"/>
    <x v="2"/>
    <n v="38"/>
    <n v="155"/>
    <n v="123"/>
    <n v="2132"/>
    <n v="137"/>
  </r>
  <r>
    <x v="1"/>
    <x v="2"/>
    <d v="2018-09-14T00:00:00"/>
    <x v="2"/>
    <n v="44"/>
    <n v="155"/>
    <n v="123"/>
    <n v="2130"/>
    <n v="161"/>
  </r>
  <r>
    <x v="1"/>
    <x v="2"/>
    <d v="2018-09-14T00:00:00"/>
    <x v="0"/>
    <n v="39"/>
    <n v="120"/>
    <n v="114"/>
    <n v="2128"/>
    <n v="139"/>
  </r>
  <r>
    <x v="1"/>
    <x v="2"/>
    <d v="2018-09-14T00:00:00"/>
    <x v="1"/>
    <n v="37"/>
    <n v="145"/>
    <n v="118"/>
    <n v="2133"/>
    <n v="128"/>
  </r>
  <r>
    <x v="1"/>
    <x v="2"/>
    <d v="2018-09-14T00:00:00"/>
    <x v="2"/>
    <n v="44"/>
    <n v="155"/>
    <n v="123"/>
    <n v="2127"/>
    <n v="161"/>
  </r>
  <r>
    <x v="1"/>
    <x v="2"/>
    <d v="2018-09-14T00:00:00"/>
    <x v="2"/>
    <n v="26"/>
    <n v="155"/>
    <n v="123"/>
    <n v="2126"/>
    <n v="94"/>
  </r>
  <r>
    <x v="1"/>
    <x v="2"/>
    <d v="2018-09-14T00:00:00"/>
    <x v="1"/>
    <n v="44"/>
    <n v="145"/>
    <n v="118"/>
    <n v="2129"/>
    <n v="206"/>
  </r>
  <r>
    <x v="1"/>
    <x v="2"/>
    <d v="2018-09-17T00:00:00"/>
    <x v="2"/>
    <n v="47"/>
    <n v="155"/>
    <n v="123"/>
    <n v="2134"/>
    <n v="173"/>
  </r>
  <r>
    <x v="1"/>
    <x v="2"/>
    <d v="2018-09-18T00:00:00"/>
    <x v="1"/>
    <n v="56"/>
    <n v="145"/>
    <n v="118"/>
    <n v="2138"/>
    <n v="204"/>
  </r>
  <r>
    <x v="1"/>
    <x v="2"/>
    <d v="2018-09-18T00:00:00"/>
    <x v="2"/>
    <n v="38"/>
    <n v="155"/>
    <n v="123"/>
    <n v="2139"/>
    <n v="130"/>
  </r>
  <r>
    <x v="1"/>
    <x v="2"/>
    <d v="2018-09-18T00:00:00"/>
    <x v="1"/>
    <n v="52"/>
    <n v="145"/>
    <n v="118"/>
    <n v="2137"/>
    <n v="186"/>
  </r>
  <r>
    <x v="1"/>
    <x v="2"/>
    <d v="2018-09-18T00:00:00"/>
    <x v="0"/>
    <n v="39"/>
    <n v="120"/>
    <n v="114"/>
    <n v="2136"/>
    <n v="140"/>
  </r>
  <r>
    <x v="1"/>
    <x v="2"/>
    <d v="2018-09-18T00:00:00"/>
    <x v="2"/>
    <n v="26"/>
    <n v="155"/>
    <n v="123"/>
    <n v="2135"/>
    <n v="91"/>
  </r>
  <r>
    <x v="1"/>
    <x v="2"/>
    <d v="2018-09-19T00:00:00"/>
    <x v="0"/>
    <n v="52"/>
    <n v="120"/>
    <n v="114"/>
    <n v="2141"/>
    <n v="244"/>
  </r>
  <r>
    <x v="1"/>
    <x v="2"/>
    <d v="2018-09-19T00:00:00"/>
    <x v="2"/>
    <n v="47"/>
    <n v="155"/>
    <n v="123"/>
    <n v="2142"/>
    <n v="165"/>
  </r>
  <r>
    <x v="1"/>
    <x v="2"/>
    <d v="2018-09-19T00:00:00"/>
    <x v="1"/>
    <n v="56"/>
    <n v="145"/>
    <n v="118"/>
    <n v="2143"/>
    <n v="193"/>
  </r>
  <r>
    <x v="1"/>
    <x v="2"/>
    <d v="2018-09-19T00:00:00"/>
    <x v="1"/>
    <n v="36"/>
    <n v="145"/>
    <n v="118"/>
    <n v="2144"/>
    <n v="124"/>
  </r>
  <r>
    <x v="1"/>
    <x v="2"/>
    <d v="2018-09-19T00:00:00"/>
    <x v="1"/>
    <n v="36"/>
    <n v="145"/>
    <n v="118"/>
    <n v="2145"/>
    <n v="123"/>
  </r>
  <r>
    <x v="1"/>
    <x v="2"/>
    <d v="2018-09-19T00:00:00"/>
    <x v="2"/>
    <n v="48"/>
    <n v="155"/>
    <n v="123"/>
    <n v="2146"/>
    <n v="166"/>
  </r>
  <r>
    <x v="1"/>
    <x v="2"/>
    <d v="2018-09-19T00:00:00"/>
    <x v="2"/>
    <n v="27"/>
    <n v="155"/>
    <n v="123"/>
    <n v="2147"/>
    <n v="98"/>
  </r>
  <r>
    <x v="1"/>
    <x v="2"/>
    <d v="2018-09-19T00:00:00"/>
    <x v="1"/>
    <n v="43"/>
    <n v="145"/>
    <n v="118"/>
    <n v="2140"/>
    <n v="158"/>
  </r>
  <r>
    <x v="1"/>
    <x v="2"/>
    <d v="2018-09-20T00:00:00"/>
    <x v="1"/>
    <n v="42"/>
    <n v="145"/>
    <n v="118"/>
    <n v="2148"/>
    <n v="144"/>
  </r>
  <r>
    <x v="1"/>
    <x v="2"/>
    <d v="2018-09-20T00:00:00"/>
    <x v="0"/>
    <n v="36"/>
    <n v="120"/>
    <n v="114"/>
    <n v="2149"/>
    <n v="124"/>
  </r>
  <r>
    <x v="1"/>
    <x v="2"/>
    <d v="2018-09-21T00:00:00"/>
    <x v="1"/>
    <n v="59"/>
    <n v="145"/>
    <n v="118"/>
    <n v="2150"/>
    <n v="208"/>
  </r>
  <r>
    <x v="1"/>
    <x v="2"/>
    <d v="2018-09-21T00:00:00"/>
    <x v="1"/>
    <n v="48"/>
    <n v="145"/>
    <n v="118"/>
    <n v="2151"/>
    <n v="169"/>
  </r>
  <r>
    <x v="1"/>
    <x v="2"/>
    <d v="2018-09-21T00:00:00"/>
    <x v="0"/>
    <n v="57"/>
    <n v="120"/>
    <n v="114"/>
    <n v="2152"/>
    <n v="196"/>
  </r>
  <r>
    <x v="1"/>
    <x v="2"/>
    <d v="2018-09-24T00:00:00"/>
    <x v="2"/>
    <n v="51"/>
    <n v="155"/>
    <n v="123"/>
    <n v="2153"/>
    <n v="177"/>
  </r>
  <r>
    <x v="1"/>
    <x v="2"/>
    <d v="2018-09-24T00:00:00"/>
    <x v="1"/>
    <n v="50"/>
    <n v="145"/>
    <n v="118"/>
    <n v="2154"/>
    <n v="175"/>
  </r>
  <r>
    <x v="1"/>
    <x v="2"/>
    <d v="2018-09-24T00:00:00"/>
    <x v="0"/>
    <n v="47"/>
    <n v="120"/>
    <n v="114"/>
    <n v="2155"/>
    <n v="170"/>
  </r>
  <r>
    <x v="1"/>
    <x v="2"/>
    <d v="2018-09-24T00:00:00"/>
    <x v="2"/>
    <n v="31"/>
    <n v="155"/>
    <n v="123"/>
    <n v="2156"/>
    <n v="111"/>
  </r>
  <r>
    <x v="1"/>
    <x v="2"/>
    <d v="2018-09-24T00:00:00"/>
    <x v="1"/>
    <n v="41"/>
    <n v="145"/>
    <n v="118"/>
    <n v="2157"/>
    <n v="193"/>
  </r>
  <r>
    <x v="1"/>
    <x v="2"/>
    <d v="2018-09-24T00:00:00"/>
    <x v="0"/>
    <n v="34"/>
    <n v="120"/>
    <n v="114"/>
    <n v="2158"/>
    <n v="124"/>
  </r>
  <r>
    <x v="1"/>
    <x v="2"/>
    <d v="2018-09-24T00:00:00"/>
    <x v="0"/>
    <n v="37"/>
    <n v="120"/>
    <n v="114"/>
    <n v="2159"/>
    <n v="174"/>
  </r>
  <r>
    <x v="1"/>
    <x v="2"/>
    <d v="2018-09-25T00:00:00"/>
    <x v="1"/>
    <n v="39"/>
    <n v="145"/>
    <n v="118"/>
    <n v="2165"/>
    <n v="135"/>
  </r>
  <r>
    <x v="1"/>
    <x v="2"/>
    <d v="2018-09-25T00:00:00"/>
    <x v="2"/>
    <n v="28"/>
    <n v="155"/>
    <n v="123"/>
    <n v="2166"/>
    <n v="99"/>
  </r>
  <r>
    <x v="1"/>
    <x v="2"/>
    <d v="2018-09-25T00:00:00"/>
    <x v="2"/>
    <n v="52"/>
    <n v="155"/>
    <n v="123"/>
    <n v="2164"/>
    <n v="188"/>
  </r>
  <r>
    <x v="1"/>
    <x v="2"/>
    <d v="2018-09-25T00:00:00"/>
    <x v="0"/>
    <n v="35"/>
    <n v="120"/>
    <n v="114"/>
    <n v="2162"/>
    <n v="127"/>
  </r>
  <r>
    <x v="1"/>
    <x v="2"/>
    <d v="2018-09-25T00:00:00"/>
    <x v="0"/>
    <n v="32"/>
    <n v="120"/>
    <n v="114"/>
    <n v="2161"/>
    <n v="147"/>
  </r>
  <r>
    <x v="1"/>
    <x v="2"/>
    <d v="2018-09-25T00:00:00"/>
    <x v="0"/>
    <n v="45"/>
    <n v="120"/>
    <n v="114"/>
    <n v="2160"/>
    <n v="158"/>
  </r>
  <r>
    <x v="1"/>
    <x v="2"/>
    <d v="2018-09-25T00:00:00"/>
    <x v="2"/>
    <n v="35"/>
    <n v="155"/>
    <n v="123"/>
    <n v="2167"/>
    <n v="128"/>
  </r>
  <r>
    <x v="1"/>
    <x v="2"/>
    <d v="2018-09-25T00:00:00"/>
    <x v="2"/>
    <n v="49"/>
    <n v="155"/>
    <n v="123"/>
    <n v="2163"/>
    <n v="175"/>
  </r>
  <r>
    <x v="1"/>
    <x v="2"/>
    <d v="2018-09-26T00:00:00"/>
    <x v="1"/>
    <n v="39"/>
    <n v="145"/>
    <n v="118"/>
    <n v="2172"/>
    <n v="136"/>
  </r>
  <r>
    <x v="1"/>
    <x v="2"/>
    <d v="2018-09-26T00:00:00"/>
    <x v="0"/>
    <n v="47"/>
    <n v="120"/>
    <n v="114"/>
    <n v="2173"/>
    <n v="172"/>
  </r>
  <r>
    <x v="1"/>
    <x v="2"/>
    <d v="2018-09-26T00:00:00"/>
    <x v="2"/>
    <n v="35"/>
    <n v="155"/>
    <n v="123"/>
    <n v="2171"/>
    <n v="121"/>
  </r>
  <r>
    <x v="1"/>
    <x v="2"/>
    <d v="2018-09-26T00:00:00"/>
    <x v="0"/>
    <n v="50"/>
    <n v="120"/>
    <n v="114"/>
    <n v="2170"/>
    <n v="176"/>
  </r>
  <r>
    <x v="1"/>
    <x v="2"/>
    <d v="2018-09-26T00:00:00"/>
    <x v="2"/>
    <n v="49"/>
    <n v="155"/>
    <n v="123"/>
    <n v="2169"/>
    <n v="176"/>
  </r>
  <r>
    <x v="1"/>
    <x v="2"/>
    <d v="2018-09-26T00:00:00"/>
    <x v="1"/>
    <n v="43"/>
    <n v="145"/>
    <n v="118"/>
    <n v="2168"/>
    <n v="199"/>
  </r>
  <r>
    <x v="1"/>
    <x v="2"/>
    <d v="2018-09-27T00:00:00"/>
    <x v="2"/>
    <n v="41"/>
    <n v="155"/>
    <n v="123"/>
    <n v="2175"/>
    <n v="148"/>
  </r>
  <r>
    <x v="1"/>
    <x v="2"/>
    <d v="2018-09-27T00:00:00"/>
    <x v="0"/>
    <n v="57"/>
    <n v="120"/>
    <n v="114"/>
    <n v="2176"/>
    <n v="200"/>
  </r>
  <r>
    <x v="1"/>
    <x v="2"/>
    <d v="2018-09-27T00:00:00"/>
    <x v="2"/>
    <n v="52"/>
    <n v="155"/>
    <n v="123"/>
    <n v="2174"/>
    <n v="239"/>
  </r>
  <r>
    <x v="1"/>
    <x v="2"/>
    <d v="2018-09-28T00:00:00"/>
    <x v="1"/>
    <n v="60"/>
    <n v="145"/>
    <n v="118"/>
    <n v="2177"/>
    <n v="220"/>
  </r>
  <r>
    <x v="1"/>
    <x v="2"/>
    <d v="2018-09-28T00:00:00"/>
    <x v="0"/>
    <n v="45"/>
    <n v="120"/>
    <n v="114"/>
    <n v="2178"/>
    <n v="157"/>
  </r>
  <r>
    <x v="1"/>
    <x v="2"/>
    <d v="2018-09-28T00:00:00"/>
    <x v="2"/>
    <n v="39"/>
    <n v="155"/>
    <n v="123"/>
    <n v="2179"/>
    <n v="142"/>
  </r>
  <r>
    <x v="1"/>
    <x v="3"/>
    <d v="2018-10-01T00:00:00"/>
    <x v="2"/>
    <n v="27"/>
    <n v="155"/>
    <n v="123"/>
    <n v="2184"/>
    <n v="99"/>
  </r>
  <r>
    <x v="1"/>
    <x v="3"/>
    <d v="2018-10-01T00:00:00"/>
    <x v="1"/>
    <n v="35"/>
    <n v="145"/>
    <n v="118"/>
    <n v="2187"/>
    <n v="122"/>
  </r>
  <r>
    <x v="1"/>
    <x v="3"/>
    <d v="2018-10-01T00:00:00"/>
    <x v="1"/>
    <n v="60"/>
    <n v="145"/>
    <n v="118"/>
    <n v="2186"/>
    <n v="206"/>
  </r>
  <r>
    <x v="1"/>
    <x v="3"/>
    <d v="2018-10-01T00:00:00"/>
    <x v="1"/>
    <n v="55"/>
    <n v="145"/>
    <n v="118"/>
    <n v="2185"/>
    <n v="192"/>
  </r>
  <r>
    <x v="1"/>
    <x v="3"/>
    <d v="2018-10-01T00:00:00"/>
    <x v="1"/>
    <n v="49"/>
    <n v="145"/>
    <n v="118"/>
    <n v="2182"/>
    <n v="173"/>
  </r>
  <r>
    <x v="1"/>
    <x v="3"/>
    <d v="2018-10-01T00:00:00"/>
    <x v="2"/>
    <n v="26"/>
    <n v="155"/>
    <n v="123"/>
    <n v="2181"/>
    <n v="93"/>
  </r>
  <r>
    <x v="1"/>
    <x v="3"/>
    <d v="2018-10-01T00:00:00"/>
    <x v="2"/>
    <n v="28"/>
    <n v="155"/>
    <n v="123"/>
    <n v="2180"/>
    <n v="131"/>
  </r>
  <r>
    <x v="1"/>
    <x v="3"/>
    <d v="2018-10-01T00:00:00"/>
    <x v="1"/>
    <n v="48"/>
    <n v="145"/>
    <n v="118"/>
    <n v="2183"/>
    <n v="168"/>
  </r>
  <r>
    <x v="1"/>
    <x v="3"/>
    <d v="2018-10-02T00:00:00"/>
    <x v="1"/>
    <n v="52"/>
    <n v="145"/>
    <n v="118"/>
    <n v="2194"/>
    <n v="185"/>
  </r>
  <r>
    <x v="1"/>
    <x v="3"/>
    <d v="2018-10-02T00:00:00"/>
    <x v="2"/>
    <n v="32"/>
    <n v="155"/>
    <n v="123"/>
    <n v="2188"/>
    <n v="115"/>
  </r>
  <r>
    <x v="1"/>
    <x v="3"/>
    <d v="2018-10-02T00:00:00"/>
    <x v="0"/>
    <n v="39"/>
    <n v="120"/>
    <n v="114"/>
    <n v="2189"/>
    <n v="136"/>
  </r>
  <r>
    <x v="1"/>
    <x v="3"/>
    <d v="2018-10-02T00:00:00"/>
    <x v="2"/>
    <n v="32"/>
    <n v="155"/>
    <n v="123"/>
    <n v="2190"/>
    <n v="117"/>
  </r>
  <r>
    <x v="1"/>
    <x v="3"/>
    <d v="2018-10-02T00:00:00"/>
    <x v="2"/>
    <n v="39"/>
    <n v="155"/>
    <n v="123"/>
    <n v="2191"/>
    <n v="141"/>
  </r>
  <r>
    <x v="1"/>
    <x v="3"/>
    <d v="2018-10-02T00:00:00"/>
    <x v="2"/>
    <n v="28"/>
    <n v="155"/>
    <n v="123"/>
    <n v="2192"/>
    <n v="97"/>
  </r>
  <r>
    <x v="1"/>
    <x v="3"/>
    <d v="2018-10-02T00:00:00"/>
    <x v="2"/>
    <n v="34"/>
    <n v="155"/>
    <n v="123"/>
    <n v="2193"/>
    <n v="125"/>
  </r>
  <r>
    <x v="1"/>
    <x v="3"/>
    <d v="2018-10-03T00:00:00"/>
    <x v="0"/>
    <n v="37"/>
    <n v="120"/>
    <n v="114"/>
    <n v="2195"/>
    <n v="131"/>
  </r>
  <r>
    <x v="1"/>
    <x v="3"/>
    <d v="2018-10-04T00:00:00"/>
    <x v="0"/>
    <n v="35"/>
    <n v="120"/>
    <n v="114"/>
    <n v="2197"/>
    <n v="127"/>
  </r>
  <r>
    <x v="1"/>
    <x v="3"/>
    <d v="2018-10-04T00:00:00"/>
    <x v="0"/>
    <n v="50"/>
    <n v="120"/>
    <n v="114"/>
    <n v="2198"/>
    <n v="178"/>
  </r>
  <r>
    <x v="1"/>
    <x v="3"/>
    <d v="2018-10-04T00:00:00"/>
    <x v="1"/>
    <n v="58"/>
    <n v="145"/>
    <n v="118"/>
    <n v="2199"/>
    <n v="202"/>
  </r>
  <r>
    <x v="1"/>
    <x v="3"/>
    <d v="2018-10-04T00:00:00"/>
    <x v="2"/>
    <n v="40"/>
    <n v="155"/>
    <n v="123"/>
    <n v="2200"/>
    <n v="140"/>
  </r>
  <r>
    <x v="1"/>
    <x v="3"/>
    <d v="2018-10-04T00:00:00"/>
    <x v="2"/>
    <n v="50"/>
    <n v="155"/>
    <n v="123"/>
    <n v="2201"/>
    <n v="179"/>
  </r>
  <r>
    <x v="1"/>
    <x v="3"/>
    <d v="2018-10-04T00:00:00"/>
    <x v="2"/>
    <n v="30"/>
    <n v="155"/>
    <n v="123"/>
    <n v="2196"/>
    <n v="109"/>
  </r>
  <r>
    <x v="1"/>
    <x v="3"/>
    <d v="2018-10-05T00:00:00"/>
    <x v="0"/>
    <n v="50"/>
    <n v="120"/>
    <n v="114"/>
    <n v="2207"/>
    <n v="173"/>
  </r>
  <r>
    <x v="1"/>
    <x v="3"/>
    <d v="2018-10-05T00:00:00"/>
    <x v="2"/>
    <n v="45"/>
    <n v="155"/>
    <n v="123"/>
    <n v="2203"/>
    <n v="166"/>
  </r>
  <r>
    <x v="1"/>
    <x v="3"/>
    <d v="2018-10-05T00:00:00"/>
    <x v="1"/>
    <n v="43"/>
    <n v="145"/>
    <n v="118"/>
    <n v="2209"/>
    <n v="154"/>
  </r>
  <r>
    <x v="1"/>
    <x v="3"/>
    <d v="2018-10-05T00:00:00"/>
    <x v="1"/>
    <n v="41"/>
    <n v="145"/>
    <n v="118"/>
    <n v="2208"/>
    <n v="150"/>
  </r>
  <r>
    <x v="1"/>
    <x v="3"/>
    <d v="2018-10-05T00:00:00"/>
    <x v="0"/>
    <n v="38"/>
    <n v="120"/>
    <n v="114"/>
    <n v="2202"/>
    <n v="139"/>
  </r>
  <r>
    <x v="1"/>
    <x v="3"/>
    <d v="2018-10-05T00:00:00"/>
    <x v="0"/>
    <n v="34"/>
    <n v="120"/>
    <n v="114"/>
    <n v="2204"/>
    <n v="160"/>
  </r>
  <r>
    <x v="1"/>
    <x v="3"/>
    <d v="2018-10-05T00:00:00"/>
    <x v="1"/>
    <n v="57"/>
    <n v="145"/>
    <n v="118"/>
    <n v="2206"/>
    <n v="215"/>
  </r>
  <r>
    <x v="1"/>
    <x v="3"/>
    <d v="2018-10-05T00:00:00"/>
    <x v="1"/>
    <n v="36"/>
    <n v="145"/>
    <n v="118"/>
    <n v="2205"/>
    <n v="127"/>
  </r>
  <r>
    <x v="1"/>
    <x v="3"/>
    <d v="2018-10-08T00:00:00"/>
    <x v="1"/>
    <n v="56"/>
    <n v="145"/>
    <n v="118"/>
    <n v="2210"/>
    <n v="203"/>
  </r>
  <r>
    <x v="1"/>
    <x v="3"/>
    <d v="2018-10-08T00:00:00"/>
    <x v="1"/>
    <n v="55"/>
    <n v="145"/>
    <n v="118"/>
    <n v="2211"/>
    <n v="203"/>
  </r>
  <r>
    <x v="1"/>
    <x v="3"/>
    <d v="2018-10-08T00:00:00"/>
    <x v="2"/>
    <n v="38"/>
    <n v="155"/>
    <n v="123"/>
    <n v="2212"/>
    <n v="136"/>
  </r>
  <r>
    <x v="1"/>
    <x v="3"/>
    <d v="2018-10-09T00:00:00"/>
    <x v="0"/>
    <n v="29"/>
    <n v="120"/>
    <n v="114"/>
    <n v="2214"/>
    <n v="102"/>
  </r>
  <r>
    <x v="1"/>
    <x v="3"/>
    <d v="2018-10-09T00:00:00"/>
    <x v="0"/>
    <n v="51"/>
    <n v="120"/>
    <n v="114"/>
    <n v="2219"/>
    <n v="187"/>
  </r>
  <r>
    <x v="1"/>
    <x v="3"/>
    <d v="2018-10-09T00:00:00"/>
    <x v="0"/>
    <n v="30"/>
    <n v="120"/>
    <n v="114"/>
    <n v="2218"/>
    <n v="110"/>
  </r>
  <r>
    <x v="1"/>
    <x v="3"/>
    <d v="2018-10-09T00:00:00"/>
    <x v="1"/>
    <n v="39"/>
    <n v="145"/>
    <n v="118"/>
    <n v="2217"/>
    <n v="136"/>
  </r>
  <r>
    <x v="1"/>
    <x v="3"/>
    <d v="2018-10-09T00:00:00"/>
    <x v="2"/>
    <n v="33"/>
    <n v="155"/>
    <n v="123"/>
    <n v="2215"/>
    <n v="119"/>
  </r>
  <r>
    <x v="1"/>
    <x v="3"/>
    <d v="2018-10-09T00:00:00"/>
    <x v="1"/>
    <n v="60"/>
    <n v="145"/>
    <n v="118"/>
    <n v="2213"/>
    <n v="209"/>
  </r>
  <r>
    <x v="1"/>
    <x v="3"/>
    <d v="2018-10-09T00:00:00"/>
    <x v="1"/>
    <n v="60"/>
    <n v="145"/>
    <n v="118"/>
    <n v="2216"/>
    <n v="209"/>
  </r>
  <r>
    <x v="1"/>
    <x v="3"/>
    <d v="2018-10-10T00:00:00"/>
    <x v="0"/>
    <n v="50"/>
    <n v="120"/>
    <n v="114"/>
    <n v="2222"/>
    <n v="178"/>
  </r>
  <r>
    <x v="1"/>
    <x v="3"/>
    <d v="2018-10-10T00:00:00"/>
    <x v="2"/>
    <n v="37"/>
    <n v="155"/>
    <n v="123"/>
    <n v="2225"/>
    <n v="128"/>
  </r>
  <r>
    <x v="1"/>
    <x v="3"/>
    <d v="2018-10-10T00:00:00"/>
    <x v="0"/>
    <n v="49"/>
    <n v="120"/>
    <n v="114"/>
    <n v="2227"/>
    <n v="172"/>
  </r>
  <r>
    <x v="1"/>
    <x v="3"/>
    <d v="2018-10-10T00:00:00"/>
    <x v="1"/>
    <n v="36"/>
    <n v="145"/>
    <n v="118"/>
    <n v="2226"/>
    <n v="131"/>
  </r>
  <r>
    <x v="1"/>
    <x v="3"/>
    <d v="2018-10-10T00:00:00"/>
    <x v="0"/>
    <n v="40"/>
    <n v="120"/>
    <n v="114"/>
    <n v="2223"/>
    <n v="141"/>
  </r>
  <r>
    <x v="1"/>
    <x v="3"/>
    <d v="2018-10-10T00:00:00"/>
    <x v="1"/>
    <n v="47"/>
    <n v="145"/>
    <n v="118"/>
    <n v="2220"/>
    <n v="165"/>
  </r>
  <r>
    <x v="1"/>
    <x v="3"/>
    <d v="2018-10-10T00:00:00"/>
    <x v="2"/>
    <n v="45"/>
    <n v="155"/>
    <n v="123"/>
    <n v="2221"/>
    <n v="154"/>
  </r>
  <r>
    <x v="1"/>
    <x v="3"/>
    <d v="2018-10-10T00:00:00"/>
    <x v="0"/>
    <n v="35"/>
    <n v="120"/>
    <n v="114"/>
    <n v="2224"/>
    <n v="125"/>
  </r>
  <r>
    <x v="1"/>
    <x v="3"/>
    <d v="2018-10-11T00:00:00"/>
    <x v="1"/>
    <n v="37"/>
    <n v="145"/>
    <n v="118"/>
    <n v="2228"/>
    <n v="133"/>
  </r>
  <r>
    <x v="1"/>
    <x v="3"/>
    <d v="2018-10-11T00:00:00"/>
    <x v="0"/>
    <n v="40"/>
    <n v="120"/>
    <n v="114"/>
    <n v="2229"/>
    <n v="137"/>
  </r>
  <r>
    <x v="1"/>
    <x v="3"/>
    <d v="2018-10-11T00:00:00"/>
    <x v="0"/>
    <n v="39"/>
    <n v="120"/>
    <n v="114"/>
    <n v="2230"/>
    <n v="140"/>
  </r>
  <r>
    <x v="1"/>
    <x v="3"/>
    <d v="2018-10-11T00:00:00"/>
    <x v="0"/>
    <n v="52"/>
    <n v="120"/>
    <n v="114"/>
    <n v="2231"/>
    <n v="180"/>
  </r>
  <r>
    <x v="1"/>
    <x v="3"/>
    <d v="2018-10-12T00:00:00"/>
    <x v="2"/>
    <n v="45"/>
    <n v="155"/>
    <n v="123"/>
    <n v="2233"/>
    <n v="157"/>
  </r>
  <r>
    <x v="1"/>
    <x v="3"/>
    <d v="2018-10-12T00:00:00"/>
    <x v="0"/>
    <n v="49"/>
    <n v="120"/>
    <n v="114"/>
    <n v="2236"/>
    <n v="176"/>
  </r>
  <r>
    <x v="1"/>
    <x v="3"/>
    <d v="2018-10-12T00:00:00"/>
    <x v="1"/>
    <n v="36"/>
    <n v="145"/>
    <n v="118"/>
    <n v="2234"/>
    <n v="129"/>
  </r>
  <r>
    <x v="1"/>
    <x v="3"/>
    <d v="2018-10-12T00:00:00"/>
    <x v="0"/>
    <n v="29"/>
    <n v="120"/>
    <n v="114"/>
    <n v="2232"/>
    <n v="106"/>
  </r>
  <r>
    <x v="1"/>
    <x v="3"/>
    <d v="2018-10-12T00:00:00"/>
    <x v="1"/>
    <n v="52"/>
    <n v="145"/>
    <n v="118"/>
    <n v="2235"/>
    <n v="186"/>
  </r>
  <r>
    <x v="1"/>
    <x v="3"/>
    <d v="2018-10-15T00:00:00"/>
    <x v="2"/>
    <n v="41"/>
    <n v="155"/>
    <n v="123"/>
    <n v="2237"/>
    <n v="189"/>
  </r>
  <r>
    <x v="1"/>
    <x v="3"/>
    <d v="2018-10-16T00:00:00"/>
    <x v="2"/>
    <n v="41"/>
    <n v="155"/>
    <n v="123"/>
    <n v="2238"/>
    <n v="143"/>
  </r>
  <r>
    <x v="1"/>
    <x v="3"/>
    <d v="2018-10-16T00:00:00"/>
    <x v="2"/>
    <n v="34"/>
    <n v="155"/>
    <n v="123"/>
    <n v="2239"/>
    <n v="120"/>
  </r>
  <r>
    <x v="1"/>
    <x v="3"/>
    <d v="2018-10-16T00:00:00"/>
    <x v="0"/>
    <n v="48"/>
    <n v="120"/>
    <n v="114"/>
    <n v="2240"/>
    <n v="171"/>
  </r>
  <r>
    <x v="1"/>
    <x v="3"/>
    <d v="2018-10-16T00:00:00"/>
    <x v="0"/>
    <n v="53"/>
    <n v="120"/>
    <n v="114"/>
    <n v="2241"/>
    <n v="188"/>
  </r>
  <r>
    <x v="1"/>
    <x v="3"/>
    <d v="2018-10-17T00:00:00"/>
    <x v="0"/>
    <n v="55"/>
    <n v="120"/>
    <n v="114"/>
    <n v="2242"/>
    <n v="255"/>
  </r>
  <r>
    <x v="1"/>
    <x v="3"/>
    <d v="2018-10-17T00:00:00"/>
    <x v="2"/>
    <n v="48"/>
    <n v="155"/>
    <n v="123"/>
    <n v="2245"/>
    <n v="165"/>
  </r>
  <r>
    <x v="1"/>
    <x v="3"/>
    <d v="2018-10-17T00:00:00"/>
    <x v="0"/>
    <n v="34"/>
    <n v="120"/>
    <n v="114"/>
    <n v="2243"/>
    <n v="120"/>
  </r>
  <r>
    <x v="1"/>
    <x v="3"/>
    <d v="2018-10-17T00:00:00"/>
    <x v="1"/>
    <n v="46"/>
    <n v="145"/>
    <n v="118"/>
    <n v="2244"/>
    <n v="169"/>
  </r>
  <r>
    <x v="1"/>
    <x v="3"/>
    <d v="2018-10-18T00:00:00"/>
    <x v="2"/>
    <n v="26"/>
    <n v="155"/>
    <n v="123"/>
    <n v="2246"/>
    <n v="89"/>
  </r>
  <r>
    <x v="1"/>
    <x v="3"/>
    <d v="2018-10-19T00:00:00"/>
    <x v="0"/>
    <n v="38"/>
    <n v="120"/>
    <n v="114"/>
    <n v="2247"/>
    <n v="134"/>
  </r>
  <r>
    <x v="1"/>
    <x v="3"/>
    <d v="2018-10-19T00:00:00"/>
    <x v="0"/>
    <n v="31"/>
    <n v="120"/>
    <n v="114"/>
    <n v="2248"/>
    <n v="107"/>
  </r>
  <r>
    <x v="1"/>
    <x v="3"/>
    <d v="2018-10-19T00:00:00"/>
    <x v="1"/>
    <n v="40"/>
    <n v="145"/>
    <n v="118"/>
    <n v="2249"/>
    <n v="139"/>
  </r>
  <r>
    <x v="1"/>
    <x v="3"/>
    <d v="2018-10-22T00:00:00"/>
    <x v="1"/>
    <n v="57"/>
    <n v="145"/>
    <n v="118"/>
    <n v="2250"/>
    <n v="197"/>
  </r>
  <r>
    <x v="1"/>
    <x v="3"/>
    <d v="2018-10-22T00:00:00"/>
    <x v="1"/>
    <n v="53"/>
    <n v="145"/>
    <n v="118"/>
    <n v="2251"/>
    <n v="193"/>
  </r>
  <r>
    <x v="1"/>
    <x v="3"/>
    <d v="2018-10-23T00:00:00"/>
    <x v="0"/>
    <n v="38"/>
    <n v="120"/>
    <n v="114"/>
    <n v="2252"/>
    <n v="176"/>
  </r>
  <r>
    <x v="1"/>
    <x v="3"/>
    <d v="2018-10-23T00:00:00"/>
    <x v="0"/>
    <n v="49"/>
    <n v="120"/>
    <n v="114"/>
    <n v="2257"/>
    <n v="177"/>
  </r>
  <r>
    <x v="1"/>
    <x v="3"/>
    <d v="2018-10-23T00:00:00"/>
    <x v="1"/>
    <n v="36"/>
    <n v="145"/>
    <n v="118"/>
    <n v="2256"/>
    <n v="125"/>
  </r>
  <r>
    <x v="1"/>
    <x v="3"/>
    <d v="2018-10-23T00:00:00"/>
    <x v="2"/>
    <n v="41"/>
    <n v="155"/>
    <n v="123"/>
    <n v="2255"/>
    <n v="146"/>
  </r>
  <r>
    <x v="1"/>
    <x v="3"/>
    <d v="2018-10-23T00:00:00"/>
    <x v="2"/>
    <n v="39"/>
    <n v="155"/>
    <n v="123"/>
    <n v="2253"/>
    <n v="137"/>
  </r>
  <r>
    <x v="1"/>
    <x v="3"/>
    <d v="2018-10-23T00:00:00"/>
    <x v="2"/>
    <n v="36"/>
    <n v="155"/>
    <n v="123"/>
    <n v="2254"/>
    <n v="126"/>
  </r>
  <r>
    <x v="1"/>
    <x v="3"/>
    <d v="2018-10-24T00:00:00"/>
    <x v="2"/>
    <n v="32"/>
    <n v="155"/>
    <n v="123"/>
    <n v="2262"/>
    <n v="116"/>
  </r>
  <r>
    <x v="1"/>
    <x v="3"/>
    <d v="2018-10-24T00:00:00"/>
    <x v="0"/>
    <n v="54"/>
    <n v="120"/>
    <n v="114"/>
    <n v="2264"/>
    <n v="189"/>
  </r>
  <r>
    <x v="1"/>
    <x v="3"/>
    <d v="2018-10-24T00:00:00"/>
    <x v="1"/>
    <n v="48"/>
    <n v="145"/>
    <n v="118"/>
    <n v="2265"/>
    <n v="166"/>
  </r>
  <r>
    <x v="1"/>
    <x v="3"/>
    <d v="2018-10-24T00:00:00"/>
    <x v="0"/>
    <n v="54"/>
    <n v="120"/>
    <n v="114"/>
    <n v="2263"/>
    <n v="194"/>
  </r>
  <r>
    <x v="1"/>
    <x v="3"/>
    <d v="2018-10-24T00:00:00"/>
    <x v="0"/>
    <n v="48"/>
    <n v="120"/>
    <n v="114"/>
    <n v="2260"/>
    <n v="170"/>
  </r>
  <r>
    <x v="1"/>
    <x v="3"/>
    <d v="2018-10-24T00:00:00"/>
    <x v="0"/>
    <n v="33"/>
    <n v="120"/>
    <n v="114"/>
    <n v="2258"/>
    <n v="153"/>
  </r>
  <r>
    <x v="1"/>
    <x v="3"/>
    <d v="2018-10-24T00:00:00"/>
    <x v="1"/>
    <n v="48"/>
    <n v="145"/>
    <n v="118"/>
    <n v="2259"/>
    <n v="222"/>
  </r>
  <r>
    <x v="1"/>
    <x v="3"/>
    <d v="2018-10-24T00:00:00"/>
    <x v="1"/>
    <n v="57"/>
    <n v="145"/>
    <n v="118"/>
    <n v="2261"/>
    <n v="263"/>
  </r>
  <r>
    <x v="1"/>
    <x v="3"/>
    <d v="2018-10-25T00:00:00"/>
    <x v="1"/>
    <n v="54"/>
    <n v="145"/>
    <n v="118"/>
    <n v="2266"/>
    <n v="249"/>
  </r>
  <r>
    <x v="1"/>
    <x v="3"/>
    <d v="2018-10-25T00:00:00"/>
    <x v="1"/>
    <n v="60"/>
    <n v="145"/>
    <n v="118"/>
    <n v="2267"/>
    <n v="214"/>
  </r>
  <r>
    <x v="1"/>
    <x v="3"/>
    <d v="2018-10-25T00:00:00"/>
    <x v="1"/>
    <n v="41"/>
    <n v="145"/>
    <n v="118"/>
    <n v="2268"/>
    <n v="144"/>
  </r>
  <r>
    <x v="1"/>
    <x v="3"/>
    <d v="2018-10-25T00:00:00"/>
    <x v="1"/>
    <n v="40"/>
    <n v="145"/>
    <n v="118"/>
    <n v="2269"/>
    <n v="141"/>
  </r>
  <r>
    <x v="1"/>
    <x v="3"/>
    <d v="2018-10-25T00:00:00"/>
    <x v="2"/>
    <n v="46"/>
    <n v="155"/>
    <n v="123"/>
    <n v="2270"/>
    <n v="163"/>
  </r>
  <r>
    <x v="1"/>
    <x v="3"/>
    <d v="2018-10-25T00:00:00"/>
    <x v="2"/>
    <n v="39"/>
    <n v="155"/>
    <n v="123"/>
    <n v="2271"/>
    <n v="135"/>
  </r>
  <r>
    <x v="1"/>
    <x v="3"/>
    <d v="2018-10-25T00:00:00"/>
    <x v="2"/>
    <n v="46"/>
    <n v="155"/>
    <n v="123"/>
    <n v="2272"/>
    <n v="163"/>
  </r>
  <r>
    <x v="1"/>
    <x v="3"/>
    <d v="2018-10-26T00:00:00"/>
    <x v="2"/>
    <n v="34"/>
    <n v="155"/>
    <n v="123"/>
    <n v="2277"/>
    <n v="118"/>
  </r>
  <r>
    <x v="1"/>
    <x v="3"/>
    <d v="2018-10-26T00:00:00"/>
    <x v="2"/>
    <n v="44"/>
    <n v="155"/>
    <n v="123"/>
    <n v="2278"/>
    <n v="160"/>
  </r>
  <r>
    <x v="1"/>
    <x v="3"/>
    <d v="2018-10-26T00:00:00"/>
    <x v="1"/>
    <n v="34"/>
    <n v="145"/>
    <n v="118"/>
    <n v="2276"/>
    <n v="121"/>
  </r>
  <r>
    <x v="1"/>
    <x v="3"/>
    <d v="2018-10-26T00:00:00"/>
    <x v="1"/>
    <n v="49"/>
    <n v="145"/>
    <n v="118"/>
    <n v="2273"/>
    <n v="170"/>
  </r>
  <r>
    <x v="1"/>
    <x v="3"/>
    <d v="2018-10-26T00:00:00"/>
    <x v="2"/>
    <n v="35"/>
    <n v="155"/>
    <n v="123"/>
    <n v="2274"/>
    <n v="125"/>
  </r>
  <r>
    <x v="1"/>
    <x v="3"/>
    <d v="2018-10-26T00:00:00"/>
    <x v="2"/>
    <n v="42"/>
    <n v="155"/>
    <n v="123"/>
    <n v="2275"/>
    <n v="153"/>
  </r>
  <r>
    <x v="1"/>
    <x v="3"/>
    <d v="2018-10-29T00:00:00"/>
    <x v="2"/>
    <n v="45"/>
    <n v="155"/>
    <n v="123"/>
    <n v="2280"/>
    <n v="164"/>
  </r>
  <r>
    <x v="1"/>
    <x v="3"/>
    <d v="2018-10-29T00:00:00"/>
    <x v="0"/>
    <n v="42"/>
    <n v="120"/>
    <n v="114"/>
    <n v="2281"/>
    <n v="152"/>
  </r>
  <r>
    <x v="1"/>
    <x v="3"/>
    <d v="2018-10-29T00:00:00"/>
    <x v="2"/>
    <n v="44"/>
    <n v="155"/>
    <n v="123"/>
    <n v="2279"/>
    <n v="153"/>
  </r>
  <r>
    <x v="1"/>
    <x v="3"/>
    <d v="2018-10-30T00:00:00"/>
    <x v="2"/>
    <n v="27"/>
    <n v="155"/>
    <n v="123"/>
    <n v="2284"/>
    <n v="125"/>
  </r>
  <r>
    <x v="1"/>
    <x v="3"/>
    <d v="2018-10-30T00:00:00"/>
    <x v="1"/>
    <n v="54"/>
    <n v="145"/>
    <n v="118"/>
    <n v="2282"/>
    <n v="194"/>
  </r>
  <r>
    <x v="1"/>
    <x v="3"/>
    <d v="2018-10-30T00:00:00"/>
    <x v="0"/>
    <n v="52"/>
    <n v="120"/>
    <n v="114"/>
    <n v="2283"/>
    <n v="244"/>
  </r>
  <r>
    <x v="1"/>
    <x v="3"/>
    <d v="2018-10-31T00:00:00"/>
    <x v="2"/>
    <n v="27"/>
    <n v="155"/>
    <n v="123"/>
    <n v="2289"/>
    <n v="99"/>
  </r>
  <r>
    <x v="1"/>
    <x v="3"/>
    <d v="2018-10-31T00:00:00"/>
    <x v="2"/>
    <n v="32"/>
    <n v="155"/>
    <n v="123"/>
    <n v="2288"/>
    <n v="110"/>
  </r>
  <r>
    <x v="1"/>
    <x v="3"/>
    <d v="2018-10-31T00:00:00"/>
    <x v="0"/>
    <n v="54"/>
    <n v="120"/>
    <n v="114"/>
    <n v="2287"/>
    <n v="198"/>
  </r>
  <r>
    <x v="1"/>
    <x v="3"/>
    <d v="2018-10-31T00:00:00"/>
    <x v="1"/>
    <n v="46"/>
    <n v="145"/>
    <n v="118"/>
    <n v="2285"/>
    <n v="212"/>
  </r>
  <r>
    <x v="1"/>
    <x v="3"/>
    <d v="2018-10-31T00:00:00"/>
    <x v="0"/>
    <n v="35"/>
    <n v="120"/>
    <n v="114"/>
    <n v="2286"/>
    <n v="125"/>
  </r>
  <r>
    <x v="1"/>
    <x v="3"/>
    <d v="2018-11-01T00:00:00"/>
    <x v="2"/>
    <n v="47"/>
    <n v="155"/>
    <n v="123"/>
    <n v="2294"/>
    <n v="162"/>
  </r>
  <r>
    <x v="1"/>
    <x v="3"/>
    <d v="2018-11-01T00:00:00"/>
    <x v="0"/>
    <n v="42"/>
    <n v="120"/>
    <n v="114"/>
    <n v="2297"/>
    <n v="148"/>
  </r>
  <r>
    <x v="1"/>
    <x v="3"/>
    <d v="2018-11-01T00:00:00"/>
    <x v="0"/>
    <n v="32"/>
    <n v="120"/>
    <n v="114"/>
    <n v="2296"/>
    <n v="110"/>
  </r>
  <r>
    <x v="1"/>
    <x v="3"/>
    <d v="2018-11-01T00:00:00"/>
    <x v="0"/>
    <n v="33"/>
    <n v="120"/>
    <n v="114"/>
    <n v="2295"/>
    <n v="152"/>
  </r>
  <r>
    <x v="1"/>
    <x v="3"/>
    <d v="2018-11-01T00:00:00"/>
    <x v="2"/>
    <n v="42"/>
    <n v="155"/>
    <n v="123"/>
    <n v="2292"/>
    <n v="144"/>
  </r>
  <r>
    <x v="1"/>
    <x v="3"/>
    <d v="2018-11-01T00:00:00"/>
    <x v="0"/>
    <n v="51"/>
    <n v="120"/>
    <n v="114"/>
    <n v="2291"/>
    <n v="180"/>
  </r>
  <r>
    <x v="1"/>
    <x v="3"/>
    <d v="2018-11-01T00:00:00"/>
    <x v="0"/>
    <n v="31"/>
    <n v="120"/>
    <n v="114"/>
    <n v="2290"/>
    <n v="113"/>
  </r>
  <r>
    <x v="1"/>
    <x v="3"/>
    <d v="2018-11-01T00:00:00"/>
    <x v="2"/>
    <n v="36"/>
    <n v="155"/>
    <n v="123"/>
    <n v="2293"/>
    <n v="132"/>
  </r>
  <r>
    <x v="1"/>
    <x v="3"/>
    <d v="2018-11-02T00:00:00"/>
    <x v="2"/>
    <n v="48"/>
    <n v="155"/>
    <n v="123"/>
    <n v="2298"/>
    <n v="222"/>
  </r>
  <r>
    <x v="1"/>
    <x v="3"/>
    <d v="2018-11-05T00:00:00"/>
    <x v="2"/>
    <n v="41"/>
    <n v="155"/>
    <n v="123"/>
    <n v="2299"/>
    <n v="139"/>
  </r>
  <r>
    <x v="1"/>
    <x v="3"/>
    <d v="2018-11-06T00:00:00"/>
    <x v="0"/>
    <n v="41"/>
    <n v="120"/>
    <n v="114"/>
    <n v="2300"/>
    <n v="148"/>
  </r>
  <r>
    <x v="1"/>
    <x v="3"/>
    <d v="2018-11-07T00:00:00"/>
    <x v="2"/>
    <n v="48"/>
    <n v="155"/>
    <n v="123"/>
    <n v="2303"/>
    <n v="170"/>
  </r>
  <r>
    <x v="1"/>
    <x v="3"/>
    <d v="2018-11-07T00:00:00"/>
    <x v="1"/>
    <n v="37"/>
    <n v="145"/>
    <n v="118"/>
    <n v="2306"/>
    <n v="128"/>
  </r>
  <r>
    <x v="1"/>
    <x v="3"/>
    <d v="2018-11-07T00:00:00"/>
    <x v="0"/>
    <n v="33"/>
    <n v="120"/>
    <n v="114"/>
    <n v="2304"/>
    <n v="114"/>
  </r>
  <r>
    <x v="1"/>
    <x v="3"/>
    <d v="2018-11-07T00:00:00"/>
    <x v="1"/>
    <n v="50"/>
    <n v="145"/>
    <n v="118"/>
    <n v="2302"/>
    <n v="174"/>
  </r>
  <r>
    <x v="1"/>
    <x v="3"/>
    <d v="2018-11-07T00:00:00"/>
    <x v="2"/>
    <n v="35"/>
    <n v="155"/>
    <n v="123"/>
    <n v="2301"/>
    <n v="127"/>
  </r>
  <r>
    <x v="1"/>
    <x v="3"/>
    <d v="2018-11-07T00:00:00"/>
    <x v="1"/>
    <n v="47"/>
    <n v="145"/>
    <n v="118"/>
    <n v="2305"/>
    <n v="170"/>
  </r>
  <r>
    <x v="1"/>
    <x v="3"/>
    <d v="2018-11-08T00:00:00"/>
    <x v="1"/>
    <n v="40"/>
    <n v="145"/>
    <n v="118"/>
    <n v="2307"/>
    <n v="145"/>
  </r>
  <r>
    <x v="1"/>
    <x v="3"/>
    <d v="2018-11-08T00:00:00"/>
    <x v="0"/>
    <n v="39"/>
    <n v="120"/>
    <n v="114"/>
    <n v="2308"/>
    <n v="142"/>
  </r>
  <r>
    <x v="1"/>
    <x v="3"/>
    <d v="2018-11-08T00:00:00"/>
    <x v="2"/>
    <n v="38"/>
    <n v="155"/>
    <n v="123"/>
    <n v="2309"/>
    <n v="130"/>
  </r>
  <r>
    <x v="1"/>
    <x v="3"/>
    <d v="2018-11-08T00:00:00"/>
    <x v="1"/>
    <n v="54"/>
    <n v="145"/>
    <n v="118"/>
    <n v="2310"/>
    <n v="196"/>
  </r>
  <r>
    <x v="1"/>
    <x v="3"/>
    <d v="2018-11-09T00:00:00"/>
    <x v="0"/>
    <n v="38"/>
    <n v="120"/>
    <n v="114"/>
    <n v="2312"/>
    <n v="134"/>
  </r>
  <r>
    <x v="1"/>
    <x v="3"/>
    <d v="2018-11-09T00:00:00"/>
    <x v="2"/>
    <n v="50"/>
    <n v="155"/>
    <n v="123"/>
    <n v="2317"/>
    <n v="175"/>
  </r>
  <r>
    <x v="1"/>
    <x v="3"/>
    <d v="2018-11-09T00:00:00"/>
    <x v="0"/>
    <n v="44"/>
    <n v="120"/>
    <n v="114"/>
    <n v="2318"/>
    <n v="161"/>
  </r>
  <r>
    <x v="1"/>
    <x v="3"/>
    <d v="2018-11-09T00:00:00"/>
    <x v="1"/>
    <n v="37"/>
    <n v="145"/>
    <n v="118"/>
    <n v="2316"/>
    <n v="136"/>
  </r>
  <r>
    <x v="1"/>
    <x v="3"/>
    <d v="2018-11-09T00:00:00"/>
    <x v="1"/>
    <n v="51"/>
    <n v="145"/>
    <n v="118"/>
    <n v="2313"/>
    <n v="186"/>
  </r>
  <r>
    <x v="1"/>
    <x v="3"/>
    <d v="2018-11-09T00:00:00"/>
    <x v="1"/>
    <n v="58"/>
    <n v="145"/>
    <n v="118"/>
    <n v="2311"/>
    <n v="200"/>
  </r>
  <r>
    <x v="1"/>
    <x v="3"/>
    <d v="2018-11-09T00:00:00"/>
    <x v="2"/>
    <n v="33"/>
    <n v="155"/>
    <n v="123"/>
    <n v="2314"/>
    <n v="117"/>
  </r>
  <r>
    <x v="1"/>
    <x v="3"/>
    <d v="2018-11-09T00:00:00"/>
    <x v="1"/>
    <n v="35"/>
    <n v="145"/>
    <n v="118"/>
    <n v="2315"/>
    <n v="124"/>
  </r>
  <r>
    <x v="1"/>
    <x v="3"/>
    <d v="2018-11-12T00:00:00"/>
    <x v="0"/>
    <n v="33"/>
    <n v="120"/>
    <n v="114"/>
    <n v="2319"/>
    <n v="118"/>
  </r>
  <r>
    <x v="1"/>
    <x v="3"/>
    <d v="2018-11-13T00:00:00"/>
    <x v="1"/>
    <n v="48"/>
    <n v="145"/>
    <n v="118"/>
    <n v="2320"/>
    <n v="174"/>
  </r>
  <r>
    <x v="1"/>
    <x v="3"/>
    <d v="2018-11-14T00:00:00"/>
    <x v="1"/>
    <n v="36"/>
    <n v="145"/>
    <n v="118"/>
    <n v="2323"/>
    <n v="132"/>
  </r>
  <r>
    <x v="1"/>
    <x v="3"/>
    <d v="2018-11-14T00:00:00"/>
    <x v="1"/>
    <n v="49"/>
    <n v="145"/>
    <n v="118"/>
    <n v="2324"/>
    <n v="173"/>
  </r>
  <r>
    <x v="1"/>
    <x v="3"/>
    <d v="2018-11-14T00:00:00"/>
    <x v="0"/>
    <n v="41"/>
    <n v="120"/>
    <n v="114"/>
    <n v="2322"/>
    <n v="141"/>
  </r>
  <r>
    <x v="1"/>
    <x v="3"/>
    <d v="2018-11-14T00:00:00"/>
    <x v="2"/>
    <n v="40"/>
    <n v="155"/>
    <n v="123"/>
    <n v="2321"/>
    <n v="137"/>
  </r>
  <r>
    <x v="1"/>
    <x v="3"/>
    <d v="2018-11-14T00:00:00"/>
    <x v="1"/>
    <n v="58"/>
    <n v="145"/>
    <n v="118"/>
    <n v="2325"/>
    <n v="207"/>
  </r>
  <r>
    <x v="1"/>
    <x v="3"/>
    <d v="2018-11-15T00:00:00"/>
    <x v="2"/>
    <n v="50"/>
    <n v="155"/>
    <n v="123"/>
    <n v="2326"/>
    <n v="176"/>
  </r>
  <r>
    <x v="1"/>
    <x v="3"/>
    <d v="2018-11-15T00:00:00"/>
    <x v="0"/>
    <n v="46"/>
    <n v="120"/>
    <n v="114"/>
    <n v="2327"/>
    <n v="163"/>
  </r>
  <r>
    <x v="1"/>
    <x v="3"/>
    <d v="2018-11-15T00:00:00"/>
    <x v="2"/>
    <n v="34"/>
    <n v="155"/>
    <n v="123"/>
    <n v="2328"/>
    <n v="121"/>
  </r>
  <r>
    <x v="1"/>
    <x v="3"/>
    <d v="2018-11-16T00:00:00"/>
    <x v="1"/>
    <n v="38"/>
    <n v="145"/>
    <n v="118"/>
    <n v="2334"/>
    <n v="136"/>
  </r>
  <r>
    <x v="1"/>
    <x v="3"/>
    <d v="2018-11-16T00:00:00"/>
    <x v="0"/>
    <n v="44"/>
    <n v="120"/>
    <n v="114"/>
    <n v="2329"/>
    <n v="154"/>
  </r>
  <r>
    <x v="1"/>
    <x v="3"/>
    <d v="2018-11-16T00:00:00"/>
    <x v="0"/>
    <n v="50"/>
    <n v="120"/>
    <n v="114"/>
    <n v="2330"/>
    <n v="188"/>
  </r>
  <r>
    <x v="1"/>
    <x v="3"/>
    <d v="2018-11-16T00:00:00"/>
    <x v="2"/>
    <n v="45"/>
    <n v="155"/>
    <n v="123"/>
    <n v="2331"/>
    <n v="210"/>
  </r>
  <r>
    <x v="1"/>
    <x v="3"/>
    <d v="2018-11-16T00:00:00"/>
    <x v="2"/>
    <n v="28"/>
    <n v="155"/>
    <n v="123"/>
    <n v="2332"/>
    <n v="98"/>
  </r>
  <r>
    <x v="1"/>
    <x v="3"/>
    <d v="2018-11-16T00:00:00"/>
    <x v="2"/>
    <n v="25"/>
    <n v="155"/>
    <n v="123"/>
    <n v="2333"/>
    <n v="117"/>
  </r>
  <r>
    <x v="1"/>
    <x v="3"/>
    <d v="2018-11-19T00:00:00"/>
    <x v="1"/>
    <n v="49"/>
    <n v="145"/>
    <n v="118"/>
    <n v="2335"/>
    <n v="168"/>
  </r>
  <r>
    <x v="1"/>
    <x v="3"/>
    <d v="2018-11-19T00:00:00"/>
    <x v="0"/>
    <n v="49"/>
    <n v="120"/>
    <n v="114"/>
    <n v="2336"/>
    <n v="180"/>
  </r>
  <r>
    <x v="1"/>
    <x v="3"/>
    <d v="2018-11-19T00:00:00"/>
    <x v="2"/>
    <n v="28"/>
    <n v="155"/>
    <n v="123"/>
    <n v="2337"/>
    <n v="103"/>
  </r>
  <r>
    <x v="1"/>
    <x v="3"/>
    <d v="2018-11-20T00:00:00"/>
    <x v="2"/>
    <n v="40"/>
    <n v="155"/>
    <n v="123"/>
    <n v="2338"/>
    <n v="139"/>
  </r>
  <r>
    <x v="1"/>
    <x v="3"/>
    <d v="2018-11-20T00:00:00"/>
    <x v="2"/>
    <n v="33"/>
    <n v="155"/>
    <n v="123"/>
    <n v="2339"/>
    <n v="116"/>
  </r>
  <r>
    <x v="1"/>
    <x v="3"/>
    <d v="2018-11-20T00:00:00"/>
    <x v="1"/>
    <n v="57"/>
    <n v="145"/>
    <n v="118"/>
    <n v="2340"/>
    <n v="205"/>
  </r>
  <r>
    <x v="1"/>
    <x v="3"/>
    <d v="2018-11-20T00:00:00"/>
    <x v="2"/>
    <n v="34"/>
    <n v="155"/>
    <n v="123"/>
    <n v="2341"/>
    <n v="122"/>
  </r>
  <r>
    <x v="1"/>
    <x v="3"/>
    <d v="2018-11-21T00:00:00"/>
    <x v="0"/>
    <n v="48"/>
    <n v="120"/>
    <n v="114"/>
    <n v="2342"/>
    <n v="172"/>
  </r>
  <r>
    <x v="1"/>
    <x v="3"/>
    <d v="2018-11-21T00:00:00"/>
    <x v="1"/>
    <n v="48"/>
    <n v="145"/>
    <n v="118"/>
    <n v="2343"/>
    <n v="172"/>
  </r>
  <r>
    <x v="1"/>
    <x v="3"/>
    <d v="2018-11-22T00:00:00"/>
    <x v="1"/>
    <n v="50"/>
    <n v="145"/>
    <n v="118"/>
    <n v="2345"/>
    <n v="175"/>
  </r>
  <r>
    <x v="1"/>
    <x v="3"/>
    <d v="2018-11-22T00:00:00"/>
    <x v="2"/>
    <n v="46"/>
    <n v="155"/>
    <n v="123"/>
    <n v="2346"/>
    <n v="161"/>
  </r>
  <r>
    <x v="1"/>
    <x v="3"/>
    <d v="2018-11-22T00:00:00"/>
    <x v="2"/>
    <n v="41"/>
    <n v="155"/>
    <n v="123"/>
    <n v="2344"/>
    <n v="146"/>
  </r>
  <r>
    <x v="1"/>
    <x v="3"/>
    <d v="2018-11-23T00:00:00"/>
    <x v="1"/>
    <n v="34"/>
    <n v="145"/>
    <n v="118"/>
    <n v="2351"/>
    <n v="122"/>
  </r>
  <r>
    <x v="1"/>
    <x v="3"/>
    <d v="2018-11-23T00:00:00"/>
    <x v="0"/>
    <n v="47"/>
    <n v="120"/>
    <n v="114"/>
    <n v="2347"/>
    <n v="166"/>
  </r>
  <r>
    <x v="1"/>
    <x v="3"/>
    <d v="2018-11-23T00:00:00"/>
    <x v="1"/>
    <n v="51"/>
    <n v="145"/>
    <n v="118"/>
    <n v="2348"/>
    <n v="238"/>
  </r>
  <r>
    <x v="1"/>
    <x v="3"/>
    <d v="2018-11-23T00:00:00"/>
    <x v="0"/>
    <n v="30"/>
    <n v="120"/>
    <n v="114"/>
    <n v="2349"/>
    <n v="112"/>
  </r>
  <r>
    <x v="1"/>
    <x v="3"/>
    <d v="2018-11-23T00:00:00"/>
    <x v="1"/>
    <n v="42"/>
    <n v="145"/>
    <n v="118"/>
    <n v="2350"/>
    <n v="147"/>
  </r>
  <r>
    <x v="1"/>
    <x v="3"/>
    <d v="2018-11-26T00:00:00"/>
    <x v="0"/>
    <n v="53"/>
    <n v="120"/>
    <n v="114"/>
    <n v="2354"/>
    <n v="188"/>
  </r>
  <r>
    <x v="1"/>
    <x v="3"/>
    <d v="2018-11-26T00:00:00"/>
    <x v="1"/>
    <n v="47"/>
    <n v="145"/>
    <n v="118"/>
    <n v="2353"/>
    <n v="217"/>
  </r>
  <r>
    <x v="1"/>
    <x v="3"/>
    <d v="2018-11-26T00:00:00"/>
    <x v="1"/>
    <n v="38"/>
    <n v="145"/>
    <n v="118"/>
    <n v="2352"/>
    <n v="136"/>
  </r>
  <r>
    <x v="1"/>
    <x v="3"/>
    <d v="2018-11-27T00:00:00"/>
    <x v="1"/>
    <n v="35"/>
    <n v="145"/>
    <n v="118"/>
    <n v="2355"/>
    <n v="125"/>
  </r>
  <r>
    <x v="1"/>
    <x v="3"/>
    <d v="2018-11-28T00:00:00"/>
    <x v="2"/>
    <n v="39"/>
    <n v="155"/>
    <n v="123"/>
    <n v="2356"/>
    <n v="150"/>
  </r>
  <r>
    <x v="1"/>
    <x v="3"/>
    <d v="2018-11-28T00:00:00"/>
    <x v="0"/>
    <n v="36"/>
    <n v="120"/>
    <n v="114"/>
    <n v="2357"/>
    <n v="133"/>
  </r>
  <r>
    <x v="1"/>
    <x v="3"/>
    <d v="2018-11-29T00:00:00"/>
    <x v="2"/>
    <n v="43"/>
    <n v="155"/>
    <n v="123"/>
    <n v="2361"/>
    <n v="201"/>
  </r>
  <r>
    <x v="1"/>
    <x v="3"/>
    <d v="2018-11-29T00:00:00"/>
    <x v="1"/>
    <n v="52"/>
    <n v="145"/>
    <n v="118"/>
    <n v="2364"/>
    <n v="190"/>
  </r>
  <r>
    <x v="1"/>
    <x v="3"/>
    <d v="2018-11-29T00:00:00"/>
    <x v="2"/>
    <n v="35"/>
    <n v="155"/>
    <n v="123"/>
    <n v="2362"/>
    <n v="125"/>
  </r>
  <r>
    <x v="1"/>
    <x v="3"/>
    <d v="2018-11-29T00:00:00"/>
    <x v="0"/>
    <n v="36"/>
    <n v="120"/>
    <n v="114"/>
    <n v="2360"/>
    <n v="127"/>
  </r>
  <r>
    <x v="1"/>
    <x v="3"/>
    <d v="2018-11-29T00:00:00"/>
    <x v="1"/>
    <n v="45"/>
    <n v="145"/>
    <n v="118"/>
    <n v="2359"/>
    <n v="156"/>
  </r>
  <r>
    <x v="1"/>
    <x v="3"/>
    <d v="2018-11-29T00:00:00"/>
    <x v="0"/>
    <n v="52"/>
    <n v="120"/>
    <n v="114"/>
    <n v="2358"/>
    <n v="192"/>
  </r>
  <r>
    <x v="1"/>
    <x v="3"/>
    <d v="2018-11-29T00:00:00"/>
    <x v="1"/>
    <n v="41"/>
    <n v="145"/>
    <n v="118"/>
    <n v="2363"/>
    <n v="150"/>
  </r>
  <r>
    <x v="1"/>
    <x v="3"/>
    <d v="2018-11-30T00:00:00"/>
    <x v="1"/>
    <n v="37"/>
    <n v="145"/>
    <n v="118"/>
    <n v="2365"/>
    <n v="173"/>
  </r>
  <r>
    <x v="1"/>
    <x v="3"/>
    <d v="2018-11-30T00:00:00"/>
    <x v="1"/>
    <n v="51"/>
    <n v="145"/>
    <n v="118"/>
    <n v="2366"/>
    <n v="184"/>
  </r>
  <r>
    <x v="1"/>
    <x v="3"/>
    <d v="2018-11-30T00:00:00"/>
    <x v="0"/>
    <n v="38"/>
    <n v="120"/>
    <n v="114"/>
    <n v="2367"/>
    <n v="139"/>
  </r>
  <r>
    <x v="1"/>
    <x v="3"/>
    <d v="2018-11-30T00:00:00"/>
    <x v="0"/>
    <n v="45"/>
    <n v="120"/>
    <n v="114"/>
    <n v="2368"/>
    <n v="166"/>
  </r>
  <r>
    <x v="1"/>
    <x v="3"/>
    <d v="2018-12-03T00:00:00"/>
    <x v="1"/>
    <n v="42"/>
    <n v="145"/>
    <n v="118"/>
    <n v="2369"/>
    <n v="154"/>
  </r>
  <r>
    <x v="1"/>
    <x v="3"/>
    <d v="2018-12-03T00:00:00"/>
    <x v="0"/>
    <n v="52"/>
    <n v="120"/>
    <n v="114"/>
    <n v="2374"/>
    <n v="181"/>
  </r>
  <r>
    <x v="1"/>
    <x v="3"/>
    <d v="2018-12-03T00:00:00"/>
    <x v="2"/>
    <n v="42"/>
    <n v="155"/>
    <n v="123"/>
    <n v="2373"/>
    <n v="146"/>
  </r>
  <r>
    <x v="1"/>
    <x v="3"/>
    <d v="2018-12-03T00:00:00"/>
    <x v="1"/>
    <n v="45"/>
    <n v="145"/>
    <n v="118"/>
    <n v="2370"/>
    <n v="165"/>
  </r>
  <r>
    <x v="1"/>
    <x v="3"/>
    <d v="2018-12-03T00:00:00"/>
    <x v="1"/>
    <n v="37"/>
    <n v="145"/>
    <n v="118"/>
    <n v="2371"/>
    <n v="133"/>
  </r>
  <r>
    <x v="1"/>
    <x v="3"/>
    <d v="2018-12-03T00:00:00"/>
    <x v="0"/>
    <n v="31"/>
    <n v="120"/>
    <n v="114"/>
    <n v="2372"/>
    <n v="110"/>
  </r>
  <r>
    <x v="1"/>
    <x v="3"/>
    <d v="2018-12-04T00:00:00"/>
    <x v="0"/>
    <n v="50"/>
    <n v="120"/>
    <n v="114"/>
    <n v="2375"/>
    <n v="178"/>
  </r>
  <r>
    <x v="1"/>
    <x v="3"/>
    <d v="2018-12-04T00:00:00"/>
    <x v="1"/>
    <n v="38"/>
    <n v="145"/>
    <n v="118"/>
    <n v="2376"/>
    <n v="178"/>
  </r>
  <r>
    <x v="1"/>
    <x v="3"/>
    <d v="2018-12-05T00:00:00"/>
    <x v="0"/>
    <n v="41"/>
    <n v="120"/>
    <n v="114"/>
    <n v="2381"/>
    <n v="146"/>
  </r>
  <r>
    <x v="1"/>
    <x v="3"/>
    <d v="2018-12-05T00:00:00"/>
    <x v="0"/>
    <n v="50"/>
    <n v="120"/>
    <n v="114"/>
    <n v="2382"/>
    <n v="174"/>
  </r>
  <r>
    <x v="1"/>
    <x v="3"/>
    <d v="2018-12-05T00:00:00"/>
    <x v="1"/>
    <n v="40"/>
    <n v="145"/>
    <n v="118"/>
    <n v="2380"/>
    <n v="139"/>
  </r>
  <r>
    <x v="1"/>
    <x v="3"/>
    <d v="2018-12-05T00:00:00"/>
    <x v="2"/>
    <n v="34"/>
    <n v="155"/>
    <n v="123"/>
    <n v="2379"/>
    <n v="117"/>
  </r>
  <r>
    <x v="1"/>
    <x v="3"/>
    <d v="2018-12-05T00:00:00"/>
    <x v="0"/>
    <n v="29"/>
    <n v="120"/>
    <n v="114"/>
    <n v="2378"/>
    <n v="101"/>
  </r>
  <r>
    <x v="1"/>
    <x v="3"/>
    <d v="2018-12-05T00:00:00"/>
    <x v="0"/>
    <n v="46"/>
    <n v="120"/>
    <n v="114"/>
    <n v="2377"/>
    <n v="169"/>
  </r>
  <r>
    <x v="1"/>
    <x v="3"/>
    <d v="2018-12-05T00:00:00"/>
    <x v="1"/>
    <n v="47"/>
    <n v="145"/>
    <n v="118"/>
    <n v="2383"/>
    <n v="221"/>
  </r>
  <r>
    <x v="1"/>
    <x v="3"/>
    <d v="2018-12-06T00:00:00"/>
    <x v="1"/>
    <n v="58"/>
    <n v="145"/>
    <n v="118"/>
    <n v="2384"/>
    <n v="200"/>
  </r>
  <r>
    <x v="1"/>
    <x v="3"/>
    <d v="2018-12-07T00:00:00"/>
    <x v="1"/>
    <n v="46"/>
    <n v="145"/>
    <n v="118"/>
    <n v="2385"/>
    <n v="163"/>
  </r>
  <r>
    <x v="1"/>
    <x v="3"/>
    <d v="2018-12-10T00:00:00"/>
    <x v="0"/>
    <n v="49"/>
    <n v="120"/>
    <n v="114"/>
    <n v="2386"/>
    <n v="174"/>
  </r>
  <r>
    <x v="1"/>
    <x v="3"/>
    <d v="2018-12-11T00:00:00"/>
    <x v="2"/>
    <n v="26"/>
    <n v="155"/>
    <n v="123"/>
    <n v="2388"/>
    <n v="94"/>
  </r>
  <r>
    <x v="1"/>
    <x v="3"/>
    <d v="2018-12-11T00:00:00"/>
    <x v="1"/>
    <n v="38"/>
    <n v="145"/>
    <n v="118"/>
    <n v="2387"/>
    <n v="135"/>
  </r>
  <r>
    <x v="1"/>
    <x v="3"/>
    <d v="2018-12-12T00:00:00"/>
    <x v="0"/>
    <n v="48"/>
    <n v="120"/>
    <n v="114"/>
    <n v="2393"/>
    <n v="222"/>
  </r>
  <r>
    <x v="1"/>
    <x v="3"/>
    <d v="2018-12-12T00:00:00"/>
    <x v="1"/>
    <n v="57"/>
    <n v="145"/>
    <n v="118"/>
    <n v="2395"/>
    <n v="202"/>
  </r>
  <r>
    <x v="1"/>
    <x v="3"/>
    <d v="2018-12-12T00:00:00"/>
    <x v="2"/>
    <n v="38"/>
    <n v="155"/>
    <n v="123"/>
    <n v="2396"/>
    <n v="133"/>
  </r>
  <r>
    <x v="1"/>
    <x v="3"/>
    <d v="2018-12-12T00:00:00"/>
    <x v="1"/>
    <n v="38"/>
    <n v="145"/>
    <n v="118"/>
    <n v="2394"/>
    <n v="132"/>
  </r>
  <r>
    <x v="1"/>
    <x v="3"/>
    <d v="2018-12-12T00:00:00"/>
    <x v="1"/>
    <n v="45"/>
    <n v="145"/>
    <n v="118"/>
    <n v="2392"/>
    <n v="166"/>
  </r>
  <r>
    <x v="1"/>
    <x v="3"/>
    <d v="2018-12-12T00:00:00"/>
    <x v="0"/>
    <n v="49"/>
    <n v="120"/>
    <n v="114"/>
    <n v="2391"/>
    <n v="168"/>
  </r>
  <r>
    <x v="1"/>
    <x v="3"/>
    <d v="2018-12-12T00:00:00"/>
    <x v="2"/>
    <n v="33"/>
    <n v="155"/>
    <n v="123"/>
    <n v="2389"/>
    <n v="118"/>
  </r>
  <r>
    <x v="1"/>
    <x v="3"/>
    <d v="2018-12-12T00:00:00"/>
    <x v="1"/>
    <n v="42"/>
    <n v="145"/>
    <n v="118"/>
    <n v="2390"/>
    <n v="153"/>
  </r>
  <r>
    <x v="1"/>
    <x v="3"/>
    <d v="2018-12-13T00:00:00"/>
    <x v="2"/>
    <n v="49"/>
    <n v="155"/>
    <n v="123"/>
    <n v="2397"/>
    <n v="179"/>
  </r>
  <r>
    <x v="1"/>
    <x v="3"/>
    <d v="2018-12-13T00:00:00"/>
    <x v="0"/>
    <n v="47"/>
    <n v="120"/>
    <n v="114"/>
    <n v="2398"/>
    <n v="172"/>
  </r>
  <r>
    <x v="1"/>
    <x v="3"/>
    <d v="2018-12-13T00:00:00"/>
    <x v="1"/>
    <n v="43"/>
    <n v="145"/>
    <n v="118"/>
    <n v="2399"/>
    <n v="151"/>
  </r>
  <r>
    <x v="1"/>
    <x v="3"/>
    <d v="2018-12-13T00:00:00"/>
    <x v="0"/>
    <n v="35"/>
    <n v="120"/>
    <n v="114"/>
    <n v="2400"/>
    <n v="121"/>
  </r>
  <r>
    <x v="1"/>
    <x v="3"/>
    <d v="2018-12-13T00:00:00"/>
    <x v="0"/>
    <n v="46"/>
    <n v="120"/>
    <n v="114"/>
    <n v="2401"/>
    <n v="165"/>
  </r>
  <r>
    <x v="1"/>
    <x v="3"/>
    <d v="2018-12-13T00:00:00"/>
    <x v="2"/>
    <n v="48"/>
    <n v="155"/>
    <n v="123"/>
    <n v="2402"/>
    <n v="176"/>
  </r>
  <r>
    <x v="1"/>
    <x v="3"/>
    <d v="2018-12-13T00:00:00"/>
    <x v="2"/>
    <n v="27"/>
    <n v="155"/>
    <n v="123"/>
    <n v="2403"/>
    <n v="126"/>
  </r>
  <r>
    <x v="1"/>
    <x v="3"/>
    <d v="2018-12-14T00:00:00"/>
    <x v="0"/>
    <n v="41"/>
    <n v="120"/>
    <n v="114"/>
    <n v="2404"/>
    <n v="150"/>
  </r>
  <r>
    <x v="1"/>
    <x v="3"/>
    <d v="2018-12-17T00:00:00"/>
    <x v="1"/>
    <n v="46"/>
    <n v="145"/>
    <n v="118"/>
    <n v="2406"/>
    <n v="212"/>
  </r>
  <r>
    <x v="1"/>
    <x v="3"/>
    <d v="2018-12-17T00:00:00"/>
    <x v="2"/>
    <n v="34"/>
    <n v="155"/>
    <n v="123"/>
    <n v="2405"/>
    <n v="117"/>
  </r>
  <r>
    <x v="1"/>
    <x v="3"/>
    <d v="2018-12-18T00:00:00"/>
    <x v="2"/>
    <n v="42"/>
    <n v="155"/>
    <n v="123"/>
    <n v="2408"/>
    <n v="150"/>
  </r>
  <r>
    <x v="1"/>
    <x v="3"/>
    <d v="2018-12-18T00:00:00"/>
    <x v="0"/>
    <n v="50"/>
    <n v="120"/>
    <n v="114"/>
    <n v="2407"/>
    <n v="181"/>
  </r>
  <r>
    <x v="1"/>
    <x v="3"/>
    <d v="2018-12-19T00:00:00"/>
    <x v="0"/>
    <n v="46"/>
    <n v="120"/>
    <n v="114"/>
    <n v="2409"/>
    <n v="162"/>
  </r>
  <r>
    <x v="1"/>
    <x v="3"/>
    <d v="2018-12-19T00:00:00"/>
    <x v="1"/>
    <n v="36"/>
    <n v="145"/>
    <n v="118"/>
    <n v="2410"/>
    <n v="169"/>
  </r>
  <r>
    <x v="1"/>
    <x v="3"/>
    <d v="2018-12-19T00:00:00"/>
    <x v="0"/>
    <n v="33"/>
    <n v="120"/>
    <n v="114"/>
    <n v="2411"/>
    <n v="116"/>
  </r>
  <r>
    <x v="1"/>
    <x v="3"/>
    <d v="2018-12-19T00:00:00"/>
    <x v="0"/>
    <n v="34"/>
    <n v="120"/>
    <n v="114"/>
    <n v="2412"/>
    <n v="124"/>
  </r>
  <r>
    <x v="1"/>
    <x v="3"/>
    <d v="2018-12-19T00:00:00"/>
    <x v="1"/>
    <n v="54"/>
    <n v="145"/>
    <n v="118"/>
    <n v="2413"/>
    <n v="198"/>
  </r>
  <r>
    <x v="1"/>
    <x v="3"/>
    <d v="2018-12-19T00:00:00"/>
    <x v="1"/>
    <n v="56"/>
    <n v="145"/>
    <n v="118"/>
    <n v="2414"/>
    <n v="258"/>
  </r>
  <r>
    <x v="1"/>
    <x v="3"/>
    <d v="2018-12-20T00:00:00"/>
    <x v="0"/>
    <n v="40"/>
    <n v="120"/>
    <n v="114"/>
    <n v="2415"/>
    <n v="141"/>
  </r>
  <r>
    <x v="1"/>
    <x v="3"/>
    <d v="2018-12-20T00:00:00"/>
    <x v="0"/>
    <n v="48"/>
    <n v="120"/>
    <n v="114"/>
    <n v="2416"/>
    <n v="166"/>
  </r>
  <r>
    <x v="1"/>
    <x v="3"/>
    <d v="2018-12-20T00:00:00"/>
    <x v="0"/>
    <n v="52"/>
    <n v="120"/>
    <n v="114"/>
    <n v="2417"/>
    <n v="183"/>
  </r>
  <r>
    <x v="1"/>
    <x v="3"/>
    <d v="2018-12-20T00:00:00"/>
    <x v="0"/>
    <n v="30"/>
    <n v="120"/>
    <n v="114"/>
    <n v="2418"/>
    <n v="110"/>
  </r>
  <r>
    <x v="1"/>
    <x v="3"/>
    <d v="2018-12-21T00:00:00"/>
    <x v="2"/>
    <n v="50"/>
    <n v="155"/>
    <n v="123"/>
    <n v="2419"/>
    <n v="175"/>
  </r>
  <r>
    <x v="1"/>
    <x v="3"/>
    <d v="2018-12-24T00:00:00"/>
    <x v="1"/>
    <n v="53"/>
    <n v="145"/>
    <n v="118"/>
    <n v="2423"/>
    <n v="191"/>
  </r>
  <r>
    <x v="1"/>
    <x v="3"/>
    <d v="2018-12-24T00:00:00"/>
    <x v="0"/>
    <n v="51"/>
    <n v="120"/>
    <n v="114"/>
    <n v="2424"/>
    <n v="178"/>
  </r>
  <r>
    <x v="1"/>
    <x v="3"/>
    <d v="2018-12-24T00:00:00"/>
    <x v="1"/>
    <n v="42"/>
    <n v="145"/>
    <n v="118"/>
    <n v="2420"/>
    <n v="152"/>
  </r>
  <r>
    <x v="1"/>
    <x v="3"/>
    <d v="2018-12-24T00:00:00"/>
    <x v="2"/>
    <n v="39"/>
    <n v="155"/>
    <n v="123"/>
    <n v="2421"/>
    <n v="142"/>
  </r>
  <r>
    <x v="1"/>
    <x v="3"/>
    <d v="2018-12-24T00:00:00"/>
    <x v="2"/>
    <n v="35"/>
    <n v="155"/>
    <n v="123"/>
    <n v="2422"/>
    <n v="164"/>
  </r>
  <r>
    <x v="1"/>
    <x v="3"/>
    <d v="2018-12-24T00:00:00"/>
    <x v="0"/>
    <n v="52"/>
    <n v="120"/>
    <n v="114"/>
    <n v="2425"/>
    <n v="187"/>
  </r>
  <r>
    <x v="1"/>
    <x v="3"/>
    <d v="2018-12-25T00:00:00"/>
    <x v="2"/>
    <n v="49"/>
    <n v="155"/>
    <n v="123"/>
    <n v="2430"/>
    <n v="176"/>
  </r>
  <r>
    <x v="1"/>
    <x v="3"/>
    <d v="2018-12-25T00:00:00"/>
    <x v="1"/>
    <n v="56"/>
    <n v="145"/>
    <n v="118"/>
    <n v="2426"/>
    <n v="199"/>
  </r>
  <r>
    <x v="1"/>
    <x v="3"/>
    <d v="2018-12-25T00:00:00"/>
    <x v="1"/>
    <n v="47"/>
    <n v="145"/>
    <n v="118"/>
    <n v="2427"/>
    <n v="162"/>
  </r>
  <r>
    <x v="1"/>
    <x v="3"/>
    <d v="2018-12-25T00:00:00"/>
    <x v="0"/>
    <n v="49"/>
    <n v="120"/>
    <n v="114"/>
    <n v="2428"/>
    <n v="171"/>
  </r>
  <r>
    <x v="1"/>
    <x v="3"/>
    <d v="2018-12-25T00:00:00"/>
    <x v="1"/>
    <n v="38"/>
    <n v="145"/>
    <n v="118"/>
    <n v="2429"/>
    <n v="133"/>
  </r>
  <r>
    <x v="1"/>
    <x v="3"/>
    <d v="2018-12-26T00:00:00"/>
    <x v="0"/>
    <n v="55"/>
    <n v="120"/>
    <n v="114"/>
    <n v="2435"/>
    <n v="195"/>
  </r>
  <r>
    <x v="1"/>
    <x v="3"/>
    <d v="2018-12-26T00:00:00"/>
    <x v="0"/>
    <n v="38"/>
    <n v="120"/>
    <n v="114"/>
    <n v="2434"/>
    <n v="138"/>
  </r>
  <r>
    <x v="1"/>
    <x v="3"/>
    <d v="2018-12-26T00:00:00"/>
    <x v="2"/>
    <n v="46"/>
    <n v="155"/>
    <n v="123"/>
    <n v="2433"/>
    <n v="163"/>
  </r>
  <r>
    <x v="1"/>
    <x v="3"/>
    <d v="2018-12-26T00:00:00"/>
    <x v="0"/>
    <n v="31"/>
    <n v="120"/>
    <n v="114"/>
    <n v="2431"/>
    <n v="110"/>
  </r>
  <r>
    <x v="1"/>
    <x v="3"/>
    <d v="2018-12-26T00:00:00"/>
    <x v="2"/>
    <n v="31"/>
    <n v="155"/>
    <n v="123"/>
    <n v="2432"/>
    <n v="114"/>
  </r>
  <r>
    <x v="1"/>
    <x v="3"/>
    <d v="2018-12-27T00:00:00"/>
    <x v="2"/>
    <n v="40"/>
    <n v="155"/>
    <n v="123"/>
    <n v="2436"/>
    <n v="143"/>
  </r>
  <r>
    <x v="1"/>
    <x v="3"/>
    <d v="2018-12-27T00:00:00"/>
    <x v="0"/>
    <n v="52"/>
    <n v="120"/>
    <n v="114"/>
    <n v="2437"/>
    <n v="243"/>
  </r>
  <r>
    <x v="1"/>
    <x v="3"/>
    <d v="2018-12-28T00:00:00"/>
    <x v="2"/>
    <n v="25"/>
    <n v="155"/>
    <n v="123"/>
    <n v="2442"/>
    <n v="88"/>
  </r>
  <r>
    <x v="1"/>
    <x v="3"/>
    <d v="2018-12-28T00:00:00"/>
    <x v="1"/>
    <n v="34"/>
    <n v="145"/>
    <n v="118"/>
    <n v="2444"/>
    <n v="117"/>
  </r>
  <r>
    <x v="1"/>
    <x v="3"/>
    <d v="2018-12-28T00:00:00"/>
    <x v="2"/>
    <n v="40"/>
    <n v="155"/>
    <n v="123"/>
    <n v="2443"/>
    <n v="144"/>
  </r>
  <r>
    <x v="1"/>
    <x v="3"/>
    <d v="2018-12-28T00:00:00"/>
    <x v="0"/>
    <n v="53"/>
    <n v="120"/>
    <n v="114"/>
    <n v="2440"/>
    <n v="186"/>
  </r>
  <r>
    <x v="1"/>
    <x v="3"/>
    <d v="2018-12-28T00:00:00"/>
    <x v="1"/>
    <n v="51"/>
    <n v="145"/>
    <n v="118"/>
    <n v="2439"/>
    <n v="186"/>
  </r>
  <r>
    <x v="1"/>
    <x v="3"/>
    <d v="2018-12-28T00:00:00"/>
    <x v="2"/>
    <n v="37"/>
    <n v="155"/>
    <n v="123"/>
    <n v="2438"/>
    <n v="133"/>
  </r>
  <r>
    <x v="1"/>
    <x v="3"/>
    <d v="2018-12-28T00:00:00"/>
    <x v="0"/>
    <n v="47"/>
    <n v="120"/>
    <n v="114"/>
    <n v="2445"/>
    <n v="169"/>
  </r>
  <r>
    <x v="1"/>
    <x v="3"/>
    <d v="2018-12-28T00:00:00"/>
    <x v="0"/>
    <n v="43"/>
    <n v="120"/>
    <n v="114"/>
    <n v="2441"/>
    <n v="158"/>
  </r>
  <r>
    <x v="1"/>
    <x v="3"/>
    <d v="2018-12-31T00:00:00"/>
    <x v="1"/>
    <n v="40"/>
    <n v="145"/>
    <n v="118"/>
    <n v="2446"/>
    <n v="142"/>
  </r>
  <r>
    <x v="1"/>
    <x v="3"/>
    <d v="2018-12-31T00:00:00"/>
    <x v="1"/>
    <n v="50"/>
    <n v="145"/>
    <n v="118"/>
    <n v="2447"/>
    <n v="172"/>
  </r>
  <r>
    <x v="1"/>
    <x v="3"/>
    <d v="2018-12-31T00:00:00"/>
    <x v="1"/>
    <n v="46"/>
    <n v="145"/>
    <n v="118"/>
    <n v="2448"/>
    <n v="213"/>
  </r>
  <r>
    <x v="2"/>
    <x v="0"/>
    <d v="2019-01-01T00:00:00"/>
    <x v="1"/>
    <n v="58"/>
    <n v="140"/>
    <n v="118"/>
    <n v="2449"/>
    <n v="207"/>
  </r>
  <r>
    <x v="2"/>
    <x v="0"/>
    <d v="2019-01-02T00:00:00"/>
    <x v="2"/>
    <n v="48"/>
    <n v="155"/>
    <n v="123"/>
    <n v="2456"/>
    <n v="171"/>
  </r>
  <r>
    <x v="2"/>
    <x v="0"/>
    <d v="2019-01-02T00:00:00"/>
    <x v="1"/>
    <n v="42"/>
    <n v="140"/>
    <n v="118"/>
    <n v="2455"/>
    <n v="145"/>
  </r>
  <r>
    <x v="2"/>
    <x v="0"/>
    <d v="2019-01-02T00:00:00"/>
    <x v="1"/>
    <n v="50"/>
    <n v="140"/>
    <n v="118"/>
    <n v="2454"/>
    <n v="182"/>
  </r>
  <r>
    <x v="2"/>
    <x v="0"/>
    <d v="2019-01-02T00:00:00"/>
    <x v="1"/>
    <n v="57"/>
    <n v="140"/>
    <n v="118"/>
    <n v="2453"/>
    <n v="205"/>
  </r>
  <r>
    <x v="2"/>
    <x v="0"/>
    <d v="2019-01-02T00:00:00"/>
    <x v="2"/>
    <n v="29"/>
    <n v="155"/>
    <n v="123"/>
    <n v="2452"/>
    <n v="106"/>
  </r>
  <r>
    <x v="2"/>
    <x v="0"/>
    <d v="2019-01-02T00:00:00"/>
    <x v="1"/>
    <n v="46"/>
    <n v="140"/>
    <n v="118"/>
    <n v="2450"/>
    <n v="161"/>
  </r>
  <r>
    <x v="2"/>
    <x v="0"/>
    <d v="2019-01-02T00:00:00"/>
    <x v="2"/>
    <n v="34"/>
    <n v="155"/>
    <n v="123"/>
    <n v="2451"/>
    <n v="122"/>
  </r>
  <r>
    <x v="2"/>
    <x v="0"/>
    <d v="2019-01-03T00:00:00"/>
    <x v="0"/>
    <n v="52"/>
    <n v="115"/>
    <n v="114"/>
    <n v="2460"/>
    <n v="186"/>
  </r>
  <r>
    <x v="2"/>
    <x v="0"/>
    <d v="2019-01-03T00:00:00"/>
    <x v="0"/>
    <n v="54"/>
    <n v="115"/>
    <n v="114"/>
    <n v="2463"/>
    <n v="190"/>
  </r>
  <r>
    <x v="2"/>
    <x v="0"/>
    <d v="2019-01-03T00:00:00"/>
    <x v="1"/>
    <n v="48"/>
    <n v="140"/>
    <n v="118"/>
    <n v="2461"/>
    <n v="171"/>
  </r>
  <r>
    <x v="2"/>
    <x v="0"/>
    <d v="2019-01-03T00:00:00"/>
    <x v="0"/>
    <n v="38"/>
    <n v="115"/>
    <n v="114"/>
    <n v="2458"/>
    <n v="175"/>
  </r>
  <r>
    <x v="2"/>
    <x v="0"/>
    <d v="2019-01-03T00:00:00"/>
    <x v="2"/>
    <n v="54"/>
    <n v="155"/>
    <n v="123"/>
    <n v="2457"/>
    <n v="194"/>
  </r>
  <r>
    <x v="2"/>
    <x v="0"/>
    <d v="2019-01-03T00:00:00"/>
    <x v="1"/>
    <n v="61"/>
    <n v="140"/>
    <n v="118"/>
    <n v="2462"/>
    <n v="220"/>
  </r>
  <r>
    <x v="2"/>
    <x v="0"/>
    <d v="2019-01-03T00:00:00"/>
    <x v="1"/>
    <n v="53"/>
    <n v="140"/>
    <n v="118"/>
    <n v="2459"/>
    <n v="187"/>
  </r>
  <r>
    <x v="2"/>
    <x v="0"/>
    <d v="2019-01-04T00:00:00"/>
    <x v="2"/>
    <n v="44"/>
    <n v="155"/>
    <n v="123"/>
    <n v="2464"/>
    <n v="205"/>
  </r>
  <r>
    <x v="2"/>
    <x v="0"/>
    <d v="2019-01-04T00:00:00"/>
    <x v="2"/>
    <n v="46"/>
    <n v="155"/>
    <n v="123"/>
    <n v="2465"/>
    <n v="166"/>
  </r>
  <r>
    <x v="2"/>
    <x v="0"/>
    <d v="2019-01-04T00:00:00"/>
    <x v="0"/>
    <n v="54"/>
    <n v="115"/>
    <n v="114"/>
    <n v="2466"/>
    <n v="190"/>
  </r>
  <r>
    <x v="2"/>
    <x v="0"/>
    <d v="2019-01-04T00:00:00"/>
    <x v="2"/>
    <n v="32"/>
    <n v="155"/>
    <n v="123"/>
    <n v="2467"/>
    <n v="116"/>
  </r>
  <r>
    <x v="2"/>
    <x v="0"/>
    <d v="2019-01-04T00:00:00"/>
    <x v="2"/>
    <n v="49"/>
    <n v="155"/>
    <n v="123"/>
    <n v="2468"/>
    <n v="172"/>
  </r>
  <r>
    <x v="2"/>
    <x v="0"/>
    <d v="2019-01-07T00:00:00"/>
    <x v="1"/>
    <n v="44"/>
    <n v="140"/>
    <n v="118"/>
    <n v="2470"/>
    <n v="207"/>
  </r>
  <r>
    <x v="2"/>
    <x v="0"/>
    <d v="2019-01-07T00:00:00"/>
    <x v="0"/>
    <n v="37"/>
    <n v="115"/>
    <n v="114"/>
    <n v="2471"/>
    <n v="133"/>
  </r>
  <r>
    <x v="2"/>
    <x v="0"/>
    <d v="2019-01-07T00:00:00"/>
    <x v="2"/>
    <n v="31"/>
    <n v="155"/>
    <n v="123"/>
    <n v="2469"/>
    <n v="109"/>
  </r>
  <r>
    <x v="2"/>
    <x v="0"/>
    <d v="2019-01-08T00:00:00"/>
    <x v="1"/>
    <n v="44"/>
    <n v="140"/>
    <n v="118"/>
    <n v="2473"/>
    <n v="151"/>
  </r>
  <r>
    <x v="2"/>
    <x v="0"/>
    <d v="2019-01-08T00:00:00"/>
    <x v="0"/>
    <n v="42"/>
    <n v="115"/>
    <n v="114"/>
    <n v="2474"/>
    <n v="195"/>
  </r>
  <r>
    <x v="2"/>
    <x v="0"/>
    <d v="2019-01-08T00:00:00"/>
    <x v="1"/>
    <n v="52"/>
    <n v="140"/>
    <n v="118"/>
    <n v="2475"/>
    <n v="191"/>
  </r>
  <r>
    <x v="2"/>
    <x v="0"/>
    <d v="2019-01-08T00:00:00"/>
    <x v="2"/>
    <n v="47"/>
    <n v="155"/>
    <n v="123"/>
    <n v="2476"/>
    <n v="220"/>
  </r>
  <r>
    <x v="2"/>
    <x v="0"/>
    <d v="2019-01-08T00:00:00"/>
    <x v="0"/>
    <n v="36"/>
    <n v="115"/>
    <n v="114"/>
    <n v="2477"/>
    <n v="127"/>
  </r>
  <r>
    <x v="2"/>
    <x v="0"/>
    <d v="2019-01-08T00:00:00"/>
    <x v="1"/>
    <n v="62"/>
    <n v="140"/>
    <n v="118"/>
    <n v="2478"/>
    <n v="219"/>
  </r>
  <r>
    <x v="2"/>
    <x v="0"/>
    <d v="2019-01-08T00:00:00"/>
    <x v="0"/>
    <n v="41"/>
    <n v="115"/>
    <n v="114"/>
    <n v="2472"/>
    <n v="143"/>
  </r>
  <r>
    <x v="2"/>
    <x v="0"/>
    <d v="2019-01-09T00:00:00"/>
    <x v="2"/>
    <n v="43"/>
    <n v="155"/>
    <n v="123"/>
    <n v="2482"/>
    <n v="156"/>
  </r>
  <r>
    <x v="2"/>
    <x v="0"/>
    <d v="2019-01-09T00:00:00"/>
    <x v="2"/>
    <n v="45"/>
    <n v="155"/>
    <n v="123"/>
    <n v="2479"/>
    <n v="170"/>
  </r>
  <r>
    <x v="2"/>
    <x v="0"/>
    <d v="2019-01-09T00:00:00"/>
    <x v="0"/>
    <n v="40"/>
    <n v="115"/>
    <n v="114"/>
    <n v="2483"/>
    <n v="141"/>
  </r>
  <r>
    <x v="2"/>
    <x v="0"/>
    <d v="2019-01-09T00:00:00"/>
    <x v="0"/>
    <n v="56"/>
    <n v="115"/>
    <n v="114"/>
    <n v="2480"/>
    <n v="194"/>
  </r>
  <r>
    <x v="2"/>
    <x v="0"/>
    <d v="2019-01-09T00:00:00"/>
    <x v="2"/>
    <n v="41"/>
    <n v="155"/>
    <n v="123"/>
    <n v="2481"/>
    <n v="141"/>
  </r>
  <r>
    <x v="2"/>
    <x v="0"/>
    <d v="2019-01-10T00:00:00"/>
    <x v="1"/>
    <n v="60"/>
    <n v="140"/>
    <n v="118"/>
    <n v="2484"/>
    <n v="209"/>
  </r>
  <r>
    <x v="2"/>
    <x v="0"/>
    <d v="2019-01-11T00:00:00"/>
    <x v="2"/>
    <n v="45"/>
    <n v="155"/>
    <n v="123"/>
    <n v="2485"/>
    <n v="158"/>
  </r>
  <r>
    <x v="2"/>
    <x v="0"/>
    <d v="2019-01-11T00:00:00"/>
    <x v="1"/>
    <n v="57"/>
    <n v="140"/>
    <n v="118"/>
    <n v="2486"/>
    <n v="204"/>
  </r>
  <r>
    <x v="2"/>
    <x v="0"/>
    <d v="2019-01-11T00:00:00"/>
    <x v="0"/>
    <n v="45"/>
    <n v="115"/>
    <n v="114"/>
    <n v="2487"/>
    <n v="157"/>
  </r>
  <r>
    <x v="2"/>
    <x v="0"/>
    <d v="2019-01-14T00:00:00"/>
    <x v="1"/>
    <n v="65"/>
    <n v="140"/>
    <n v="118"/>
    <n v="2488"/>
    <n v="223"/>
  </r>
  <r>
    <x v="2"/>
    <x v="0"/>
    <d v="2019-01-15T00:00:00"/>
    <x v="2"/>
    <n v="48"/>
    <n v="155"/>
    <n v="123"/>
    <n v="2491"/>
    <n v="166"/>
  </r>
  <r>
    <x v="2"/>
    <x v="0"/>
    <d v="2019-01-15T00:00:00"/>
    <x v="1"/>
    <n v="64"/>
    <n v="140"/>
    <n v="118"/>
    <n v="2489"/>
    <n v="294"/>
  </r>
  <r>
    <x v="2"/>
    <x v="0"/>
    <d v="2019-01-15T00:00:00"/>
    <x v="1"/>
    <n v="62"/>
    <n v="140"/>
    <n v="118"/>
    <n v="2490"/>
    <n v="225"/>
  </r>
  <r>
    <x v="2"/>
    <x v="0"/>
    <d v="2019-01-16T00:00:00"/>
    <x v="0"/>
    <n v="37"/>
    <n v="115"/>
    <n v="114"/>
    <n v="2494"/>
    <n v="171"/>
  </r>
  <r>
    <x v="2"/>
    <x v="0"/>
    <d v="2019-01-16T00:00:00"/>
    <x v="1"/>
    <n v="63"/>
    <n v="140"/>
    <n v="118"/>
    <n v="2492"/>
    <n v="222"/>
  </r>
  <r>
    <x v="2"/>
    <x v="0"/>
    <d v="2019-01-16T00:00:00"/>
    <x v="2"/>
    <n v="41"/>
    <n v="155"/>
    <n v="123"/>
    <n v="2493"/>
    <n v="147"/>
  </r>
  <r>
    <x v="2"/>
    <x v="0"/>
    <d v="2019-01-17T00:00:00"/>
    <x v="2"/>
    <n v="53"/>
    <n v="155"/>
    <n v="123"/>
    <n v="2495"/>
    <n v="193"/>
  </r>
  <r>
    <x v="2"/>
    <x v="0"/>
    <d v="2019-01-17T00:00:00"/>
    <x v="2"/>
    <n v="45"/>
    <n v="155"/>
    <n v="123"/>
    <n v="2496"/>
    <n v="166"/>
  </r>
  <r>
    <x v="2"/>
    <x v="0"/>
    <d v="2019-01-17T00:00:00"/>
    <x v="0"/>
    <n v="43"/>
    <n v="115"/>
    <n v="114"/>
    <n v="2497"/>
    <n v="148"/>
  </r>
  <r>
    <x v="2"/>
    <x v="0"/>
    <d v="2019-01-17T00:00:00"/>
    <x v="1"/>
    <n v="59"/>
    <n v="140"/>
    <n v="118"/>
    <n v="2498"/>
    <n v="216"/>
  </r>
  <r>
    <x v="2"/>
    <x v="0"/>
    <d v="2019-01-17T00:00:00"/>
    <x v="2"/>
    <n v="40"/>
    <n v="155"/>
    <n v="123"/>
    <n v="2499"/>
    <n v="140"/>
  </r>
  <r>
    <x v="2"/>
    <x v="0"/>
    <d v="2019-01-21T00:00:00"/>
    <x v="1"/>
    <n v="63"/>
    <n v="140"/>
    <n v="118"/>
    <n v="2503"/>
    <n v="229"/>
  </r>
  <r>
    <x v="2"/>
    <x v="0"/>
    <d v="2019-01-21T00:00:00"/>
    <x v="2"/>
    <n v="50"/>
    <n v="155"/>
    <n v="123"/>
    <n v="2505"/>
    <n v="172"/>
  </r>
  <r>
    <x v="2"/>
    <x v="0"/>
    <d v="2019-01-21T00:00:00"/>
    <x v="0"/>
    <n v="51"/>
    <n v="115"/>
    <n v="114"/>
    <n v="2504"/>
    <n v="186"/>
  </r>
  <r>
    <x v="2"/>
    <x v="0"/>
    <d v="2019-01-21T00:00:00"/>
    <x v="2"/>
    <n v="34"/>
    <n v="155"/>
    <n v="123"/>
    <n v="2500"/>
    <n v="117"/>
  </r>
  <r>
    <x v="2"/>
    <x v="0"/>
    <d v="2019-01-21T00:00:00"/>
    <x v="1"/>
    <n v="55"/>
    <n v="140"/>
    <n v="118"/>
    <n v="2502"/>
    <n v="253"/>
  </r>
  <r>
    <x v="2"/>
    <x v="0"/>
    <d v="2019-01-21T00:00:00"/>
    <x v="2"/>
    <n v="46"/>
    <n v="155"/>
    <n v="123"/>
    <n v="2501"/>
    <n v="165"/>
  </r>
  <r>
    <x v="2"/>
    <x v="0"/>
    <d v="2019-01-22T00:00:00"/>
    <x v="1"/>
    <n v="63"/>
    <n v="140"/>
    <n v="118"/>
    <n v="2506"/>
    <n v="291"/>
  </r>
  <r>
    <x v="2"/>
    <x v="0"/>
    <d v="2019-01-22T00:00:00"/>
    <x v="2"/>
    <n v="36"/>
    <n v="155"/>
    <n v="123"/>
    <n v="2507"/>
    <n v="133"/>
  </r>
  <r>
    <x v="2"/>
    <x v="0"/>
    <d v="2019-01-22T00:00:00"/>
    <x v="1"/>
    <n v="59"/>
    <n v="140"/>
    <n v="118"/>
    <n v="2508"/>
    <n v="217"/>
  </r>
  <r>
    <x v="2"/>
    <x v="0"/>
    <d v="2019-01-22T00:00:00"/>
    <x v="2"/>
    <n v="37"/>
    <n v="155"/>
    <n v="123"/>
    <n v="2509"/>
    <n v="137"/>
  </r>
  <r>
    <x v="2"/>
    <x v="0"/>
    <d v="2019-01-23T00:00:00"/>
    <x v="0"/>
    <n v="47"/>
    <n v="115"/>
    <n v="114"/>
    <n v="2510"/>
    <n v="162"/>
  </r>
  <r>
    <x v="2"/>
    <x v="0"/>
    <d v="2019-01-23T00:00:00"/>
    <x v="2"/>
    <n v="31"/>
    <n v="155"/>
    <n v="123"/>
    <n v="2515"/>
    <n v="105"/>
  </r>
  <r>
    <x v="2"/>
    <x v="0"/>
    <d v="2019-01-23T00:00:00"/>
    <x v="2"/>
    <n v="55"/>
    <n v="155"/>
    <n v="123"/>
    <n v="2514"/>
    <n v="191"/>
  </r>
  <r>
    <x v="2"/>
    <x v="0"/>
    <d v="2019-01-23T00:00:00"/>
    <x v="0"/>
    <n v="35"/>
    <n v="115"/>
    <n v="114"/>
    <n v="2513"/>
    <n v="121"/>
  </r>
  <r>
    <x v="2"/>
    <x v="0"/>
    <d v="2019-01-23T00:00:00"/>
    <x v="0"/>
    <n v="58"/>
    <n v="115"/>
    <n v="114"/>
    <n v="2511"/>
    <n v="199"/>
  </r>
  <r>
    <x v="2"/>
    <x v="0"/>
    <d v="2019-01-23T00:00:00"/>
    <x v="0"/>
    <n v="47"/>
    <n v="115"/>
    <n v="114"/>
    <n v="2512"/>
    <n v="172"/>
  </r>
  <r>
    <x v="2"/>
    <x v="0"/>
    <d v="2019-01-24T00:00:00"/>
    <x v="0"/>
    <n v="50"/>
    <n v="115"/>
    <n v="114"/>
    <n v="2518"/>
    <n v="183"/>
  </r>
  <r>
    <x v="2"/>
    <x v="0"/>
    <d v="2019-01-24T00:00:00"/>
    <x v="1"/>
    <n v="62"/>
    <n v="140"/>
    <n v="118"/>
    <n v="2522"/>
    <n v="216"/>
  </r>
  <r>
    <x v="2"/>
    <x v="0"/>
    <d v="2019-01-24T00:00:00"/>
    <x v="2"/>
    <n v="29"/>
    <n v="155"/>
    <n v="123"/>
    <n v="2521"/>
    <n v="102"/>
  </r>
  <r>
    <x v="2"/>
    <x v="0"/>
    <d v="2019-01-24T00:00:00"/>
    <x v="2"/>
    <n v="52"/>
    <n v="155"/>
    <n v="123"/>
    <n v="2520"/>
    <n v="244"/>
  </r>
  <r>
    <x v="2"/>
    <x v="0"/>
    <d v="2019-01-24T00:00:00"/>
    <x v="1"/>
    <n v="65"/>
    <n v="140"/>
    <n v="118"/>
    <n v="2517"/>
    <n v="247"/>
  </r>
  <r>
    <x v="2"/>
    <x v="0"/>
    <d v="2019-01-24T00:00:00"/>
    <x v="2"/>
    <n v="29"/>
    <n v="155"/>
    <n v="123"/>
    <n v="2516"/>
    <n v="104"/>
  </r>
  <r>
    <x v="2"/>
    <x v="0"/>
    <d v="2019-01-24T00:00:00"/>
    <x v="0"/>
    <n v="40"/>
    <n v="115"/>
    <n v="114"/>
    <n v="2519"/>
    <n v="143"/>
  </r>
  <r>
    <x v="2"/>
    <x v="0"/>
    <d v="2019-01-28T00:00:00"/>
    <x v="1"/>
    <n v="53"/>
    <n v="140"/>
    <n v="118"/>
    <n v="2523"/>
    <n v="190"/>
  </r>
  <r>
    <x v="2"/>
    <x v="0"/>
    <d v="2019-01-28T00:00:00"/>
    <x v="2"/>
    <n v="43"/>
    <n v="155"/>
    <n v="123"/>
    <n v="2524"/>
    <n v="201"/>
  </r>
  <r>
    <x v="2"/>
    <x v="0"/>
    <d v="2019-01-28T00:00:00"/>
    <x v="0"/>
    <n v="49"/>
    <n v="115"/>
    <n v="114"/>
    <n v="2525"/>
    <n v="172"/>
  </r>
  <r>
    <x v="2"/>
    <x v="0"/>
    <d v="2019-01-29T00:00:00"/>
    <x v="0"/>
    <n v="48"/>
    <n v="115"/>
    <n v="114"/>
    <n v="2527"/>
    <n v="176"/>
  </r>
  <r>
    <x v="2"/>
    <x v="0"/>
    <d v="2019-01-29T00:00:00"/>
    <x v="1"/>
    <n v="42"/>
    <n v="140"/>
    <n v="118"/>
    <n v="2530"/>
    <n v="145"/>
  </r>
  <r>
    <x v="2"/>
    <x v="0"/>
    <d v="2019-01-29T00:00:00"/>
    <x v="0"/>
    <n v="57"/>
    <n v="115"/>
    <n v="114"/>
    <n v="2528"/>
    <n v="207"/>
  </r>
  <r>
    <x v="2"/>
    <x v="0"/>
    <d v="2019-01-29T00:00:00"/>
    <x v="2"/>
    <n v="54"/>
    <n v="155"/>
    <n v="123"/>
    <n v="2526"/>
    <n v="193"/>
  </r>
  <r>
    <x v="2"/>
    <x v="0"/>
    <d v="2019-01-29T00:00:00"/>
    <x v="0"/>
    <n v="52"/>
    <n v="115"/>
    <n v="114"/>
    <n v="2529"/>
    <n v="185"/>
  </r>
  <r>
    <x v="2"/>
    <x v="0"/>
    <d v="2019-01-30T00:00:00"/>
    <x v="1"/>
    <n v="49"/>
    <n v="140"/>
    <n v="118"/>
    <n v="2536"/>
    <n v="170"/>
  </r>
  <r>
    <x v="2"/>
    <x v="0"/>
    <d v="2019-01-30T00:00:00"/>
    <x v="0"/>
    <n v="41"/>
    <n v="115"/>
    <n v="114"/>
    <n v="2531"/>
    <n v="147"/>
  </r>
  <r>
    <x v="2"/>
    <x v="0"/>
    <d v="2019-01-30T00:00:00"/>
    <x v="2"/>
    <n v="47"/>
    <n v="155"/>
    <n v="123"/>
    <n v="2532"/>
    <n v="168"/>
  </r>
  <r>
    <x v="2"/>
    <x v="0"/>
    <d v="2019-01-30T00:00:00"/>
    <x v="1"/>
    <n v="63"/>
    <n v="140"/>
    <n v="118"/>
    <n v="2533"/>
    <n v="217"/>
  </r>
  <r>
    <x v="2"/>
    <x v="0"/>
    <d v="2019-01-30T00:00:00"/>
    <x v="2"/>
    <n v="45"/>
    <n v="155"/>
    <n v="123"/>
    <n v="2534"/>
    <n v="209"/>
  </r>
  <r>
    <x v="2"/>
    <x v="0"/>
    <d v="2019-01-30T00:00:00"/>
    <x v="2"/>
    <n v="55"/>
    <n v="155"/>
    <n v="123"/>
    <n v="2535"/>
    <n v="202"/>
  </r>
  <r>
    <x v="2"/>
    <x v="0"/>
    <d v="2019-02-01T00:00:00"/>
    <x v="0"/>
    <n v="56"/>
    <n v="115"/>
    <n v="114"/>
    <n v="2537"/>
    <n v="199"/>
  </r>
  <r>
    <x v="2"/>
    <x v="0"/>
    <d v="2019-02-04T00:00:00"/>
    <x v="1"/>
    <n v="60"/>
    <n v="140"/>
    <n v="118"/>
    <n v="2538"/>
    <n v="217"/>
  </r>
  <r>
    <x v="2"/>
    <x v="0"/>
    <d v="2019-02-05T00:00:00"/>
    <x v="1"/>
    <n v="45"/>
    <n v="140"/>
    <n v="118"/>
    <n v="2539"/>
    <n v="157"/>
  </r>
  <r>
    <x v="2"/>
    <x v="0"/>
    <d v="2019-02-05T00:00:00"/>
    <x v="2"/>
    <n v="50"/>
    <n v="155"/>
    <n v="123"/>
    <n v="2540"/>
    <n v="188"/>
  </r>
  <r>
    <x v="2"/>
    <x v="0"/>
    <d v="2019-02-05T00:00:00"/>
    <x v="0"/>
    <n v="56"/>
    <n v="115"/>
    <n v="114"/>
    <n v="2541"/>
    <n v="259"/>
  </r>
  <r>
    <x v="2"/>
    <x v="0"/>
    <d v="2019-02-06T00:00:00"/>
    <x v="0"/>
    <n v="53"/>
    <n v="115"/>
    <n v="114"/>
    <n v="2545"/>
    <n v="195"/>
  </r>
  <r>
    <x v="2"/>
    <x v="0"/>
    <d v="2019-02-06T00:00:00"/>
    <x v="1"/>
    <n v="45"/>
    <n v="140"/>
    <n v="118"/>
    <n v="2546"/>
    <n v="160"/>
  </r>
  <r>
    <x v="2"/>
    <x v="0"/>
    <d v="2019-02-06T00:00:00"/>
    <x v="1"/>
    <n v="52"/>
    <n v="140"/>
    <n v="118"/>
    <n v="2544"/>
    <n v="192"/>
  </r>
  <r>
    <x v="2"/>
    <x v="0"/>
    <d v="2019-02-06T00:00:00"/>
    <x v="2"/>
    <n v="46"/>
    <n v="155"/>
    <n v="123"/>
    <n v="2543"/>
    <n v="167"/>
  </r>
  <r>
    <x v="2"/>
    <x v="0"/>
    <d v="2019-02-06T00:00:00"/>
    <x v="1"/>
    <n v="46"/>
    <n v="140"/>
    <n v="118"/>
    <n v="2546"/>
    <n v="163"/>
  </r>
  <r>
    <x v="2"/>
    <x v="0"/>
    <d v="2019-02-07T00:00:00"/>
    <x v="0"/>
    <n v="45"/>
    <n v="115"/>
    <n v="114"/>
    <n v="2548"/>
    <n v="158"/>
  </r>
  <r>
    <x v="2"/>
    <x v="0"/>
    <d v="2019-02-07T00:00:00"/>
    <x v="1"/>
    <n v="44"/>
    <n v="140"/>
    <n v="118"/>
    <n v="2549"/>
    <n v="155"/>
  </r>
  <r>
    <x v="2"/>
    <x v="0"/>
    <d v="2019-02-07T00:00:00"/>
    <x v="0"/>
    <n v="45"/>
    <n v="115"/>
    <n v="114"/>
    <n v="2550"/>
    <n v="212"/>
  </r>
  <r>
    <x v="2"/>
    <x v="0"/>
    <d v="2019-02-07T00:00:00"/>
    <x v="1"/>
    <n v="60"/>
    <n v="140"/>
    <n v="118"/>
    <n v="2547"/>
    <n v="206"/>
  </r>
  <r>
    <x v="2"/>
    <x v="0"/>
    <d v="2019-02-08T00:00:00"/>
    <x v="1"/>
    <n v="48"/>
    <n v="140"/>
    <n v="118"/>
    <n v="2551"/>
    <n v="166"/>
  </r>
  <r>
    <x v="2"/>
    <x v="0"/>
    <d v="2019-02-11T00:00:00"/>
    <x v="1"/>
    <n v="43"/>
    <n v="140"/>
    <n v="118"/>
    <n v="2553"/>
    <n v="149"/>
  </r>
  <r>
    <x v="2"/>
    <x v="0"/>
    <d v="2019-02-11T00:00:00"/>
    <x v="2"/>
    <n v="36"/>
    <n v="155"/>
    <n v="123"/>
    <n v="2552"/>
    <n v="127"/>
  </r>
  <r>
    <x v="2"/>
    <x v="0"/>
    <d v="2019-02-12T00:00:00"/>
    <x v="2"/>
    <n v="41"/>
    <n v="155"/>
    <n v="123"/>
    <n v="2558"/>
    <n v="157"/>
  </r>
  <r>
    <x v="2"/>
    <x v="0"/>
    <d v="2019-02-12T00:00:00"/>
    <x v="1"/>
    <n v="51"/>
    <n v="140"/>
    <n v="118"/>
    <n v="2557"/>
    <n v="183"/>
  </r>
  <r>
    <x v="2"/>
    <x v="0"/>
    <d v="2019-02-12T00:00:00"/>
    <x v="1"/>
    <n v="46"/>
    <n v="140"/>
    <n v="118"/>
    <n v="2554"/>
    <n v="169"/>
  </r>
  <r>
    <x v="2"/>
    <x v="0"/>
    <d v="2019-02-12T00:00:00"/>
    <x v="2"/>
    <n v="44"/>
    <n v="155"/>
    <n v="123"/>
    <n v="2555"/>
    <n v="153"/>
  </r>
  <r>
    <x v="2"/>
    <x v="0"/>
    <d v="2019-02-12T00:00:00"/>
    <x v="0"/>
    <n v="59"/>
    <n v="115"/>
    <n v="114"/>
    <n v="2556"/>
    <n v="211"/>
  </r>
  <r>
    <x v="2"/>
    <x v="0"/>
    <d v="2019-02-13T00:00:00"/>
    <x v="1"/>
    <n v="58"/>
    <n v="140"/>
    <n v="118"/>
    <n v="2559"/>
    <n v="205"/>
  </r>
  <r>
    <x v="2"/>
    <x v="0"/>
    <d v="2019-02-13T00:00:00"/>
    <x v="0"/>
    <n v="56"/>
    <n v="115"/>
    <n v="114"/>
    <n v="2560"/>
    <n v="201"/>
  </r>
  <r>
    <x v="2"/>
    <x v="0"/>
    <d v="2019-02-13T00:00:00"/>
    <x v="0"/>
    <n v="39"/>
    <n v="115"/>
    <n v="114"/>
    <n v="2561"/>
    <n v="144"/>
  </r>
  <r>
    <x v="2"/>
    <x v="0"/>
    <d v="2019-02-14T00:00:00"/>
    <x v="2"/>
    <n v="52"/>
    <n v="155"/>
    <n v="123"/>
    <n v="2563"/>
    <n v="199"/>
  </r>
  <r>
    <x v="2"/>
    <x v="0"/>
    <d v="2019-02-14T00:00:00"/>
    <x v="1"/>
    <n v="55"/>
    <n v="140"/>
    <n v="118"/>
    <n v="2564"/>
    <n v="193"/>
  </r>
  <r>
    <x v="2"/>
    <x v="0"/>
    <d v="2019-02-14T00:00:00"/>
    <x v="2"/>
    <n v="48"/>
    <n v="155"/>
    <n v="123"/>
    <n v="2562"/>
    <n v="225"/>
  </r>
  <r>
    <x v="2"/>
    <x v="0"/>
    <d v="2019-02-14T00:00:00"/>
    <x v="1"/>
    <n v="51"/>
    <n v="140"/>
    <n v="118"/>
    <n v="2565"/>
    <n v="181"/>
  </r>
  <r>
    <x v="2"/>
    <x v="0"/>
    <d v="2019-02-15T00:00:00"/>
    <x v="0"/>
    <n v="53"/>
    <n v="115"/>
    <n v="114"/>
    <n v="2572"/>
    <n v="244"/>
  </r>
  <r>
    <x v="2"/>
    <x v="0"/>
    <d v="2019-02-15T00:00:00"/>
    <x v="2"/>
    <n v="48"/>
    <n v="155"/>
    <n v="123"/>
    <n v="2566"/>
    <n v="174"/>
  </r>
  <r>
    <x v="2"/>
    <x v="0"/>
    <d v="2019-02-15T00:00:00"/>
    <x v="1"/>
    <n v="48"/>
    <n v="140"/>
    <n v="118"/>
    <n v="2567"/>
    <n v="168"/>
  </r>
  <r>
    <x v="2"/>
    <x v="0"/>
    <d v="2019-02-15T00:00:00"/>
    <x v="1"/>
    <n v="60"/>
    <n v="140"/>
    <n v="118"/>
    <n v="2568"/>
    <n v="211"/>
  </r>
  <r>
    <x v="2"/>
    <x v="0"/>
    <d v="2019-02-15T00:00:00"/>
    <x v="0"/>
    <n v="38"/>
    <n v="115"/>
    <n v="114"/>
    <n v="2569"/>
    <n v="136"/>
  </r>
  <r>
    <x v="2"/>
    <x v="0"/>
    <d v="2019-02-15T00:00:00"/>
    <x v="1"/>
    <n v="53"/>
    <n v="140"/>
    <n v="118"/>
    <n v="2570"/>
    <n v="191"/>
  </r>
  <r>
    <x v="2"/>
    <x v="0"/>
    <d v="2019-02-15T00:00:00"/>
    <x v="2"/>
    <n v="35"/>
    <n v="155"/>
    <n v="123"/>
    <n v="2571"/>
    <n v="120"/>
  </r>
  <r>
    <x v="2"/>
    <x v="0"/>
    <d v="2019-02-18T00:00:00"/>
    <x v="1"/>
    <n v="50"/>
    <n v="140"/>
    <n v="118"/>
    <n v="2573"/>
    <n v="234"/>
  </r>
  <r>
    <x v="2"/>
    <x v="0"/>
    <d v="2019-02-19T00:00:00"/>
    <x v="1"/>
    <n v="60"/>
    <n v="140"/>
    <n v="118"/>
    <n v="2574"/>
    <n v="276"/>
  </r>
  <r>
    <x v="2"/>
    <x v="0"/>
    <d v="2019-02-19T00:00:00"/>
    <x v="2"/>
    <n v="47"/>
    <n v="155"/>
    <n v="123"/>
    <n v="2575"/>
    <n v="172"/>
  </r>
  <r>
    <x v="2"/>
    <x v="0"/>
    <d v="2019-02-20T00:00:00"/>
    <x v="0"/>
    <n v="47"/>
    <n v="115"/>
    <n v="114"/>
    <n v="2580"/>
    <n v="161"/>
  </r>
  <r>
    <x v="2"/>
    <x v="0"/>
    <d v="2019-02-20T00:00:00"/>
    <x v="2"/>
    <n v="50"/>
    <n v="155"/>
    <n v="123"/>
    <n v="2581"/>
    <n v="180"/>
  </r>
  <r>
    <x v="2"/>
    <x v="0"/>
    <d v="2019-02-20T00:00:00"/>
    <x v="1"/>
    <n v="61"/>
    <n v="140"/>
    <n v="118"/>
    <n v="2579"/>
    <n v="209"/>
  </r>
  <r>
    <x v="2"/>
    <x v="0"/>
    <d v="2019-02-20T00:00:00"/>
    <x v="1"/>
    <n v="54"/>
    <n v="140"/>
    <n v="118"/>
    <n v="2578"/>
    <n v="254"/>
  </r>
  <r>
    <x v="2"/>
    <x v="0"/>
    <d v="2019-02-20T00:00:00"/>
    <x v="2"/>
    <n v="42"/>
    <n v="155"/>
    <n v="123"/>
    <n v="2577"/>
    <n v="155"/>
  </r>
  <r>
    <x v="2"/>
    <x v="0"/>
    <d v="2019-02-20T00:00:00"/>
    <x v="2"/>
    <n v="54"/>
    <n v="155"/>
    <n v="123"/>
    <n v="2576"/>
    <n v="186"/>
  </r>
  <r>
    <x v="2"/>
    <x v="0"/>
    <d v="2019-02-21T00:00:00"/>
    <x v="2"/>
    <n v="46"/>
    <n v="155"/>
    <n v="123"/>
    <n v="2583"/>
    <n v="159"/>
  </r>
  <r>
    <x v="2"/>
    <x v="0"/>
    <d v="2019-02-21T00:00:00"/>
    <x v="2"/>
    <n v="51"/>
    <n v="155"/>
    <n v="123"/>
    <n v="2584"/>
    <n v="175"/>
  </r>
  <r>
    <x v="2"/>
    <x v="0"/>
    <d v="2019-02-21T00:00:00"/>
    <x v="2"/>
    <n v="48"/>
    <n v="155"/>
    <n v="123"/>
    <n v="2582"/>
    <n v="170"/>
  </r>
  <r>
    <x v="2"/>
    <x v="0"/>
    <d v="2019-02-22T00:00:00"/>
    <x v="2"/>
    <n v="47"/>
    <n v="155"/>
    <n v="123"/>
    <n v="2585"/>
    <n v="168"/>
  </r>
  <r>
    <x v="2"/>
    <x v="0"/>
    <d v="2019-02-22T00:00:00"/>
    <x v="0"/>
    <n v="44"/>
    <n v="115"/>
    <n v="114"/>
    <n v="2586"/>
    <n v="157"/>
  </r>
  <r>
    <x v="2"/>
    <x v="0"/>
    <d v="2019-02-25T00:00:00"/>
    <x v="2"/>
    <n v="53"/>
    <n v="155"/>
    <n v="123"/>
    <n v="2590"/>
    <n v="202"/>
  </r>
  <r>
    <x v="2"/>
    <x v="0"/>
    <d v="2019-02-25T00:00:00"/>
    <x v="1"/>
    <n v="63"/>
    <n v="140"/>
    <n v="118"/>
    <n v="2593"/>
    <n v="239"/>
  </r>
  <r>
    <x v="2"/>
    <x v="0"/>
    <d v="2019-02-25T00:00:00"/>
    <x v="0"/>
    <n v="46"/>
    <n v="115"/>
    <n v="114"/>
    <n v="2591"/>
    <n v="160"/>
  </r>
  <r>
    <x v="2"/>
    <x v="0"/>
    <d v="2019-02-25T00:00:00"/>
    <x v="2"/>
    <n v="39"/>
    <n v="155"/>
    <n v="123"/>
    <n v="2588"/>
    <n v="144"/>
  </r>
  <r>
    <x v="2"/>
    <x v="0"/>
    <d v="2019-02-25T00:00:00"/>
    <x v="0"/>
    <n v="35"/>
    <n v="115"/>
    <n v="114"/>
    <n v="2587"/>
    <n v="125"/>
  </r>
  <r>
    <x v="2"/>
    <x v="0"/>
    <d v="2019-02-25T00:00:00"/>
    <x v="2"/>
    <n v="52"/>
    <n v="155"/>
    <n v="123"/>
    <n v="2589"/>
    <n v="192"/>
  </r>
  <r>
    <x v="2"/>
    <x v="0"/>
    <d v="2019-02-25T00:00:00"/>
    <x v="2"/>
    <n v="46"/>
    <n v="155"/>
    <n v="123"/>
    <n v="2592"/>
    <n v="159"/>
  </r>
  <r>
    <x v="2"/>
    <x v="0"/>
    <d v="2019-02-26T00:00:00"/>
    <x v="0"/>
    <n v="59"/>
    <n v="115"/>
    <n v="114"/>
    <n v="2598"/>
    <n v="208"/>
  </r>
  <r>
    <x v="2"/>
    <x v="0"/>
    <d v="2019-02-26T00:00:00"/>
    <x v="1"/>
    <n v="57"/>
    <n v="140"/>
    <n v="118"/>
    <n v="2599"/>
    <n v="200"/>
  </r>
  <r>
    <x v="2"/>
    <x v="0"/>
    <d v="2019-02-26T00:00:00"/>
    <x v="1"/>
    <n v="39"/>
    <n v="140"/>
    <n v="118"/>
    <n v="2597"/>
    <n v="138"/>
  </r>
  <r>
    <x v="2"/>
    <x v="0"/>
    <d v="2019-02-26T00:00:00"/>
    <x v="0"/>
    <n v="49"/>
    <n v="115"/>
    <n v="114"/>
    <n v="2596"/>
    <n v="229"/>
  </r>
  <r>
    <x v="2"/>
    <x v="0"/>
    <d v="2019-02-26T00:00:00"/>
    <x v="1"/>
    <n v="62"/>
    <n v="140"/>
    <n v="118"/>
    <n v="2595"/>
    <n v="227"/>
  </r>
  <r>
    <x v="2"/>
    <x v="0"/>
    <d v="2019-02-26T00:00:00"/>
    <x v="0"/>
    <n v="34"/>
    <n v="115"/>
    <n v="114"/>
    <n v="2594"/>
    <n v="119"/>
  </r>
  <r>
    <x v="2"/>
    <x v="0"/>
    <d v="2019-02-27T00:00:00"/>
    <x v="1"/>
    <n v="59"/>
    <n v="140"/>
    <n v="118"/>
    <n v="2601"/>
    <n v="207"/>
  </r>
  <r>
    <x v="2"/>
    <x v="0"/>
    <d v="2019-02-27T00:00:00"/>
    <x v="1"/>
    <n v="48"/>
    <n v="140"/>
    <n v="118"/>
    <n v="2602"/>
    <n v="176"/>
  </r>
  <r>
    <x v="2"/>
    <x v="0"/>
    <d v="2019-02-27T00:00:00"/>
    <x v="1"/>
    <n v="52"/>
    <n v="140"/>
    <n v="118"/>
    <n v="2603"/>
    <n v="193"/>
  </r>
  <r>
    <x v="2"/>
    <x v="0"/>
    <d v="2019-02-27T00:00:00"/>
    <x v="2"/>
    <n v="40"/>
    <n v="155"/>
    <n v="123"/>
    <n v="2604"/>
    <n v="147"/>
  </r>
  <r>
    <x v="2"/>
    <x v="0"/>
    <d v="2019-02-27T00:00:00"/>
    <x v="2"/>
    <n v="30"/>
    <n v="155"/>
    <n v="123"/>
    <n v="2605"/>
    <n v="106"/>
  </r>
  <r>
    <x v="2"/>
    <x v="0"/>
    <d v="2019-02-27T00:00:00"/>
    <x v="0"/>
    <n v="37"/>
    <n v="115"/>
    <n v="114"/>
    <n v="2600"/>
    <n v="142"/>
  </r>
  <r>
    <x v="2"/>
    <x v="0"/>
    <d v="2019-02-28T00:00:00"/>
    <x v="2"/>
    <n v="39"/>
    <n v="155"/>
    <n v="123"/>
    <n v="2607"/>
    <n v="134"/>
  </r>
  <r>
    <x v="2"/>
    <x v="0"/>
    <d v="2019-02-28T00:00:00"/>
    <x v="0"/>
    <n v="56"/>
    <n v="115"/>
    <n v="114"/>
    <n v="2610"/>
    <n v="206"/>
  </r>
  <r>
    <x v="2"/>
    <x v="0"/>
    <d v="2019-02-28T00:00:00"/>
    <x v="0"/>
    <n v="38"/>
    <n v="115"/>
    <n v="114"/>
    <n v="2611"/>
    <n v="130"/>
  </r>
  <r>
    <x v="2"/>
    <x v="0"/>
    <d v="2019-02-28T00:00:00"/>
    <x v="2"/>
    <n v="37"/>
    <n v="155"/>
    <n v="123"/>
    <n v="2606"/>
    <n v="136"/>
  </r>
  <r>
    <x v="2"/>
    <x v="0"/>
    <d v="2019-02-28T00:00:00"/>
    <x v="2"/>
    <n v="47"/>
    <n v="155"/>
    <n v="123"/>
    <n v="2609"/>
    <n v="164"/>
  </r>
  <r>
    <x v="2"/>
    <x v="0"/>
    <d v="2019-02-28T00:00:00"/>
    <x v="1"/>
    <n v="63"/>
    <n v="140"/>
    <n v="118"/>
    <n v="2608"/>
    <n v="222"/>
  </r>
  <r>
    <x v="2"/>
    <x v="0"/>
    <d v="2019-03-01T00:00:00"/>
    <x v="1"/>
    <n v="52"/>
    <n v="140"/>
    <n v="118"/>
    <n v="2612"/>
    <n v="185"/>
  </r>
  <r>
    <x v="2"/>
    <x v="0"/>
    <d v="2019-03-01T00:00:00"/>
    <x v="2"/>
    <n v="49"/>
    <n v="155"/>
    <n v="123"/>
    <n v="2613"/>
    <n v="173"/>
  </r>
  <r>
    <x v="2"/>
    <x v="0"/>
    <d v="2019-03-04T00:00:00"/>
    <x v="2"/>
    <n v="47"/>
    <n v="155"/>
    <n v="123"/>
    <n v="2617"/>
    <n v="168"/>
  </r>
  <r>
    <x v="2"/>
    <x v="0"/>
    <d v="2019-03-04T00:00:00"/>
    <x v="0"/>
    <n v="38"/>
    <n v="115"/>
    <n v="114"/>
    <n v="2620"/>
    <n v="143"/>
  </r>
  <r>
    <x v="2"/>
    <x v="0"/>
    <d v="2019-03-04T00:00:00"/>
    <x v="1"/>
    <n v="65"/>
    <n v="140"/>
    <n v="118"/>
    <n v="2618"/>
    <n v="245"/>
  </r>
  <r>
    <x v="2"/>
    <x v="0"/>
    <d v="2019-03-04T00:00:00"/>
    <x v="0"/>
    <n v="54"/>
    <n v="115"/>
    <n v="114"/>
    <n v="2616"/>
    <n v="196"/>
  </r>
  <r>
    <x v="2"/>
    <x v="0"/>
    <d v="2019-03-04T00:00:00"/>
    <x v="0"/>
    <n v="51"/>
    <n v="115"/>
    <n v="114"/>
    <n v="2615"/>
    <n v="184"/>
  </r>
  <r>
    <x v="2"/>
    <x v="0"/>
    <d v="2019-03-04T00:00:00"/>
    <x v="0"/>
    <n v="51"/>
    <n v="115"/>
    <n v="114"/>
    <n v="2614"/>
    <n v="239"/>
  </r>
  <r>
    <x v="2"/>
    <x v="0"/>
    <d v="2019-03-04T00:00:00"/>
    <x v="2"/>
    <n v="47"/>
    <n v="155"/>
    <n v="123"/>
    <n v="2619"/>
    <n v="172"/>
  </r>
  <r>
    <x v="2"/>
    <x v="0"/>
    <d v="2019-03-05T00:00:00"/>
    <x v="0"/>
    <n v="41"/>
    <n v="115"/>
    <n v="114"/>
    <n v="2621"/>
    <n v="148"/>
  </r>
  <r>
    <x v="2"/>
    <x v="0"/>
    <d v="2019-03-05T00:00:00"/>
    <x v="1"/>
    <n v="46"/>
    <n v="140"/>
    <n v="118"/>
    <n v="2622"/>
    <n v="161"/>
  </r>
  <r>
    <x v="2"/>
    <x v="0"/>
    <d v="2019-03-06T00:00:00"/>
    <x v="0"/>
    <n v="39"/>
    <n v="115"/>
    <n v="114"/>
    <n v="2627"/>
    <n v="138"/>
  </r>
  <r>
    <x v="2"/>
    <x v="0"/>
    <d v="2019-03-06T00:00:00"/>
    <x v="0"/>
    <n v="35"/>
    <n v="115"/>
    <n v="114"/>
    <n v="2629"/>
    <n v="126"/>
  </r>
  <r>
    <x v="2"/>
    <x v="0"/>
    <d v="2019-03-06T00:00:00"/>
    <x v="0"/>
    <n v="35"/>
    <n v="115"/>
    <n v="114"/>
    <n v="2628"/>
    <n v="124"/>
  </r>
  <r>
    <x v="2"/>
    <x v="0"/>
    <d v="2019-03-06T00:00:00"/>
    <x v="0"/>
    <n v="38"/>
    <n v="115"/>
    <n v="114"/>
    <n v="2623"/>
    <n v="143"/>
  </r>
  <r>
    <x v="2"/>
    <x v="0"/>
    <d v="2019-03-06T00:00:00"/>
    <x v="1"/>
    <n v="51"/>
    <n v="140"/>
    <n v="118"/>
    <n v="2624"/>
    <n v="187"/>
  </r>
  <r>
    <x v="2"/>
    <x v="0"/>
    <d v="2019-03-06T00:00:00"/>
    <x v="2"/>
    <n v="39"/>
    <n v="155"/>
    <n v="123"/>
    <n v="2625"/>
    <n v="144"/>
  </r>
  <r>
    <x v="2"/>
    <x v="0"/>
    <d v="2019-03-06T00:00:00"/>
    <x v="2"/>
    <n v="42"/>
    <n v="155"/>
    <n v="123"/>
    <n v="2626"/>
    <n v="145"/>
  </r>
  <r>
    <x v="2"/>
    <x v="0"/>
    <d v="2019-03-07T00:00:00"/>
    <x v="0"/>
    <n v="42"/>
    <n v="115"/>
    <n v="114"/>
    <n v="2630"/>
    <n v="151"/>
  </r>
  <r>
    <x v="2"/>
    <x v="0"/>
    <d v="2019-03-07T00:00:00"/>
    <x v="2"/>
    <n v="44"/>
    <n v="155"/>
    <n v="123"/>
    <n v="2631"/>
    <n v="161"/>
  </r>
  <r>
    <x v="2"/>
    <x v="0"/>
    <d v="2019-03-07T00:00:00"/>
    <x v="0"/>
    <n v="41"/>
    <n v="115"/>
    <n v="114"/>
    <n v="2632"/>
    <n v="149"/>
  </r>
  <r>
    <x v="2"/>
    <x v="0"/>
    <d v="2019-03-07T00:00:00"/>
    <x v="2"/>
    <n v="52"/>
    <n v="155"/>
    <n v="123"/>
    <n v="2633"/>
    <n v="190"/>
  </r>
  <r>
    <x v="2"/>
    <x v="0"/>
    <d v="2019-03-08T00:00:00"/>
    <x v="2"/>
    <n v="42"/>
    <n v="155"/>
    <n v="123"/>
    <n v="2634"/>
    <n v="148"/>
  </r>
  <r>
    <x v="2"/>
    <x v="0"/>
    <d v="2019-03-08T00:00:00"/>
    <x v="2"/>
    <n v="50"/>
    <n v="155"/>
    <n v="123"/>
    <n v="2637"/>
    <n v="173"/>
  </r>
  <r>
    <x v="2"/>
    <x v="0"/>
    <d v="2019-03-08T00:00:00"/>
    <x v="1"/>
    <n v="63"/>
    <n v="140"/>
    <n v="118"/>
    <n v="2635"/>
    <n v="220"/>
  </r>
  <r>
    <x v="2"/>
    <x v="0"/>
    <d v="2019-03-08T00:00:00"/>
    <x v="0"/>
    <n v="56"/>
    <n v="115"/>
    <n v="114"/>
    <n v="2636"/>
    <n v="202"/>
  </r>
  <r>
    <x v="2"/>
    <x v="0"/>
    <d v="2019-03-11T00:00:00"/>
    <x v="2"/>
    <n v="43"/>
    <n v="155"/>
    <n v="123"/>
    <n v="2638"/>
    <n v="158"/>
  </r>
  <r>
    <x v="2"/>
    <x v="0"/>
    <d v="2019-03-12T00:00:00"/>
    <x v="2"/>
    <n v="47"/>
    <n v="155"/>
    <n v="123"/>
    <n v="2639"/>
    <n v="173"/>
  </r>
  <r>
    <x v="2"/>
    <x v="0"/>
    <d v="2019-03-12T00:00:00"/>
    <x v="0"/>
    <n v="42"/>
    <n v="115"/>
    <n v="114"/>
    <n v="2640"/>
    <n v="145"/>
  </r>
  <r>
    <x v="2"/>
    <x v="0"/>
    <d v="2019-03-12T00:00:00"/>
    <x v="0"/>
    <n v="55"/>
    <n v="115"/>
    <n v="114"/>
    <n v="2641"/>
    <n v="198"/>
  </r>
  <r>
    <x v="2"/>
    <x v="0"/>
    <d v="2019-03-13T00:00:00"/>
    <x v="2"/>
    <n v="44"/>
    <n v="155"/>
    <n v="123"/>
    <n v="2646"/>
    <n v="161"/>
  </r>
  <r>
    <x v="2"/>
    <x v="0"/>
    <d v="2019-03-13T00:00:00"/>
    <x v="2"/>
    <n v="49"/>
    <n v="155"/>
    <n v="123"/>
    <n v="2645"/>
    <n v="172"/>
  </r>
  <r>
    <x v="2"/>
    <x v="0"/>
    <d v="2019-03-13T00:00:00"/>
    <x v="2"/>
    <n v="32"/>
    <n v="155"/>
    <n v="123"/>
    <n v="2642"/>
    <n v="115"/>
  </r>
  <r>
    <x v="2"/>
    <x v="0"/>
    <d v="2019-03-13T00:00:00"/>
    <x v="2"/>
    <n v="49"/>
    <n v="155"/>
    <n v="123"/>
    <n v="2643"/>
    <n v="179"/>
  </r>
  <r>
    <x v="2"/>
    <x v="0"/>
    <d v="2019-03-13T00:00:00"/>
    <x v="0"/>
    <n v="39"/>
    <n v="115"/>
    <n v="114"/>
    <n v="2644"/>
    <n v="150"/>
  </r>
  <r>
    <x v="2"/>
    <x v="0"/>
    <d v="2019-03-14T00:00:00"/>
    <x v="1"/>
    <n v="55"/>
    <n v="140"/>
    <n v="118"/>
    <n v="2648"/>
    <n v="201"/>
  </r>
  <r>
    <x v="2"/>
    <x v="0"/>
    <d v="2019-03-14T00:00:00"/>
    <x v="2"/>
    <n v="52"/>
    <n v="155"/>
    <n v="123"/>
    <n v="2649"/>
    <n v="179"/>
  </r>
  <r>
    <x v="2"/>
    <x v="0"/>
    <d v="2019-03-14T00:00:00"/>
    <x v="0"/>
    <n v="36"/>
    <n v="115"/>
    <n v="114"/>
    <n v="2650"/>
    <n v="131"/>
  </r>
  <r>
    <x v="2"/>
    <x v="0"/>
    <d v="2019-03-14T00:00:00"/>
    <x v="0"/>
    <n v="44"/>
    <n v="115"/>
    <n v="114"/>
    <n v="2651"/>
    <n v="155"/>
  </r>
  <r>
    <x v="2"/>
    <x v="0"/>
    <d v="2019-03-14T00:00:00"/>
    <x v="1"/>
    <n v="49"/>
    <n v="140"/>
    <n v="118"/>
    <n v="2652"/>
    <n v="180"/>
  </r>
  <r>
    <x v="2"/>
    <x v="0"/>
    <d v="2019-03-14T00:00:00"/>
    <x v="2"/>
    <n v="40"/>
    <n v="155"/>
    <n v="123"/>
    <n v="2647"/>
    <n v="143"/>
  </r>
  <r>
    <x v="2"/>
    <x v="0"/>
    <d v="2019-03-15T00:00:00"/>
    <x v="1"/>
    <n v="65"/>
    <n v="140"/>
    <n v="118"/>
    <n v="2653"/>
    <n v="232"/>
  </r>
  <r>
    <x v="2"/>
    <x v="0"/>
    <d v="2019-03-18T00:00:00"/>
    <x v="0"/>
    <n v="34"/>
    <n v="115"/>
    <n v="114"/>
    <n v="2659"/>
    <n v="125"/>
  </r>
  <r>
    <x v="2"/>
    <x v="0"/>
    <d v="2019-03-18T00:00:00"/>
    <x v="1"/>
    <n v="40"/>
    <n v="140"/>
    <n v="118"/>
    <n v="2658"/>
    <n v="143"/>
  </r>
  <r>
    <x v="2"/>
    <x v="0"/>
    <d v="2019-03-18T00:00:00"/>
    <x v="2"/>
    <n v="31"/>
    <n v="155"/>
    <n v="123"/>
    <n v="2657"/>
    <n v="111"/>
  </r>
  <r>
    <x v="2"/>
    <x v="0"/>
    <d v="2019-03-18T00:00:00"/>
    <x v="0"/>
    <n v="49"/>
    <n v="115"/>
    <n v="114"/>
    <n v="2656"/>
    <n v="176"/>
  </r>
  <r>
    <x v="2"/>
    <x v="0"/>
    <d v="2019-03-18T00:00:00"/>
    <x v="1"/>
    <n v="45"/>
    <n v="140"/>
    <n v="118"/>
    <n v="2654"/>
    <n v="162"/>
  </r>
  <r>
    <x v="2"/>
    <x v="0"/>
    <d v="2019-03-18T00:00:00"/>
    <x v="1"/>
    <n v="42"/>
    <n v="140"/>
    <n v="118"/>
    <n v="2655"/>
    <n v="197"/>
  </r>
  <r>
    <x v="2"/>
    <x v="0"/>
    <d v="2019-03-19T00:00:00"/>
    <x v="1"/>
    <n v="48"/>
    <n v="140"/>
    <n v="118"/>
    <n v="2660"/>
    <n v="183"/>
  </r>
  <r>
    <x v="2"/>
    <x v="0"/>
    <d v="2019-03-19T00:00:00"/>
    <x v="0"/>
    <n v="57"/>
    <n v="115"/>
    <n v="114"/>
    <n v="2661"/>
    <n v="197"/>
  </r>
  <r>
    <x v="2"/>
    <x v="0"/>
    <d v="2019-03-20T00:00:00"/>
    <x v="0"/>
    <n v="45"/>
    <n v="115"/>
    <n v="114"/>
    <n v="2665"/>
    <n v="165"/>
  </r>
  <r>
    <x v="2"/>
    <x v="0"/>
    <d v="2019-03-20T00:00:00"/>
    <x v="2"/>
    <n v="55"/>
    <n v="155"/>
    <n v="123"/>
    <n v="2667"/>
    <n v="197"/>
  </r>
  <r>
    <x v="2"/>
    <x v="0"/>
    <d v="2019-03-20T00:00:00"/>
    <x v="1"/>
    <n v="49"/>
    <n v="140"/>
    <n v="118"/>
    <n v="2666"/>
    <n v="176"/>
  </r>
  <r>
    <x v="2"/>
    <x v="0"/>
    <d v="2019-03-20T00:00:00"/>
    <x v="2"/>
    <n v="34"/>
    <n v="155"/>
    <n v="123"/>
    <n v="2663"/>
    <n v="124"/>
  </r>
  <r>
    <x v="2"/>
    <x v="0"/>
    <d v="2019-03-20T00:00:00"/>
    <x v="2"/>
    <n v="29"/>
    <n v="155"/>
    <n v="123"/>
    <n v="2662"/>
    <n v="100"/>
  </r>
  <r>
    <x v="2"/>
    <x v="0"/>
    <d v="2019-03-20T00:00:00"/>
    <x v="2"/>
    <n v="39"/>
    <n v="155"/>
    <n v="123"/>
    <n v="2664"/>
    <n v="148"/>
  </r>
  <r>
    <x v="2"/>
    <x v="0"/>
    <d v="2019-03-21T00:00:00"/>
    <x v="2"/>
    <n v="51"/>
    <n v="155"/>
    <n v="123"/>
    <n v="2668"/>
    <n v="188"/>
  </r>
  <r>
    <x v="2"/>
    <x v="0"/>
    <d v="2019-03-21T00:00:00"/>
    <x v="0"/>
    <n v="38"/>
    <n v="115"/>
    <n v="114"/>
    <n v="2669"/>
    <n v="137"/>
  </r>
  <r>
    <x v="2"/>
    <x v="0"/>
    <d v="2019-03-21T00:00:00"/>
    <x v="0"/>
    <n v="45"/>
    <n v="115"/>
    <n v="114"/>
    <n v="2670"/>
    <n v="210"/>
  </r>
  <r>
    <x v="2"/>
    <x v="0"/>
    <d v="2019-03-22T00:00:00"/>
    <x v="0"/>
    <n v="47"/>
    <n v="115"/>
    <n v="114"/>
    <n v="2671"/>
    <n v="170"/>
  </r>
  <r>
    <x v="2"/>
    <x v="0"/>
    <d v="2019-03-25T00:00:00"/>
    <x v="0"/>
    <n v="49"/>
    <n v="115"/>
    <n v="114"/>
    <n v="2672"/>
    <n v="179"/>
  </r>
  <r>
    <x v="2"/>
    <x v="0"/>
    <d v="2019-03-26T00:00:00"/>
    <x v="2"/>
    <n v="41"/>
    <n v="155"/>
    <n v="123"/>
    <n v="2678"/>
    <n v="143"/>
  </r>
  <r>
    <x v="2"/>
    <x v="0"/>
    <d v="2019-03-26T00:00:00"/>
    <x v="1"/>
    <n v="48"/>
    <n v="140"/>
    <n v="118"/>
    <n v="2677"/>
    <n v="165"/>
  </r>
  <r>
    <x v="2"/>
    <x v="0"/>
    <d v="2019-03-26T00:00:00"/>
    <x v="0"/>
    <n v="42"/>
    <n v="115"/>
    <n v="114"/>
    <n v="2676"/>
    <n v="145"/>
  </r>
  <r>
    <x v="2"/>
    <x v="0"/>
    <d v="2019-03-26T00:00:00"/>
    <x v="0"/>
    <n v="56"/>
    <n v="115"/>
    <n v="114"/>
    <n v="2675"/>
    <n v="193"/>
  </r>
  <r>
    <x v="2"/>
    <x v="0"/>
    <d v="2019-03-26T00:00:00"/>
    <x v="2"/>
    <n v="41"/>
    <n v="155"/>
    <n v="123"/>
    <n v="2673"/>
    <n v="143"/>
  </r>
  <r>
    <x v="2"/>
    <x v="0"/>
    <d v="2019-03-26T00:00:00"/>
    <x v="2"/>
    <n v="52"/>
    <n v="155"/>
    <n v="123"/>
    <n v="2674"/>
    <n v="186"/>
  </r>
  <r>
    <x v="2"/>
    <x v="0"/>
    <d v="2019-03-27T00:00:00"/>
    <x v="0"/>
    <n v="57"/>
    <n v="115"/>
    <n v="114"/>
    <n v="2680"/>
    <n v="204"/>
  </r>
  <r>
    <x v="2"/>
    <x v="0"/>
    <d v="2019-03-27T00:00:00"/>
    <x v="0"/>
    <n v="47"/>
    <n v="115"/>
    <n v="114"/>
    <n v="2683"/>
    <n v="171"/>
  </r>
  <r>
    <x v="2"/>
    <x v="0"/>
    <d v="2019-03-27T00:00:00"/>
    <x v="0"/>
    <n v="45"/>
    <n v="115"/>
    <n v="114"/>
    <n v="2679"/>
    <n v="157"/>
  </r>
  <r>
    <x v="2"/>
    <x v="0"/>
    <d v="2019-03-27T00:00:00"/>
    <x v="0"/>
    <n v="49"/>
    <n v="115"/>
    <n v="114"/>
    <n v="2681"/>
    <n v="169"/>
  </r>
  <r>
    <x v="2"/>
    <x v="0"/>
    <d v="2019-03-27T00:00:00"/>
    <x v="1"/>
    <n v="62"/>
    <n v="140"/>
    <n v="118"/>
    <n v="2682"/>
    <n v="239"/>
  </r>
  <r>
    <x v="2"/>
    <x v="0"/>
    <d v="2019-03-29T00:00:00"/>
    <x v="2"/>
    <n v="34"/>
    <n v="155"/>
    <n v="123"/>
    <n v="2684"/>
    <n v="117"/>
  </r>
  <r>
    <x v="2"/>
    <x v="0"/>
    <d v="2019-03-29T00:00:00"/>
    <x v="0"/>
    <n v="55"/>
    <n v="115"/>
    <n v="114"/>
    <n v="2685"/>
    <n v="194"/>
  </r>
  <r>
    <x v="2"/>
    <x v="1"/>
    <d v="2019-04-01T00:00:00"/>
    <x v="2"/>
    <n v="27"/>
    <n v="145"/>
    <n v="123"/>
    <n v="2688"/>
    <n v="102"/>
  </r>
  <r>
    <x v="2"/>
    <x v="1"/>
    <d v="2019-04-01T00:00:00"/>
    <x v="1"/>
    <n v="61"/>
    <n v="140"/>
    <n v="118"/>
    <n v="2686"/>
    <n v="220"/>
  </r>
  <r>
    <x v="2"/>
    <x v="1"/>
    <d v="2019-04-01T00:00:00"/>
    <x v="0"/>
    <n v="33"/>
    <n v="115"/>
    <n v="114"/>
    <n v="2687"/>
    <n v="119"/>
  </r>
  <r>
    <x v="2"/>
    <x v="1"/>
    <d v="2019-04-02T00:00:00"/>
    <x v="0"/>
    <n v="31"/>
    <n v="115"/>
    <n v="114"/>
    <n v="2694"/>
    <n v="116"/>
  </r>
  <r>
    <x v="2"/>
    <x v="1"/>
    <d v="2019-04-02T00:00:00"/>
    <x v="0"/>
    <n v="55"/>
    <n v="115"/>
    <n v="114"/>
    <n v="2693"/>
    <n v="199"/>
  </r>
  <r>
    <x v="2"/>
    <x v="1"/>
    <d v="2019-04-02T00:00:00"/>
    <x v="2"/>
    <n v="28"/>
    <n v="145"/>
    <n v="123"/>
    <n v="2692"/>
    <n v="100"/>
  </r>
  <r>
    <x v="2"/>
    <x v="1"/>
    <d v="2019-04-02T00:00:00"/>
    <x v="0"/>
    <n v="53"/>
    <n v="115"/>
    <n v="114"/>
    <n v="2691"/>
    <n v="186"/>
  </r>
  <r>
    <x v="2"/>
    <x v="1"/>
    <d v="2019-04-02T00:00:00"/>
    <x v="1"/>
    <n v="38"/>
    <n v="140"/>
    <n v="118"/>
    <n v="2689"/>
    <n v="139"/>
  </r>
  <r>
    <x v="2"/>
    <x v="1"/>
    <d v="2019-04-02T00:00:00"/>
    <x v="0"/>
    <n v="33"/>
    <n v="115"/>
    <n v="114"/>
    <n v="2690"/>
    <n v="127"/>
  </r>
  <r>
    <x v="2"/>
    <x v="1"/>
    <d v="2019-04-03T00:00:00"/>
    <x v="0"/>
    <n v="35"/>
    <n v="115"/>
    <n v="114"/>
    <n v="2699"/>
    <n v="126"/>
  </r>
  <r>
    <x v="2"/>
    <x v="1"/>
    <d v="2019-04-03T00:00:00"/>
    <x v="1"/>
    <n v="41"/>
    <n v="140"/>
    <n v="118"/>
    <n v="2701"/>
    <n v="141"/>
  </r>
  <r>
    <x v="2"/>
    <x v="1"/>
    <d v="2019-04-03T00:00:00"/>
    <x v="2"/>
    <n v="28"/>
    <n v="145"/>
    <n v="123"/>
    <n v="2698"/>
    <n v="102"/>
  </r>
  <r>
    <x v="2"/>
    <x v="1"/>
    <d v="2019-04-03T00:00:00"/>
    <x v="2"/>
    <n v="30"/>
    <n v="145"/>
    <n v="123"/>
    <n v="2697"/>
    <n v="106"/>
  </r>
  <r>
    <x v="2"/>
    <x v="1"/>
    <d v="2019-04-03T00:00:00"/>
    <x v="0"/>
    <n v="39"/>
    <n v="115"/>
    <n v="114"/>
    <n v="2696"/>
    <n v="136"/>
  </r>
  <r>
    <x v="2"/>
    <x v="1"/>
    <d v="2019-04-03T00:00:00"/>
    <x v="1"/>
    <n v="47"/>
    <n v="140"/>
    <n v="118"/>
    <n v="2695"/>
    <n v="163"/>
  </r>
  <r>
    <x v="2"/>
    <x v="1"/>
    <d v="2019-04-03T00:00:00"/>
    <x v="1"/>
    <n v="42"/>
    <n v="140"/>
    <n v="118"/>
    <n v="2700"/>
    <n v="146"/>
  </r>
  <r>
    <x v="2"/>
    <x v="1"/>
    <d v="2019-04-04T00:00:00"/>
    <x v="0"/>
    <n v="46"/>
    <n v="115"/>
    <n v="114"/>
    <n v="2702"/>
    <n v="166"/>
  </r>
  <r>
    <x v="2"/>
    <x v="1"/>
    <d v="2019-04-04T00:00:00"/>
    <x v="0"/>
    <n v="32"/>
    <n v="115"/>
    <n v="114"/>
    <n v="2703"/>
    <n v="112"/>
  </r>
  <r>
    <x v="2"/>
    <x v="1"/>
    <d v="2019-04-05T00:00:00"/>
    <x v="0"/>
    <n v="48"/>
    <n v="115"/>
    <n v="114"/>
    <n v="2705"/>
    <n v="221"/>
  </r>
  <r>
    <x v="2"/>
    <x v="1"/>
    <d v="2019-04-05T00:00:00"/>
    <x v="0"/>
    <n v="47"/>
    <n v="115"/>
    <n v="114"/>
    <n v="2709"/>
    <n v="173"/>
  </r>
  <r>
    <x v="2"/>
    <x v="1"/>
    <d v="2019-04-05T00:00:00"/>
    <x v="2"/>
    <n v="37"/>
    <n v="145"/>
    <n v="123"/>
    <n v="2708"/>
    <n v="127"/>
  </r>
  <r>
    <x v="2"/>
    <x v="1"/>
    <d v="2019-04-05T00:00:00"/>
    <x v="2"/>
    <n v="46"/>
    <n v="145"/>
    <n v="123"/>
    <n v="2706"/>
    <n v="165"/>
  </r>
  <r>
    <x v="2"/>
    <x v="1"/>
    <d v="2019-04-05T00:00:00"/>
    <x v="2"/>
    <n v="45"/>
    <n v="145"/>
    <n v="123"/>
    <n v="2704"/>
    <n v="155"/>
  </r>
  <r>
    <x v="2"/>
    <x v="1"/>
    <d v="2019-04-05T00:00:00"/>
    <x v="1"/>
    <n v="45"/>
    <n v="140"/>
    <n v="118"/>
    <n v="2707"/>
    <n v="211"/>
  </r>
  <r>
    <x v="2"/>
    <x v="1"/>
    <d v="2019-04-08T00:00:00"/>
    <x v="1"/>
    <n v="42"/>
    <n v="140"/>
    <n v="118"/>
    <n v="2710"/>
    <n v="144"/>
  </r>
  <r>
    <x v="2"/>
    <x v="1"/>
    <d v="2019-04-08T00:00:00"/>
    <x v="0"/>
    <n v="51"/>
    <n v="115"/>
    <n v="114"/>
    <n v="2711"/>
    <n v="180"/>
  </r>
  <r>
    <x v="2"/>
    <x v="1"/>
    <d v="2019-04-09T00:00:00"/>
    <x v="0"/>
    <n v="50"/>
    <n v="115"/>
    <n v="114"/>
    <n v="2712"/>
    <n v="232"/>
  </r>
  <r>
    <x v="2"/>
    <x v="1"/>
    <d v="2019-04-10T00:00:00"/>
    <x v="1"/>
    <n v="58"/>
    <n v="140"/>
    <n v="118"/>
    <n v="2715"/>
    <n v="200"/>
  </r>
  <r>
    <x v="2"/>
    <x v="1"/>
    <d v="2019-04-10T00:00:00"/>
    <x v="2"/>
    <n v="44"/>
    <n v="145"/>
    <n v="123"/>
    <n v="2714"/>
    <n v="154"/>
  </r>
  <r>
    <x v="2"/>
    <x v="1"/>
    <d v="2019-04-10T00:00:00"/>
    <x v="2"/>
    <n v="42"/>
    <n v="145"/>
    <n v="123"/>
    <n v="2713"/>
    <n v="153"/>
  </r>
  <r>
    <x v="2"/>
    <x v="1"/>
    <d v="2019-04-11T00:00:00"/>
    <x v="1"/>
    <n v="53"/>
    <n v="140"/>
    <n v="118"/>
    <n v="2716"/>
    <n v="187"/>
  </r>
  <r>
    <x v="2"/>
    <x v="1"/>
    <d v="2019-04-12T00:00:00"/>
    <x v="0"/>
    <n v="46"/>
    <n v="115"/>
    <n v="114"/>
    <n v="2717"/>
    <n v="159"/>
  </r>
  <r>
    <x v="2"/>
    <x v="1"/>
    <d v="2019-04-12T00:00:00"/>
    <x v="2"/>
    <n v="50"/>
    <n v="145"/>
    <n v="123"/>
    <n v="2718"/>
    <n v="182"/>
  </r>
  <r>
    <x v="2"/>
    <x v="1"/>
    <d v="2019-04-12T00:00:00"/>
    <x v="1"/>
    <n v="51"/>
    <n v="140"/>
    <n v="118"/>
    <n v="2719"/>
    <n v="182"/>
  </r>
  <r>
    <x v="2"/>
    <x v="1"/>
    <d v="2019-04-15T00:00:00"/>
    <x v="1"/>
    <n v="49"/>
    <n v="140"/>
    <n v="118"/>
    <n v="2720"/>
    <n v="176"/>
  </r>
  <r>
    <x v="2"/>
    <x v="1"/>
    <d v="2019-04-15T00:00:00"/>
    <x v="2"/>
    <n v="52"/>
    <n v="145"/>
    <n v="123"/>
    <n v="2721"/>
    <n v="192"/>
  </r>
  <r>
    <x v="2"/>
    <x v="1"/>
    <d v="2019-04-15T00:00:00"/>
    <x v="0"/>
    <n v="31"/>
    <n v="115"/>
    <n v="114"/>
    <n v="2722"/>
    <n v="107"/>
  </r>
  <r>
    <x v="2"/>
    <x v="1"/>
    <d v="2019-04-16T00:00:00"/>
    <x v="0"/>
    <n v="56"/>
    <n v="115"/>
    <n v="114"/>
    <n v="2723"/>
    <n v="206"/>
  </r>
  <r>
    <x v="2"/>
    <x v="1"/>
    <d v="2019-04-16T00:00:00"/>
    <x v="2"/>
    <n v="50"/>
    <n v="145"/>
    <n v="123"/>
    <n v="2729"/>
    <n v="175"/>
  </r>
  <r>
    <x v="2"/>
    <x v="1"/>
    <d v="2019-04-16T00:00:00"/>
    <x v="2"/>
    <n v="48"/>
    <n v="145"/>
    <n v="123"/>
    <n v="2728"/>
    <n v="173"/>
  </r>
  <r>
    <x v="2"/>
    <x v="1"/>
    <d v="2019-04-16T00:00:00"/>
    <x v="1"/>
    <n v="59"/>
    <n v="140"/>
    <n v="118"/>
    <n v="2727"/>
    <n v="212"/>
  </r>
  <r>
    <x v="2"/>
    <x v="1"/>
    <d v="2019-04-16T00:00:00"/>
    <x v="1"/>
    <n v="62"/>
    <n v="140"/>
    <n v="118"/>
    <n v="2726"/>
    <n v="289"/>
  </r>
  <r>
    <x v="2"/>
    <x v="1"/>
    <d v="2019-04-16T00:00:00"/>
    <x v="1"/>
    <n v="40"/>
    <n v="140"/>
    <n v="118"/>
    <n v="2724"/>
    <n v="139"/>
  </r>
  <r>
    <x v="2"/>
    <x v="1"/>
    <d v="2019-04-16T00:00:00"/>
    <x v="2"/>
    <n v="40"/>
    <n v="145"/>
    <n v="123"/>
    <n v="2725"/>
    <n v="139"/>
  </r>
  <r>
    <x v="2"/>
    <x v="1"/>
    <d v="2019-04-17T00:00:00"/>
    <x v="0"/>
    <n v="53"/>
    <n v="115"/>
    <n v="114"/>
    <n v="2733"/>
    <n v="195"/>
  </r>
  <r>
    <x v="2"/>
    <x v="1"/>
    <d v="2019-04-17T00:00:00"/>
    <x v="1"/>
    <n v="59"/>
    <n v="140"/>
    <n v="118"/>
    <n v="2736"/>
    <n v="277"/>
  </r>
  <r>
    <x v="2"/>
    <x v="1"/>
    <d v="2019-04-17T00:00:00"/>
    <x v="0"/>
    <n v="47"/>
    <n v="115"/>
    <n v="114"/>
    <n v="2734"/>
    <n v="166"/>
  </r>
  <r>
    <x v="2"/>
    <x v="1"/>
    <d v="2019-04-17T00:00:00"/>
    <x v="1"/>
    <n v="37"/>
    <n v="140"/>
    <n v="118"/>
    <n v="2732"/>
    <n v="130"/>
  </r>
  <r>
    <x v="2"/>
    <x v="1"/>
    <d v="2019-04-17T00:00:00"/>
    <x v="1"/>
    <n v="36"/>
    <n v="140"/>
    <n v="118"/>
    <n v="2731"/>
    <n v="130"/>
  </r>
  <r>
    <x v="2"/>
    <x v="1"/>
    <d v="2019-04-17T00:00:00"/>
    <x v="1"/>
    <n v="51"/>
    <n v="140"/>
    <n v="118"/>
    <n v="2730"/>
    <n v="193"/>
  </r>
  <r>
    <x v="2"/>
    <x v="1"/>
    <d v="2019-04-17T00:00:00"/>
    <x v="2"/>
    <n v="42"/>
    <n v="145"/>
    <n v="123"/>
    <n v="2735"/>
    <n v="151"/>
  </r>
  <r>
    <x v="2"/>
    <x v="1"/>
    <d v="2019-04-18T00:00:00"/>
    <x v="1"/>
    <n v="52"/>
    <n v="140"/>
    <n v="118"/>
    <n v="2737"/>
    <n v="188"/>
  </r>
  <r>
    <x v="2"/>
    <x v="1"/>
    <d v="2019-04-18T00:00:00"/>
    <x v="1"/>
    <n v="56"/>
    <n v="140"/>
    <n v="118"/>
    <n v="2738"/>
    <n v="192"/>
  </r>
  <r>
    <x v="2"/>
    <x v="1"/>
    <d v="2019-04-18T00:00:00"/>
    <x v="0"/>
    <n v="39"/>
    <n v="115"/>
    <n v="114"/>
    <n v="2739"/>
    <n v="179"/>
  </r>
  <r>
    <x v="2"/>
    <x v="1"/>
    <d v="2019-04-18T00:00:00"/>
    <x v="2"/>
    <n v="39"/>
    <n v="145"/>
    <n v="123"/>
    <n v="2740"/>
    <n v="183"/>
  </r>
  <r>
    <x v="2"/>
    <x v="1"/>
    <d v="2019-04-18T00:00:00"/>
    <x v="2"/>
    <n v="27"/>
    <n v="145"/>
    <n v="123"/>
    <n v="2741"/>
    <n v="93"/>
  </r>
  <r>
    <x v="2"/>
    <x v="1"/>
    <d v="2019-04-19T00:00:00"/>
    <x v="2"/>
    <n v="35"/>
    <n v="145"/>
    <n v="123"/>
    <n v="2742"/>
    <n v="124"/>
  </r>
  <r>
    <x v="2"/>
    <x v="1"/>
    <d v="2019-04-19T00:00:00"/>
    <x v="2"/>
    <n v="48"/>
    <n v="145"/>
    <n v="123"/>
    <n v="2748"/>
    <n v="222"/>
  </r>
  <r>
    <x v="2"/>
    <x v="1"/>
    <d v="2019-04-19T00:00:00"/>
    <x v="0"/>
    <n v="50"/>
    <n v="115"/>
    <n v="114"/>
    <n v="2747"/>
    <n v="173"/>
  </r>
  <r>
    <x v="2"/>
    <x v="1"/>
    <d v="2019-04-19T00:00:00"/>
    <x v="1"/>
    <n v="37"/>
    <n v="140"/>
    <n v="118"/>
    <n v="2746"/>
    <n v="136"/>
  </r>
  <r>
    <x v="2"/>
    <x v="1"/>
    <d v="2019-04-19T00:00:00"/>
    <x v="1"/>
    <n v="36"/>
    <n v="140"/>
    <n v="118"/>
    <n v="2745"/>
    <n v="124"/>
  </r>
  <r>
    <x v="2"/>
    <x v="1"/>
    <d v="2019-04-19T00:00:00"/>
    <x v="2"/>
    <n v="28"/>
    <n v="145"/>
    <n v="123"/>
    <n v="2743"/>
    <n v="102"/>
  </r>
  <r>
    <x v="2"/>
    <x v="1"/>
    <d v="2019-04-19T00:00:00"/>
    <x v="1"/>
    <n v="42"/>
    <n v="140"/>
    <n v="118"/>
    <n v="2744"/>
    <n v="146"/>
  </r>
  <r>
    <x v="2"/>
    <x v="1"/>
    <d v="2019-04-22T00:00:00"/>
    <x v="2"/>
    <n v="38"/>
    <n v="145"/>
    <n v="123"/>
    <n v="2749"/>
    <n v="132"/>
  </r>
  <r>
    <x v="2"/>
    <x v="1"/>
    <d v="2019-04-23T00:00:00"/>
    <x v="0"/>
    <n v="57"/>
    <n v="115"/>
    <n v="114"/>
    <n v="2750"/>
    <n v="207"/>
  </r>
  <r>
    <x v="2"/>
    <x v="1"/>
    <d v="2019-04-24T00:00:00"/>
    <x v="0"/>
    <n v="45"/>
    <n v="115"/>
    <n v="114"/>
    <n v="2751"/>
    <n v="160"/>
  </r>
  <r>
    <x v="2"/>
    <x v="1"/>
    <d v="2019-04-24T00:00:00"/>
    <x v="0"/>
    <n v="52"/>
    <n v="115"/>
    <n v="114"/>
    <n v="2755"/>
    <n v="186"/>
  </r>
  <r>
    <x v="2"/>
    <x v="1"/>
    <d v="2019-04-24T00:00:00"/>
    <x v="0"/>
    <n v="51"/>
    <n v="115"/>
    <n v="114"/>
    <n v="2754"/>
    <n v="180"/>
  </r>
  <r>
    <x v="2"/>
    <x v="1"/>
    <d v="2019-04-24T00:00:00"/>
    <x v="0"/>
    <n v="39"/>
    <n v="115"/>
    <n v="114"/>
    <n v="2752"/>
    <n v="135"/>
  </r>
  <r>
    <x v="2"/>
    <x v="1"/>
    <d v="2019-04-24T00:00:00"/>
    <x v="1"/>
    <n v="44"/>
    <n v="140"/>
    <n v="118"/>
    <n v="2753"/>
    <n v="159"/>
  </r>
  <r>
    <x v="2"/>
    <x v="1"/>
    <d v="2019-04-25T00:00:00"/>
    <x v="2"/>
    <n v="30"/>
    <n v="145"/>
    <n v="123"/>
    <n v="2756"/>
    <n v="107"/>
  </r>
  <r>
    <x v="2"/>
    <x v="1"/>
    <d v="2019-04-25T00:00:00"/>
    <x v="0"/>
    <n v="34"/>
    <n v="115"/>
    <n v="114"/>
    <n v="2757"/>
    <n v="121"/>
  </r>
  <r>
    <x v="2"/>
    <x v="1"/>
    <d v="2019-04-25T00:00:00"/>
    <x v="1"/>
    <n v="37"/>
    <n v="140"/>
    <n v="118"/>
    <n v="2758"/>
    <n v="173"/>
  </r>
  <r>
    <x v="2"/>
    <x v="1"/>
    <d v="2019-04-25T00:00:00"/>
    <x v="0"/>
    <n v="53"/>
    <n v="115"/>
    <n v="114"/>
    <n v="2759"/>
    <n v="249"/>
  </r>
  <r>
    <x v="2"/>
    <x v="1"/>
    <d v="2019-04-25T00:00:00"/>
    <x v="1"/>
    <n v="50"/>
    <n v="140"/>
    <n v="118"/>
    <n v="2760"/>
    <n v="235"/>
  </r>
  <r>
    <x v="2"/>
    <x v="1"/>
    <d v="2019-04-26T00:00:00"/>
    <x v="2"/>
    <n v="27"/>
    <n v="145"/>
    <n v="123"/>
    <n v="2761"/>
    <n v="99"/>
  </r>
  <r>
    <x v="2"/>
    <x v="1"/>
    <d v="2019-04-26T00:00:00"/>
    <x v="1"/>
    <n v="47"/>
    <n v="140"/>
    <n v="118"/>
    <n v="2764"/>
    <n v="217"/>
  </r>
  <r>
    <x v="2"/>
    <x v="1"/>
    <d v="2019-04-26T00:00:00"/>
    <x v="1"/>
    <n v="58"/>
    <n v="140"/>
    <n v="118"/>
    <n v="2762"/>
    <n v="222"/>
  </r>
  <r>
    <x v="2"/>
    <x v="1"/>
    <d v="2019-04-26T00:00:00"/>
    <x v="0"/>
    <n v="31"/>
    <n v="115"/>
    <n v="114"/>
    <n v="2763"/>
    <n v="114"/>
  </r>
  <r>
    <x v="2"/>
    <x v="1"/>
    <d v="2019-04-29T00:00:00"/>
    <x v="2"/>
    <n v="44"/>
    <n v="145"/>
    <n v="123"/>
    <n v="2765"/>
    <n v="161"/>
  </r>
  <r>
    <x v="2"/>
    <x v="1"/>
    <d v="2019-04-29T00:00:00"/>
    <x v="1"/>
    <n v="60"/>
    <n v="140"/>
    <n v="118"/>
    <n v="2766"/>
    <n v="277"/>
  </r>
  <r>
    <x v="2"/>
    <x v="1"/>
    <d v="2019-04-29T00:00:00"/>
    <x v="1"/>
    <n v="54"/>
    <n v="140"/>
    <n v="118"/>
    <n v="2767"/>
    <n v="190"/>
  </r>
  <r>
    <x v="2"/>
    <x v="1"/>
    <d v="2019-04-30T00:00:00"/>
    <x v="0"/>
    <n v="33"/>
    <n v="115"/>
    <n v="114"/>
    <n v="2768"/>
    <n v="119"/>
  </r>
  <r>
    <x v="2"/>
    <x v="1"/>
    <d v="2019-05-01T00:00:00"/>
    <x v="1"/>
    <n v="51"/>
    <n v="140"/>
    <n v="118"/>
    <n v="2770"/>
    <n v="181"/>
  </r>
  <r>
    <x v="2"/>
    <x v="1"/>
    <d v="2019-05-01T00:00:00"/>
    <x v="1"/>
    <n v="46"/>
    <n v="140"/>
    <n v="118"/>
    <n v="2771"/>
    <n v="212"/>
  </r>
  <r>
    <x v="2"/>
    <x v="1"/>
    <d v="2019-05-01T00:00:00"/>
    <x v="2"/>
    <n v="29"/>
    <n v="145"/>
    <n v="123"/>
    <n v="2769"/>
    <n v="107"/>
  </r>
  <r>
    <x v="2"/>
    <x v="1"/>
    <d v="2019-05-02T00:00:00"/>
    <x v="2"/>
    <n v="33"/>
    <n v="145"/>
    <n v="123"/>
    <n v="2772"/>
    <n v="117"/>
  </r>
  <r>
    <x v="2"/>
    <x v="1"/>
    <d v="2019-05-02T00:00:00"/>
    <x v="1"/>
    <n v="57"/>
    <n v="140"/>
    <n v="118"/>
    <n v="2773"/>
    <n v="200"/>
  </r>
  <r>
    <x v="2"/>
    <x v="1"/>
    <d v="2019-05-02T00:00:00"/>
    <x v="1"/>
    <n v="59"/>
    <n v="140"/>
    <n v="118"/>
    <n v="2774"/>
    <n v="277"/>
  </r>
  <r>
    <x v="2"/>
    <x v="1"/>
    <d v="2019-05-03T00:00:00"/>
    <x v="1"/>
    <n v="43"/>
    <n v="140"/>
    <n v="118"/>
    <n v="2780"/>
    <n v="156"/>
  </r>
  <r>
    <x v="2"/>
    <x v="1"/>
    <d v="2019-05-03T00:00:00"/>
    <x v="1"/>
    <n v="59"/>
    <n v="140"/>
    <n v="118"/>
    <n v="2775"/>
    <n v="206"/>
  </r>
  <r>
    <x v="2"/>
    <x v="1"/>
    <d v="2019-05-03T00:00:00"/>
    <x v="2"/>
    <n v="37"/>
    <n v="145"/>
    <n v="123"/>
    <n v="2776"/>
    <n v="131"/>
  </r>
  <r>
    <x v="2"/>
    <x v="1"/>
    <d v="2019-05-03T00:00:00"/>
    <x v="1"/>
    <n v="43"/>
    <n v="140"/>
    <n v="118"/>
    <n v="2777"/>
    <n v="156"/>
  </r>
  <r>
    <x v="2"/>
    <x v="1"/>
    <d v="2019-05-03T00:00:00"/>
    <x v="2"/>
    <n v="50"/>
    <n v="145"/>
    <n v="123"/>
    <n v="2778"/>
    <n v="177"/>
  </r>
  <r>
    <x v="2"/>
    <x v="1"/>
    <d v="2019-05-03T00:00:00"/>
    <x v="1"/>
    <n v="39"/>
    <n v="140"/>
    <n v="118"/>
    <n v="2779"/>
    <n v="138"/>
  </r>
  <r>
    <x v="2"/>
    <x v="1"/>
    <d v="2019-05-06T00:00:00"/>
    <x v="1"/>
    <n v="40"/>
    <n v="140"/>
    <n v="118"/>
    <n v="2786"/>
    <n v="141"/>
  </r>
  <r>
    <x v="2"/>
    <x v="1"/>
    <d v="2019-05-06T00:00:00"/>
    <x v="0"/>
    <n v="41"/>
    <n v="115"/>
    <n v="114"/>
    <n v="2785"/>
    <n v="141"/>
  </r>
  <r>
    <x v="2"/>
    <x v="1"/>
    <d v="2019-05-06T00:00:00"/>
    <x v="0"/>
    <n v="40"/>
    <n v="115"/>
    <n v="114"/>
    <n v="2784"/>
    <n v="146"/>
  </r>
  <r>
    <x v="2"/>
    <x v="1"/>
    <d v="2019-05-06T00:00:00"/>
    <x v="2"/>
    <n v="51"/>
    <n v="145"/>
    <n v="123"/>
    <n v="2783"/>
    <n v="187"/>
  </r>
  <r>
    <x v="2"/>
    <x v="1"/>
    <d v="2019-05-06T00:00:00"/>
    <x v="0"/>
    <n v="34"/>
    <n v="115"/>
    <n v="114"/>
    <n v="2781"/>
    <n v="118"/>
  </r>
  <r>
    <x v="2"/>
    <x v="1"/>
    <d v="2019-05-06T00:00:00"/>
    <x v="2"/>
    <n v="35"/>
    <n v="145"/>
    <n v="123"/>
    <n v="2787"/>
    <n v="125"/>
  </r>
  <r>
    <x v="2"/>
    <x v="1"/>
    <d v="2019-05-06T00:00:00"/>
    <x v="2"/>
    <n v="36"/>
    <n v="145"/>
    <n v="123"/>
    <n v="2782"/>
    <n v="125"/>
  </r>
  <r>
    <x v="2"/>
    <x v="1"/>
    <d v="2019-05-07T00:00:00"/>
    <x v="1"/>
    <n v="56"/>
    <n v="140"/>
    <n v="118"/>
    <n v="2792"/>
    <n v="204"/>
  </r>
  <r>
    <x v="2"/>
    <x v="1"/>
    <d v="2019-05-07T00:00:00"/>
    <x v="0"/>
    <n v="55"/>
    <n v="115"/>
    <n v="114"/>
    <n v="2794"/>
    <n v="198"/>
  </r>
  <r>
    <x v="2"/>
    <x v="1"/>
    <d v="2019-05-07T00:00:00"/>
    <x v="0"/>
    <n v="52"/>
    <n v="115"/>
    <n v="114"/>
    <n v="2793"/>
    <n v="191"/>
  </r>
  <r>
    <x v="2"/>
    <x v="1"/>
    <d v="2019-05-07T00:00:00"/>
    <x v="0"/>
    <n v="45"/>
    <n v="115"/>
    <n v="114"/>
    <n v="2791"/>
    <n v="156"/>
  </r>
  <r>
    <x v="2"/>
    <x v="1"/>
    <d v="2019-05-07T00:00:00"/>
    <x v="2"/>
    <n v="40"/>
    <n v="145"/>
    <n v="123"/>
    <n v="2790"/>
    <n v="145"/>
  </r>
  <r>
    <x v="2"/>
    <x v="1"/>
    <d v="2019-05-07T00:00:00"/>
    <x v="0"/>
    <n v="49"/>
    <n v="115"/>
    <n v="114"/>
    <n v="2788"/>
    <n v="176"/>
  </r>
  <r>
    <x v="2"/>
    <x v="1"/>
    <d v="2019-05-07T00:00:00"/>
    <x v="2"/>
    <n v="34"/>
    <n v="145"/>
    <n v="123"/>
    <n v="2789"/>
    <n v="118"/>
  </r>
  <r>
    <x v="2"/>
    <x v="1"/>
    <d v="2019-05-08T00:00:00"/>
    <x v="0"/>
    <n v="41"/>
    <n v="115"/>
    <n v="114"/>
    <n v="2795"/>
    <n v="148"/>
  </r>
  <r>
    <x v="2"/>
    <x v="1"/>
    <d v="2019-05-10T00:00:00"/>
    <x v="1"/>
    <n v="45"/>
    <n v="140"/>
    <n v="118"/>
    <n v="2796"/>
    <n v="154"/>
  </r>
  <r>
    <x v="2"/>
    <x v="1"/>
    <d v="2019-05-10T00:00:00"/>
    <x v="2"/>
    <n v="29"/>
    <n v="145"/>
    <n v="123"/>
    <n v="2797"/>
    <n v="104"/>
  </r>
  <r>
    <x v="2"/>
    <x v="1"/>
    <d v="2019-05-10T00:00:00"/>
    <x v="2"/>
    <n v="31"/>
    <n v="145"/>
    <n v="123"/>
    <n v="2798"/>
    <n v="107"/>
  </r>
  <r>
    <x v="2"/>
    <x v="1"/>
    <d v="2019-05-10T00:00:00"/>
    <x v="1"/>
    <n v="47"/>
    <n v="140"/>
    <n v="118"/>
    <n v="2799"/>
    <n v="169"/>
  </r>
  <r>
    <x v="2"/>
    <x v="1"/>
    <d v="2019-05-10T00:00:00"/>
    <x v="1"/>
    <n v="39"/>
    <n v="140"/>
    <n v="118"/>
    <n v="2800"/>
    <n v="135"/>
  </r>
  <r>
    <x v="2"/>
    <x v="1"/>
    <d v="2019-05-10T00:00:00"/>
    <x v="1"/>
    <n v="57"/>
    <n v="140"/>
    <n v="118"/>
    <n v="2801"/>
    <n v="200"/>
  </r>
  <r>
    <x v="2"/>
    <x v="1"/>
    <d v="2019-05-10T00:00:00"/>
    <x v="0"/>
    <n v="46"/>
    <n v="115"/>
    <n v="114"/>
    <n v="2802"/>
    <n v="158"/>
  </r>
  <r>
    <x v="2"/>
    <x v="1"/>
    <d v="2019-05-13T00:00:00"/>
    <x v="2"/>
    <n v="43"/>
    <n v="145"/>
    <n v="123"/>
    <n v="2806"/>
    <n v="199"/>
  </r>
  <r>
    <x v="2"/>
    <x v="1"/>
    <d v="2019-05-13T00:00:00"/>
    <x v="1"/>
    <n v="58"/>
    <n v="140"/>
    <n v="118"/>
    <n v="2805"/>
    <n v="199"/>
  </r>
  <r>
    <x v="2"/>
    <x v="1"/>
    <d v="2019-05-13T00:00:00"/>
    <x v="1"/>
    <n v="47"/>
    <n v="140"/>
    <n v="118"/>
    <n v="2804"/>
    <n v="164"/>
  </r>
  <r>
    <x v="2"/>
    <x v="1"/>
    <d v="2019-05-13T00:00:00"/>
    <x v="0"/>
    <n v="45"/>
    <n v="115"/>
    <n v="114"/>
    <n v="2803"/>
    <n v="162"/>
  </r>
  <r>
    <x v="2"/>
    <x v="1"/>
    <d v="2019-05-14T00:00:00"/>
    <x v="2"/>
    <n v="40"/>
    <n v="145"/>
    <n v="123"/>
    <n v="2808"/>
    <n v="187"/>
  </r>
  <r>
    <x v="2"/>
    <x v="1"/>
    <d v="2019-05-14T00:00:00"/>
    <x v="2"/>
    <n v="34"/>
    <n v="145"/>
    <n v="123"/>
    <n v="2809"/>
    <n v="120"/>
  </r>
  <r>
    <x v="2"/>
    <x v="1"/>
    <d v="2019-05-14T00:00:00"/>
    <x v="1"/>
    <n v="58"/>
    <n v="140"/>
    <n v="118"/>
    <n v="2810"/>
    <n v="209"/>
  </r>
  <r>
    <x v="2"/>
    <x v="1"/>
    <d v="2019-05-14T00:00:00"/>
    <x v="0"/>
    <n v="51"/>
    <n v="115"/>
    <n v="114"/>
    <n v="2811"/>
    <n v="178"/>
  </r>
  <r>
    <x v="2"/>
    <x v="1"/>
    <d v="2019-05-14T00:00:00"/>
    <x v="0"/>
    <n v="32"/>
    <n v="115"/>
    <n v="114"/>
    <n v="2812"/>
    <n v="115"/>
  </r>
  <r>
    <x v="2"/>
    <x v="1"/>
    <d v="2019-05-14T00:00:00"/>
    <x v="0"/>
    <n v="35"/>
    <n v="115"/>
    <n v="114"/>
    <n v="2807"/>
    <n v="123"/>
  </r>
  <r>
    <x v="2"/>
    <x v="1"/>
    <d v="2019-05-15T00:00:00"/>
    <x v="0"/>
    <n v="50"/>
    <n v="115"/>
    <n v="114"/>
    <n v="2814"/>
    <n v="182"/>
  </r>
  <r>
    <x v="2"/>
    <x v="1"/>
    <d v="2019-05-15T00:00:00"/>
    <x v="1"/>
    <n v="53"/>
    <n v="140"/>
    <n v="118"/>
    <n v="2819"/>
    <n v="194"/>
  </r>
  <r>
    <x v="2"/>
    <x v="1"/>
    <d v="2019-05-15T00:00:00"/>
    <x v="0"/>
    <n v="51"/>
    <n v="115"/>
    <n v="114"/>
    <n v="2818"/>
    <n v="184"/>
  </r>
  <r>
    <x v="2"/>
    <x v="1"/>
    <d v="2019-05-15T00:00:00"/>
    <x v="0"/>
    <n v="47"/>
    <n v="115"/>
    <n v="114"/>
    <n v="2817"/>
    <n v="169"/>
  </r>
  <r>
    <x v="2"/>
    <x v="1"/>
    <d v="2019-05-15T00:00:00"/>
    <x v="0"/>
    <n v="40"/>
    <n v="115"/>
    <n v="114"/>
    <n v="2815"/>
    <n v="187"/>
  </r>
  <r>
    <x v="2"/>
    <x v="1"/>
    <d v="2019-05-15T00:00:00"/>
    <x v="1"/>
    <n v="51"/>
    <n v="140"/>
    <n v="118"/>
    <n v="2813"/>
    <n v="176"/>
  </r>
  <r>
    <x v="2"/>
    <x v="1"/>
    <d v="2019-05-15T00:00:00"/>
    <x v="0"/>
    <n v="34"/>
    <n v="115"/>
    <n v="114"/>
    <n v="2816"/>
    <n v="118"/>
  </r>
  <r>
    <x v="2"/>
    <x v="1"/>
    <d v="2019-05-16T00:00:00"/>
    <x v="0"/>
    <n v="33"/>
    <n v="115"/>
    <n v="114"/>
    <n v="2820"/>
    <n v="117"/>
  </r>
  <r>
    <x v="2"/>
    <x v="1"/>
    <d v="2019-05-16T00:00:00"/>
    <x v="1"/>
    <n v="46"/>
    <n v="140"/>
    <n v="118"/>
    <n v="2821"/>
    <n v="159"/>
  </r>
  <r>
    <x v="2"/>
    <x v="1"/>
    <d v="2019-05-17T00:00:00"/>
    <x v="1"/>
    <n v="37"/>
    <n v="140"/>
    <n v="118"/>
    <n v="2822"/>
    <n v="130"/>
  </r>
  <r>
    <x v="2"/>
    <x v="1"/>
    <d v="2019-05-17T00:00:00"/>
    <x v="2"/>
    <n v="37"/>
    <n v="145"/>
    <n v="123"/>
    <n v="2826"/>
    <n v="136"/>
  </r>
  <r>
    <x v="2"/>
    <x v="1"/>
    <d v="2019-05-17T00:00:00"/>
    <x v="2"/>
    <n v="27"/>
    <n v="145"/>
    <n v="123"/>
    <n v="2825"/>
    <n v="98"/>
  </r>
  <r>
    <x v="2"/>
    <x v="1"/>
    <d v="2019-05-17T00:00:00"/>
    <x v="1"/>
    <n v="36"/>
    <n v="140"/>
    <n v="118"/>
    <n v="2823"/>
    <n v="128"/>
  </r>
  <r>
    <x v="2"/>
    <x v="1"/>
    <d v="2019-05-17T00:00:00"/>
    <x v="2"/>
    <n v="41"/>
    <n v="145"/>
    <n v="123"/>
    <n v="2824"/>
    <n v="146"/>
  </r>
  <r>
    <x v="2"/>
    <x v="1"/>
    <d v="2019-05-20T00:00:00"/>
    <x v="0"/>
    <n v="56"/>
    <n v="115"/>
    <n v="114"/>
    <n v="2832"/>
    <n v="193"/>
  </r>
  <r>
    <x v="2"/>
    <x v="1"/>
    <d v="2019-05-20T00:00:00"/>
    <x v="2"/>
    <n v="33"/>
    <n v="145"/>
    <n v="123"/>
    <n v="2827"/>
    <n v="152"/>
  </r>
  <r>
    <x v="2"/>
    <x v="1"/>
    <d v="2019-05-20T00:00:00"/>
    <x v="0"/>
    <n v="44"/>
    <n v="115"/>
    <n v="114"/>
    <n v="2828"/>
    <n v="203"/>
  </r>
  <r>
    <x v="2"/>
    <x v="1"/>
    <d v="2019-05-20T00:00:00"/>
    <x v="2"/>
    <n v="33"/>
    <n v="145"/>
    <n v="123"/>
    <n v="2829"/>
    <n v="120"/>
  </r>
  <r>
    <x v="2"/>
    <x v="1"/>
    <d v="2019-05-20T00:00:00"/>
    <x v="0"/>
    <n v="49"/>
    <n v="115"/>
    <n v="114"/>
    <n v="2830"/>
    <n v="176"/>
  </r>
  <r>
    <x v="2"/>
    <x v="1"/>
    <d v="2019-05-20T00:00:00"/>
    <x v="0"/>
    <n v="32"/>
    <n v="115"/>
    <n v="114"/>
    <n v="2831"/>
    <n v="117"/>
  </r>
  <r>
    <x v="2"/>
    <x v="1"/>
    <d v="2019-05-21T00:00:00"/>
    <x v="0"/>
    <n v="42"/>
    <n v="115"/>
    <n v="114"/>
    <n v="2835"/>
    <n v="152"/>
  </r>
  <r>
    <x v="2"/>
    <x v="1"/>
    <d v="2019-05-21T00:00:00"/>
    <x v="0"/>
    <n v="49"/>
    <n v="115"/>
    <n v="114"/>
    <n v="2833"/>
    <n v="177"/>
  </r>
  <r>
    <x v="2"/>
    <x v="1"/>
    <d v="2019-05-21T00:00:00"/>
    <x v="0"/>
    <n v="48"/>
    <n v="115"/>
    <n v="114"/>
    <n v="2834"/>
    <n v="177"/>
  </r>
  <r>
    <x v="2"/>
    <x v="1"/>
    <d v="2019-05-22T00:00:00"/>
    <x v="2"/>
    <n v="42"/>
    <n v="145"/>
    <n v="123"/>
    <n v="2836"/>
    <n v="146"/>
  </r>
  <r>
    <x v="2"/>
    <x v="1"/>
    <d v="2019-05-23T00:00:00"/>
    <x v="2"/>
    <n v="37"/>
    <n v="145"/>
    <n v="123"/>
    <n v="2837"/>
    <n v="129"/>
  </r>
  <r>
    <x v="2"/>
    <x v="1"/>
    <d v="2019-05-23T00:00:00"/>
    <x v="2"/>
    <n v="33"/>
    <n v="145"/>
    <n v="123"/>
    <n v="2838"/>
    <n v="118"/>
  </r>
  <r>
    <x v="2"/>
    <x v="1"/>
    <d v="2019-05-27T00:00:00"/>
    <x v="1"/>
    <n v="44"/>
    <n v="140"/>
    <n v="118"/>
    <n v="2842"/>
    <n v="154"/>
  </r>
  <r>
    <x v="2"/>
    <x v="1"/>
    <d v="2019-05-27T00:00:00"/>
    <x v="0"/>
    <n v="37"/>
    <n v="115"/>
    <n v="114"/>
    <n v="2845"/>
    <n v="130"/>
  </r>
  <r>
    <x v="2"/>
    <x v="1"/>
    <d v="2019-05-27T00:00:00"/>
    <x v="1"/>
    <n v="48"/>
    <n v="140"/>
    <n v="118"/>
    <n v="2843"/>
    <n v="168"/>
  </r>
  <r>
    <x v="2"/>
    <x v="1"/>
    <d v="2019-05-27T00:00:00"/>
    <x v="1"/>
    <n v="62"/>
    <n v="140"/>
    <n v="118"/>
    <n v="2840"/>
    <n v="224"/>
  </r>
  <r>
    <x v="2"/>
    <x v="1"/>
    <d v="2019-05-27T00:00:00"/>
    <x v="0"/>
    <n v="34"/>
    <n v="115"/>
    <n v="114"/>
    <n v="2839"/>
    <n v="120"/>
  </r>
  <r>
    <x v="2"/>
    <x v="1"/>
    <d v="2019-05-27T00:00:00"/>
    <x v="0"/>
    <n v="52"/>
    <n v="115"/>
    <n v="114"/>
    <n v="2844"/>
    <n v="189"/>
  </r>
  <r>
    <x v="2"/>
    <x v="1"/>
    <d v="2019-05-27T00:00:00"/>
    <x v="2"/>
    <n v="47"/>
    <n v="145"/>
    <n v="123"/>
    <n v="2841"/>
    <n v="219"/>
  </r>
  <r>
    <x v="2"/>
    <x v="1"/>
    <d v="2019-05-28T00:00:00"/>
    <x v="0"/>
    <n v="51"/>
    <n v="115"/>
    <n v="114"/>
    <n v="2846"/>
    <n v="238"/>
  </r>
  <r>
    <x v="2"/>
    <x v="1"/>
    <d v="2019-05-28T00:00:00"/>
    <x v="0"/>
    <n v="49"/>
    <n v="115"/>
    <n v="114"/>
    <n v="2847"/>
    <n v="176"/>
  </r>
  <r>
    <x v="2"/>
    <x v="1"/>
    <d v="2019-05-28T00:00:00"/>
    <x v="0"/>
    <n v="34"/>
    <n v="115"/>
    <n v="114"/>
    <n v="2848"/>
    <n v="116"/>
  </r>
  <r>
    <x v="2"/>
    <x v="1"/>
    <d v="2019-05-29T00:00:00"/>
    <x v="0"/>
    <n v="56"/>
    <n v="115"/>
    <n v="114"/>
    <n v="2849"/>
    <n v="198"/>
  </r>
  <r>
    <x v="2"/>
    <x v="1"/>
    <d v="2019-05-29T00:00:00"/>
    <x v="1"/>
    <n v="53"/>
    <n v="140"/>
    <n v="118"/>
    <n v="2850"/>
    <n v="182"/>
  </r>
  <r>
    <x v="2"/>
    <x v="1"/>
    <d v="2019-05-30T00:00:00"/>
    <x v="1"/>
    <n v="45"/>
    <n v="140"/>
    <n v="118"/>
    <n v="2851"/>
    <n v="154"/>
  </r>
  <r>
    <x v="2"/>
    <x v="1"/>
    <d v="2019-05-30T00:00:00"/>
    <x v="1"/>
    <n v="44"/>
    <n v="140"/>
    <n v="118"/>
    <n v="2856"/>
    <n v="156"/>
  </r>
  <r>
    <x v="2"/>
    <x v="1"/>
    <d v="2019-05-30T00:00:00"/>
    <x v="0"/>
    <n v="46"/>
    <n v="115"/>
    <n v="114"/>
    <n v="2855"/>
    <n v="164"/>
  </r>
  <r>
    <x v="2"/>
    <x v="1"/>
    <d v="2019-05-30T00:00:00"/>
    <x v="0"/>
    <n v="51"/>
    <n v="115"/>
    <n v="114"/>
    <n v="2854"/>
    <n v="184"/>
  </r>
  <r>
    <x v="2"/>
    <x v="1"/>
    <d v="2019-05-30T00:00:00"/>
    <x v="0"/>
    <n v="48"/>
    <n v="115"/>
    <n v="114"/>
    <n v="2852"/>
    <n v="171"/>
  </r>
  <r>
    <x v="2"/>
    <x v="1"/>
    <d v="2019-05-30T00:00:00"/>
    <x v="2"/>
    <n v="46"/>
    <n v="145"/>
    <n v="123"/>
    <n v="2853"/>
    <n v="161"/>
  </r>
  <r>
    <x v="2"/>
    <x v="1"/>
    <d v="2019-05-31T00:00:00"/>
    <x v="1"/>
    <n v="49"/>
    <n v="140"/>
    <n v="118"/>
    <n v="2857"/>
    <n v="229"/>
  </r>
  <r>
    <x v="2"/>
    <x v="1"/>
    <d v="2019-05-31T00:00:00"/>
    <x v="1"/>
    <n v="51"/>
    <n v="140"/>
    <n v="118"/>
    <n v="2858"/>
    <n v="187"/>
  </r>
  <r>
    <x v="2"/>
    <x v="1"/>
    <d v="2019-06-03T00:00:00"/>
    <x v="0"/>
    <n v="43"/>
    <n v="115"/>
    <n v="114"/>
    <n v="2862"/>
    <n v="150"/>
  </r>
  <r>
    <x v="2"/>
    <x v="1"/>
    <d v="2019-06-03T00:00:00"/>
    <x v="1"/>
    <n v="50"/>
    <n v="140"/>
    <n v="118"/>
    <n v="2861"/>
    <n v="183"/>
  </r>
  <r>
    <x v="2"/>
    <x v="1"/>
    <d v="2019-06-03T00:00:00"/>
    <x v="2"/>
    <n v="37"/>
    <n v="145"/>
    <n v="123"/>
    <n v="2864"/>
    <n v="139"/>
  </r>
  <r>
    <x v="2"/>
    <x v="1"/>
    <d v="2019-06-03T00:00:00"/>
    <x v="0"/>
    <n v="43"/>
    <n v="115"/>
    <n v="114"/>
    <n v="2859"/>
    <n v="156"/>
  </r>
  <r>
    <x v="2"/>
    <x v="1"/>
    <d v="2019-06-03T00:00:00"/>
    <x v="2"/>
    <n v="38"/>
    <n v="145"/>
    <n v="123"/>
    <n v="2860"/>
    <n v="135"/>
  </r>
  <r>
    <x v="2"/>
    <x v="1"/>
    <d v="2019-06-03T00:00:00"/>
    <x v="1"/>
    <n v="40"/>
    <n v="140"/>
    <n v="118"/>
    <n v="2863"/>
    <n v="147"/>
  </r>
  <r>
    <x v="2"/>
    <x v="1"/>
    <d v="2019-06-05T00:00:00"/>
    <x v="0"/>
    <n v="42"/>
    <n v="115"/>
    <n v="114"/>
    <n v="2865"/>
    <n v="146"/>
  </r>
  <r>
    <x v="2"/>
    <x v="1"/>
    <d v="2019-06-06T00:00:00"/>
    <x v="2"/>
    <n v="41"/>
    <n v="145"/>
    <n v="123"/>
    <n v="2866"/>
    <n v="146"/>
  </r>
  <r>
    <x v="2"/>
    <x v="1"/>
    <d v="2019-06-06T00:00:00"/>
    <x v="1"/>
    <n v="36"/>
    <n v="140"/>
    <n v="118"/>
    <n v="2867"/>
    <n v="131"/>
  </r>
  <r>
    <x v="2"/>
    <x v="1"/>
    <d v="2019-06-06T00:00:00"/>
    <x v="0"/>
    <n v="40"/>
    <n v="115"/>
    <n v="114"/>
    <n v="2868"/>
    <n v="147"/>
  </r>
  <r>
    <x v="2"/>
    <x v="1"/>
    <d v="2019-06-06T00:00:00"/>
    <x v="0"/>
    <n v="48"/>
    <n v="115"/>
    <n v="114"/>
    <n v="2869"/>
    <n v="173"/>
  </r>
  <r>
    <x v="2"/>
    <x v="1"/>
    <d v="2019-06-07T00:00:00"/>
    <x v="0"/>
    <n v="47"/>
    <n v="115"/>
    <n v="114"/>
    <n v="2871"/>
    <n v="219"/>
  </r>
  <r>
    <x v="2"/>
    <x v="1"/>
    <d v="2019-06-07T00:00:00"/>
    <x v="0"/>
    <n v="38"/>
    <n v="115"/>
    <n v="114"/>
    <n v="2870"/>
    <n v="177"/>
  </r>
  <r>
    <x v="2"/>
    <x v="1"/>
    <d v="2019-06-10T00:00:00"/>
    <x v="1"/>
    <n v="45"/>
    <n v="140"/>
    <n v="118"/>
    <n v="2875"/>
    <n v="166"/>
  </r>
  <r>
    <x v="2"/>
    <x v="1"/>
    <d v="2019-06-10T00:00:00"/>
    <x v="0"/>
    <n v="54"/>
    <n v="115"/>
    <n v="114"/>
    <n v="2874"/>
    <n v="190"/>
  </r>
  <r>
    <x v="2"/>
    <x v="1"/>
    <d v="2019-06-10T00:00:00"/>
    <x v="0"/>
    <n v="55"/>
    <n v="115"/>
    <n v="114"/>
    <n v="2872"/>
    <n v="199"/>
  </r>
  <r>
    <x v="2"/>
    <x v="1"/>
    <d v="2019-06-10T00:00:00"/>
    <x v="2"/>
    <n v="36"/>
    <n v="145"/>
    <n v="123"/>
    <n v="2873"/>
    <n v="126"/>
  </r>
  <r>
    <x v="2"/>
    <x v="1"/>
    <d v="2019-06-11T00:00:00"/>
    <x v="1"/>
    <n v="45"/>
    <n v="140"/>
    <n v="118"/>
    <n v="2876"/>
    <n v="165"/>
  </r>
  <r>
    <x v="2"/>
    <x v="1"/>
    <d v="2019-06-11T00:00:00"/>
    <x v="0"/>
    <n v="35"/>
    <n v="115"/>
    <n v="114"/>
    <n v="2877"/>
    <n v="121"/>
  </r>
  <r>
    <x v="2"/>
    <x v="1"/>
    <d v="2019-06-14T00:00:00"/>
    <x v="2"/>
    <n v="29"/>
    <n v="145"/>
    <n v="123"/>
    <n v="2878"/>
    <n v="101"/>
  </r>
  <r>
    <x v="2"/>
    <x v="1"/>
    <d v="2019-06-14T00:00:00"/>
    <x v="2"/>
    <n v="49"/>
    <n v="145"/>
    <n v="123"/>
    <n v="2882"/>
    <n v="189"/>
  </r>
  <r>
    <x v="2"/>
    <x v="1"/>
    <d v="2019-06-14T00:00:00"/>
    <x v="1"/>
    <n v="51"/>
    <n v="140"/>
    <n v="118"/>
    <n v="2883"/>
    <n v="175"/>
  </r>
  <r>
    <x v="2"/>
    <x v="1"/>
    <d v="2019-06-14T00:00:00"/>
    <x v="2"/>
    <n v="36"/>
    <n v="145"/>
    <n v="123"/>
    <n v="2884"/>
    <n v="127"/>
  </r>
  <r>
    <x v="2"/>
    <x v="1"/>
    <d v="2019-06-14T00:00:00"/>
    <x v="1"/>
    <n v="42"/>
    <n v="140"/>
    <n v="118"/>
    <n v="2879"/>
    <n v="148"/>
  </r>
  <r>
    <x v="2"/>
    <x v="1"/>
    <d v="2019-06-14T00:00:00"/>
    <x v="0"/>
    <n v="38"/>
    <n v="115"/>
    <n v="114"/>
    <n v="2880"/>
    <n v="132"/>
  </r>
  <r>
    <x v="2"/>
    <x v="1"/>
    <d v="2019-06-14T00:00:00"/>
    <x v="0"/>
    <n v="56"/>
    <n v="115"/>
    <n v="114"/>
    <n v="2881"/>
    <n v="203"/>
  </r>
  <r>
    <x v="2"/>
    <x v="1"/>
    <d v="2019-06-17T00:00:00"/>
    <x v="2"/>
    <n v="26"/>
    <n v="145"/>
    <n v="123"/>
    <n v="2889"/>
    <n v="91"/>
  </r>
  <r>
    <x v="2"/>
    <x v="1"/>
    <d v="2019-06-17T00:00:00"/>
    <x v="1"/>
    <n v="48"/>
    <n v="140"/>
    <n v="118"/>
    <n v="2890"/>
    <n v="174"/>
  </r>
  <r>
    <x v="2"/>
    <x v="1"/>
    <d v="2019-06-17T00:00:00"/>
    <x v="1"/>
    <n v="62"/>
    <n v="140"/>
    <n v="118"/>
    <n v="2888"/>
    <n v="227"/>
  </r>
  <r>
    <x v="2"/>
    <x v="1"/>
    <d v="2019-06-17T00:00:00"/>
    <x v="1"/>
    <n v="50"/>
    <n v="140"/>
    <n v="118"/>
    <n v="2887"/>
    <n v="177"/>
  </r>
  <r>
    <x v="2"/>
    <x v="1"/>
    <d v="2019-06-17T00:00:00"/>
    <x v="2"/>
    <n v="31"/>
    <n v="145"/>
    <n v="123"/>
    <n v="2886"/>
    <n v="111"/>
  </r>
  <r>
    <x v="2"/>
    <x v="1"/>
    <d v="2019-06-17T00:00:00"/>
    <x v="0"/>
    <n v="46"/>
    <n v="115"/>
    <n v="114"/>
    <n v="2885"/>
    <n v="161"/>
  </r>
  <r>
    <x v="2"/>
    <x v="1"/>
    <d v="2019-06-18T00:00:00"/>
    <x v="2"/>
    <n v="52"/>
    <n v="145"/>
    <n v="123"/>
    <n v="2892"/>
    <n v="189"/>
  </r>
  <r>
    <x v="2"/>
    <x v="1"/>
    <d v="2019-06-18T00:00:00"/>
    <x v="0"/>
    <n v="40"/>
    <n v="115"/>
    <n v="114"/>
    <n v="2893"/>
    <n v="144"/>
  </r>
  <r>
    <x v="2"/>
    <x v="1"/>
    <d v="2019-06-18T00:00:00"/>
    <x v="0"/>
    <n v="35"/>
    <n v="115"/>
    <n v="114"/>
    <n v="2891"/>
    <n v="127"/>
  </r>
  <r>
    <x v="2"/>
    <x v="1"/>
    <d v="2019-06-19T00:00:00"/>
    <x v="1"/>
    <n v="36"/>
    <n v="140"/>
    <n v="118"/>
    <n v="2894"/>
    <n v="133"/>
  </r>
  <r>
    <x v="2"/>
    <x v="1"/>
    <d v="2019-06-19T00:00:00"/>
    <x v="2"/>
    <n v="43"/>
    <n v="145"/>
    <n v="123"/>
    <n v="2895"/>
    <n v="156"/>
  </r>
  <r>
    <x v="2"/>
    <x v="1"/>
    <d v="2019-06-19T00:00:00"/>
    <x v="2"/>
    <n v="36"/>
    <n v="145"/>
    <n v="123"/>
    <n v="2896"/>
    <n v="124"/>
  </r>
  <r>
    <x v="2"/>
    <x v="1"/>
    <d v="2019-06-20T00:00:00"/>
    <x v="0"/>
    <n v="33"/>
    <n v="115"/>
    <n v="114"/>
    <n v="2898"/>
    <n v="114"/>
  </r>
  <r>
    <x v="2"/>
    <x v="1"/>
    <d v="2019-06-20T00:00:00"/>
    <x v="1"/>
    <n v="43"/>
    <n v="140"/>
    <n v="118"/>
    <n v="2897"/>
    <n v="149"/>
  </r>
  <r>
    <x v="2"/>
    <x v="1"/>
    <d v="2019-06-21T00:00:00"/>
    <x v="2"/>
    <n v="47"/>
    <n v="145"/>
    <n v="123"/>
    <n v="2899"/>
    <n v="163"/>
  </r>
  <r>
    <x v="2"/>
    <x v="1"/>
    <d v="2019-06-24T00:00:00"/>
    <x v="1"/>
    <n v="42"/>
    <n v="140"/>
    <n v="118"/>
    <n v="2901"/>
    <n v="147"/>
  </r>
  <r>
    <x v="2"/>
    <x v="1"/>
    <d v="2019-06-24T00:00:00"/>
    <x v="1"/>
    <n v="46"/>
    <n v="140"/>
    <n v="118"/>
    <n v="2900"/>
    <n v="167"/>
  </r>
  <r>
    <x v="2"/>
    <x v="1"/>
    <d v="2019-06-25T00:00:00"/>
    <x v="1"/>
    <n v="41"/>
    <n v="140"/>
    <n v="118"/>
    <n v="2902"/>
    <n v="150"/>
  </r>
  <r>
    <x v="2"/>
    <x v="1"/>
    <d v="2019-06-25T00:00:00"/>
    <x v="0"/>
    <n v="36"/>
    <n v="115"/>
    <n v="114"/>
    <n v="2903"/>
    <n v="128"/>
  </r>
  <r>
    <x v="2"/>
    <x v="1"/>
    <d v="2019-06-26T00:00:00"/>
    <x v="0"/>
    <n v="36"/>
    <n v="115"/>
    <n v="114"/>
    <n v="2906"/>
    <n v="166"/>
  </r>
  <r>
    <x v="2"/>
    <x v="1"/>
    <d v="2019-06-26T00:00:00"/>
    <x v="2"/>
    <n v="35"/>
    <n v="145"/>
    <n v="123"/>
    <n v="2910"/>
    <n v="121"/>
  </r>
  <r>
    <x v="2"/>
    <x v="1"/>
    <d v="2019-06-26T00:00:00"/>
    <x v="0"/>
    <n v="35"/>
    <n v="115"/>
    <n v="114"/>
    <n v="2909"/>
    <n v="122"/>
  </r>
  <r>
    <x v="2"/>
    <x v="1"/>
    <d v="2019-06-26T00:00:00"/>
    <x v="0"/>
    <n v="47"/>
    <n v="115"/>
    <n v="114"/>
    <n v="2907"/>
    <n v="168"/>
  </r>
  <r>
    <x v="2"/>
    <x v="1"/>
    <d v="2019-06-26T00:00:00"/>
    <x v="1"/>
    <n v="57"/>
    <n v="140"/>
    <n v="118"/>
    <n v="2905"/>
    <n v="200"/>
  </r>
  <r>
    <x v="2"/>
    <x v="1"/>
    <d v="2019-06-26T00:00:00"/>
    <x v="1"/>
    <n v="46"/>
    <n v="140"/>
    <n v="118"/>
    <n v="2904"/>
    <n v="169"/>
  </r>
  <r>
    <x v="2"/>
    <x v="1"/>
    <d v="2019-06-26T00:00:00"/>
    <x v="0"/>
    <n v="46"/>
    <n v="115"/>
    <n v="114"/>
    <n v="2908"/>
    <n v="166"/>
  </r>
  <r>
    <x v="2"/>
    <x v="1"/>
    <d v="2019-06-27T00:00:00"/>
    <x v="0"/>
    <n v="35"/>
    <n v="115"/>
    <n v="114"/>
    <n v="2911"/>
    <n v="129"/>
  </r>
  <r>
    <x v="2"/>
    <x v="1"/>
    <d v="2019-06-27T00:00:00"/>
    <x v="1"/>
    <n v="48"/>
    <n v="140"/>
    <n v="118"/>
    <n v="2912"/>
    <n v="171"/>
  </r>
  <r>
    <x v="2"/>
    <x v="1"/>
    <d v="2019-06-27T00:00:00"/>
    <x v="0"/>
    <n v="56"/>
    <n v="115"/>
    <n v="114"/>
    <n v="2913"/>
    <n v="192"/>
  </r>
  <r>
    <x v="2"/>
    <x v="1"/>
    <d v="2019-06-28T00:00:00"/>
    <x v="0"/>
    <n v="35"/>
    <n v="115"/>
    <n v="114"/>
    <n v="2915"/>
    <n v="121"/>
  </r>
  <r>
    <x v="2"/>
    <x v="1"/>
    <d v="2019-06-28T00:00:00"/>
    <x v="2"/>
    <n v="44"/>
    <n v="145"/>
    <n v="123"/>
    <n v="2918"/>
    <n v="154"/>
  </r>
  <r>
    <x v="2"/>
    <x v="1"/>
    <d v="2019-06-28T00:00:00"/>
    <x v="1"/>
    <n v="50"/>
    <n v="140"/>
    <n v="118"/>
    <n v="2916"/>
    <n v="180"/>
  </r>
  <r>
    <x v="2"/>
    <x v="1"/>
    <d v="2019-06-28T00:00:00"/>
    <x v="1"/>
    <n v="57"/>
    <n v="140"/>
    <n v="118"/>
    <n v="2914"/>
    <n v="210"/>
  </r>
  <r>
    <x v="2"/>
    <x v="1"/>
    <d v="2019-06-28T00:00:00"/>
    <x v="0"/>
    <n v="40"/>
    <n v="115"/>
    <n v="114"/>
    <n v="2917"/>
    <n v="144"/>
  </r>
  <r>
    <x v="2"/>
    <x v="2"/>
    <d v="2019-07-01T00:00:00"/>
    <x v="0"/>
    <n v="29"/>
    <n v="110"/>
    <n v="114"/>
    <n v="2923"/>
    <n v="104"/>
  </r>
  <r>
    <x v="2"/>
    <x v="2"/>
    <d v="2019-07-01T00:00:00"/>
    <x v="2"/>
    <n v="30"/>
    <n v="145"/>
    <n v="123"/>
    <n v="2919"/>
    <n v="108"/>
  </r>
  <r>
    <x v="2"/>
    <x v="2"/>
    <d v="2019-07-01T00:00:00"/>
    <x v="1"/>
    <n v="50"/>
    <n v="130"/>
    <n v="118"/>
    <n v="2920"/>
    <n v="176"/>
  </r>
  <r>
    <x v="2"/>
    <x v="2"/>
    <d v="2019-07-01T00:00:00"/>
    <x v="2"/>
    <n v="34"/>
    <n v="145"/>
    <n v="123"/>
    <n v="2921"/>
    <n v="118"/>
  </r>
  <r>
    <x v="2"/>
    <x v="2"/>
    <d v="2019-07-01T00:00:00"/>
    <x v="2"/>
    <n v="35"/>
    <n v="145"/>
    <n v="123"/>
    <n v="2922"/>
    <n v="129"/>
  </r>
  <r>
    <x v="2"/>
    <x v="2"/>
    <d v="2019-07-02T00:00:00"/>
    <x v="1"/>
    <n v="44"/>
    <n v="130"/>
    <n v="118"/>
    <n v="2924"/>
    <n v="204"/>
  </r>
  <r>
    <x v="2"/>
    <x v="2"/>
    <d v="2019-07-03T00:00:00"/>
    <x v="1"/>
    <n v="53"/>
    <n v="130"/>
    <n v="118"/>
    <n v="2926"/>
    <n v="189"/>
  </r>
  <r>
    <x v="2"/>
    <x v="2"/>
    <d v="2019-07-03T00:00:00"/>
    <x v="0"/>
    <n v="33"/>
    <n v="110"/>
    <n v="114"/>
    <n v="2925"/>
    <n v="119"/>
  </r>
  <r>
    <x v="2"/>
    <x v="2"/>
    <d v="2019-07-04T00:00:00"/>
    <x v="1"/>
    <n v="56"/>
    <n v="130"/>
    <n v="118"/>
    <n v="2927"/>
    <n v="196"/>
  </r>
  <r>
    <x v="2"/>
    <x v="2"/>
    <d v="2019-07-04T00:00:00"/>
    <x v="0"/>
    <n v="43"/>
    <n v="110"/>
    <n v="114"/>
    <n v="2928"/>
    <n v="150"/>
  </r>
  <r>
    <x v="2"/>
    <x v="2"/>
    <d v="2019-07-08T00:00:00"/>
    <x v="0"/>
    <n v="28"/>
    <n v="110"/>
    <n v="114"/>
    <n v="2933"/>
    <n v="100"/>
  </r>
  <r>
    <x v="2"/>
    <x v="2"/>
    <d v="2019-07-08T00:00:00"/>
    <x v="0"/>
    <n v="52"/>
    <n v="110"/>
    <n v="114"/>
    <n v="2934"/>
    <n v="190"/>
  </r>
  <r>
    <x v="2"/>
    <x v="2"/>
    <d v="2019-07-08T00:00:00"/>
    <x v="0"/>
    <n v="39"/>
    <n v="110"/>
    <n v="114"/>
    <n v="2935"/>
    <n v="138"/>
  </r>
  <r>
    <x v="2"/>
    <x v="2"/>
    <d v="2019-07-08T00:00:00"/>
    <x v="2"/>
    <n v="45"/>
    <n v="145"/>
    <n v="123"/>
    <n v="2931"/>
    <n v="163"/>
  </r>
  <r>
    <x v="2"/>
    <x v="2"/>
    <d v="2019-07-08T00:00:00"/>
    <x v="2"/>
    <n v="43"/>
    <n v="145"/>
    <n v="123"/>
    <n v="2929"/>
    <n v="158"/>
  </r>
  <r>
    <x v="2"/>
    <x v="2"/>
    <d v="2019-07-08T00:00:00"/>
    <x v="2"/>
    <n v="48"/>
    <n v="145"/>
    <n v="123"/>
    <n v="2930"/>
    <n v="168"/>
  </r>
  <r>
    <x v="2"/>
    <x v="2"/>
    <d v="2019-07-08T00:00:00"/>
    <x v="2"/>
    <n v="34"/>
    <n v="145"/>
    <n v="123"/>
    <n v="2932"/>
    <n v="118"/>
  </r>
  <r>
    <x v="2"/>
    <x v="2"/>
    <d v="2019-07-09T00:00:00"/>
    <x v="0"/>
    <n v="37"/>
    <n v="110"/>
    <n v="114"/>
    <n v="2937"/>
    <n v="130"/>
  </r>
  <r>
    <x v="2"/>
    <x v="2"/>
    <d v="2019-07-09T00:00:00"/>
    <x v="1"/>
    <n v="36"/>
    <n v="130"/>
    <n v="118"/>
    <n v="2938"/>
    <n v="126"/>
  </r>
  <r>
    <x v="2"/>
    <x v="2"/>
    <d v="2019-07-09T00:00:00"/>
    <x v="0"/>
    <n v="49"/>
    <n v="110"/>
    <n v="114"/>
    <n v="2939"/>
    <n v="174"/>
  </r>
  <r>
    <x v="2"/>
    <x v="2"/>
    <d v="2019-07-09T00:00:00"/>
    <x v="0"/>
    <n v="34"/>
    <n v="110"/>
    <n v="114"/>
    <n v="2940"/>
    <n v="120"/>
  </r>
  <r>
    <x v="2"/>
    <x v="2"/>
    <d v="2019-07-09T00:00:00"/>
    <x v="0"/>
    <n v="29"/>
    <n v="110"/>
    <n v="114"/>
    <n v="2941"/>
    <n v="105"/>
  </r>
  <r>
    <x v="2"/>
    <x v="2"/>
    <d v="2019-07-09T00:00:00"/>
    <x v="2"/>
    <n v="34"/>
    <n v="145"/>
    <n v="123"/>
    <n v="2936"/>
    <n v="118"/>
  </r>
  <r>
    <x v="2"/>
    <x v="2"/>
    <d v="2019-07-10T00:00:00"/>
    <x v="2"/>
    <n v="26"/>
    <n v="145"/>
    <n v="123"/>
    <n v="2942"/>
    <n v="93"/>
  </r>
  <r>
    <x v="2"/>
    <x v="2"/>
    <d v="2019-07-10T00:00:00"/>
    <x v="0"/>
    <n v="48"/>
    <n v="110"/>
    <n v="114"/>
    <n v="2946"/>
    <n v="226"/>
  </r>
  <r>
    <x v="2"/>
    <x v="2"/>
    <d v="2019-07-10T00:00:00"/>
    <x v="0"/>
    <n v="38"/>
    <n v="110"/>
    <n v="114"/>
    <n v="2945"/>
    <n v="136"/>
  </r>
  <r>
    <x v="2"/>
    <x v="2"/>
    <d v="2019-07-10T00:00:00"/>
    <x v="0"/>
    <n v="51"/>
    <n v="110"/>
    <n v="114"/>
    <n v="2943"/>
    <n v="178"/>
  </r>
  <r>
    <x v="2"/>
    <x v="2"/>
    <d v="2019-07-10T00:00:00"/>
    <x v="0"/>
    <n v="34"/>
    <n v="110"/>
    <n v="114"/>
    <n v="2944"/>
    <n v="118"/>
  </r>
  <r>
    <x v="2"/>
    <x v="2"/>
    <d v="2019-07-11T00:00:00"/>
    <x v="2"/>
    <n v="34"/>
    <n v="145"/>
    <n v="123"/>
    <n v="2947"/>
    <n v="124"/>
  </r>
  <r>
    <x v="2"/>
    <x v="2"/>
    <d v="2019-07-15T00:00:00"/>
    <x v="2"/>
    <n v="35"/>
    <n v="145"/>
    <n v="123"/>
    <n v="2948"/>
    <n v="128"/>
  </r>
  <r>
    <x v="2"/>
    <x v="2"/>
    <d v="2019-07-15T00:00:00"/>
    <x v="1"/>
    <n v="52"/>
    <n v="130"/>
    <n v="118"/>
    <n v="2949"/>
    <n v="189"/>
  </r>
  <r>
    <x v="2"/>
    <x v="2"/>
    <d v="2019-07-15T00:00:00"/>
    <x v="0"/>
    <n v="35"/>
    <n v="110"/>
    <n v="114"/>
    <n v="2950"/>
    <n v="127"/>
  </r>
  <r>
    <x v="2"/>
    <x v="2"/>
    <d v="2019-07-16T00:00:00"/>
    <x v="2"/>
    <n v="47"/>
    <n v="145"/>
    <n v="123"/>
    <n v="2955"/>
    <n v="217"/>
  </r>
  <r>
    <x v="2"/>
    <x v="2"/>
    <d v="2019-07-16T00:00:00"/>
    <x v="2"/>
    <n v="37"/>
    <n v="145"/>
    <n v="123"/>
    <n v="2952"/>
    <n v="134"/>
  </r>
  <r>
    <x v="2"/>
    <x v="2"/>
    <d v="2019-07-16T00:00:00"/>
    <x v="0"/>
    <n v="38"/>
    <n v="110"/>
    <n v="114"/>
    <n v="2957"/>
    <n v="138"/>
  </r>
  <r>
    <x v="2"/>
    <x v="2"/>
    <d v="2019-07-16T00:00:00"/>
    <x v="0"/>
    <n v="36"/>
    <n v="110"/>
    <n v="114"/>
    <n v="2956"/>
    <n v="133"/>
  </r>
  <r>
    <x v="2"/>
    <x v="2"/>
    <d v="2019-07-16T00:00:00"/>
    <x v="1"/>
    <n v="39"/>
    <n v="130"/>
    <n v="118"/>
    <n v="2953"/>
    <n v="136"/>
  </r>
  <r>
    <x v="2"/>
    <x v="2"/>
    <d v="2019-07-16T00:00:00"/>
    <x v="2"/>
    <n v="47"/>
    <n v="145"/>
    <n v="123"/>
    <n v="2951"/>
    <n v="172"/>
  </r>
  <r>
    <x v="2"/>
    <x v="2"/>
    <d v="2019-07-16T00:00:00"/>
    <x v="1"/>
    <n v="36"/>
    <n v="130"/>
    <n v="118"/>
    <n v="2954"/>
    <n v="129"/>
  </r>
  <r>
    <x v="2"/>
    <x v="2"/>
    <d v="2019-07-17T00:00:00"/>
    <x v="1"/>
    <n v="35"/>
    <n v="130"/>
    <n v="118"/>
    <n v="2958"/>
    <n v="130"/>
  </r>
  <r>
    <x v="2"/>
    <x v="2"/>
    <d v="2019-07-17T00:00:00"/>
    <x v="0"/>
    <n v="53"/>
    <n v="110"/>
    <n v="114"/>
    <n v="2959"/>
    <n v="202"/>
  </r>
  <r>
    <x v="2"/>
    <x v="2"/>
    <d v="2019-07-17T00:00:00"/>
    <x v="0"/>
    <n v="48"/>
    <n v="110"/>
    <n v="114"/>
    <n v="2960"/>
    <n v="174"/>
  </r>
  <r>
    <x v="2"/>
    <x v="2"/>
    <d v="2019-07-17T00:00:00"/>
    <x v="2"/>
    <n v="43"/>
    <n v="145"/>
    <n v="123"/>
    <n v="2961"/>
    <n v="199"/>
  </r>
  <r>
    <x v="2"/>
    <x v="2"/>
    <d v="2019-07-17T00:00:00"/>
    <x v="2"/>
    <n v="24"/>
    <n v="145"/>
    <n v="123"/>
    <n v="2962"/>
    <n v="86"/>
  </r>
  <r>
    <x v="2"/>
    <x v="2"/>
    <d v="2019-07-18T00:00:00"/>
    <x v="1"/>
    <n v="44"/>
    <n v="130"/>
    <n v="118"/>
    <n v="2963"/>
    <n v="152"/>
  </r>
  <r>
    <x v="2"/>
    <x v="2"/>
    <d v="2019-07-18T00:00:00"/>
    <x v="1"/>
    <n v="46"/>
    <n v="130"/>
    <n v="118"/>
    <n v="2964"/>
    <n v="170"/>
  </r>
  <r>
    <x v="2"/>
    <x v="2"/>
    <d v="2019-07-19T00:00:00"/>
    <x v="1"/>
    <n v="42"/>
    <n v="130"/>
    <n v="118"/>
    <n v="2966"/>
    <n v="144"/>
  </r>
  <r>
    <x v="2"/>
    <x v="2"/>
    <d v="2019-07-19T00:00:00"/>
    <x v="2"/>
    <n v="33"/>
    <n v="145"/>
    <n v="123"/>
    <n v="2967"/>
    <n v="117"/>
  </r>
  <r>
    <x v="2"/>
    <x v="2"/>
    <d v="2019-07-19T00:00:00"/>
    <x v="2"/>
    <n v="23"/>
    <n v="145"/>
    <n v="123"/>
    <n v="2965"/>
    <n v="83"/>
  </r>
  <r>
    <x v="2"/>
    <x v="2"/>
    <d v="2019-07-22T00:00:00"/>
    <x v="2"/>
    <n v="34"/>
    <n v="145"/>
    <n v="123"/>
    <n v="2968"/>
    <n v="118"/>
  </r>
  <r>
    <x v="2"/>
    <x v="2"/>
    <d v="2019-07-22T00:00:00"/>
    <x v="1"/>
    <n v="40"/>
    <n v="130"/>
    <n v="118"/>
    <n v="2969"/>
    <n v="137"/>
  </r>
  <r>
    <x v="2"/>
    <x v="2"/>
    <d v="2019-07-22T00:00:00"/>
    <x v="2"/>
    <n v="23"/>
    <n v="145"/>
    <n v="123"/>
    <n v="2970"/>
    <n v="80"/>
  </r>
  <r>
    <x v="2"/>
    <x v="2"/>
    <d v="2019-07-23T00:00:00"/>
    <x v="0"/>
    <n v="37"/>
    <n v="110"/>
    <n v="114"/>
    <n v="2972"/>
    <n v="127"/>
  </r>
  <r>
    <x v="2"/>
    <x v="2"/>
    <d v="2019-07-23T00:00:00"/>
    <x v="2"/>
    <n v="37"/>
    <n v="145"/>
    <n v="123"/>
    <n v="2974"/>
    <n v="130"/>
  </r>
  <r>
    <x v="2"/>
    <x v="2"/>
    <d v="2019-07-23T00:00:00"/>
    <x v="2"/>
    <n v="40"/>
    <n v="145"/>
    <n v="123"/>
    <n v="2973"/>
    <n v="139"/>
  </r>
  <r>
    <x v="2"/>
    <x v="2"/>
    <d v="2019-07-23T00:00:00"/>
    <x v="2"/>
    <n v="47"/>
    <n v="145"/>
    <n v="123"/>
    <n v="2972"/>
    <n v="167"/>
  </r>
  <r>
    <x v="2"/>
    <x v="2"/>
    <d v="2019-07-24T00:00:00"/>
    <x v="2"/>
    <n v="46"/>
    <n v="145"/>
    <n v="123"/>
    <n v="2975"/>
    <n v="168"/>
  </r>
  <r>
    <x v="2"/>
    <x v="2"/>
    <d v="2019-07-24T00:00:00"/>
    <x v="2"/>
    <n v="47"/>
    <n v="145"/>
    <n v="123"/>
    <n v="2976"/>
    <n v="216"/>
  </r>
  <r>
    <x v="2"/>
    <x v="2"/>
    <d v="2019-07-24T00:00:00"/>
    <x v="2"/>
    <n v="38"/>
    <n v="145"/>
    <n v="123"/>
    <n v="2977"/>
    <n v="130"/>
  </r>
  <r>
    <x v="2"/>
    <x v="2"/>
    <d v="2019-07-25T00:00:00"/>
    <x v="2"/>
    <n v="30"/>
    <n v="145"/>
    <n v="123"/>
    <n v="2978"/>
    <n v="106"/>
  </r>
  <r>
    <x v="2"/>
    <x v="2"/>
    <d v="2019-07-25T00:00:00"/>
    <x v="2"/>
    <n v="31"/>
    <n v="145"/>
    <n v="123"/>
    <n v="2979"/>
    <n v="113"/>
  </r>
  <r>
    <x v="2"/>
    <x v="2"/>
    <d v="2019-07-26T00:00:00"/>
    <x v="0"/>
    <n v="39"/>
    <n v="110"/>
    <n v="114"/>
    <n v="2980"/>
    <n v="136"/>
  </r>
  <r>
    <x v="2"/>
    <x v="2"/>
    <d v="2019-07-26T00:00:00"/>
    <x v="2"/>
    <n v="39"/>
    <n v="145"/>
    <n v="123"/>
    <n v="2981"/>
    <n v="136"/>
  </r>
  <r>
    <x v="2"/>
    <x v="2"/>
    <d v="2019-07-26T00:00:00"/>
    <x v="1"/>
    <n v="49"/>
    <n v="130"/>
    <n v="118"/>
    <n v="2982"/>
    <n v="169"/>
  </r>
  <r>
    <x v="2"/>
    <x v="2"/>
    <d v="2019-07-29T00:00:00"/>
    <x v="2"/>
    <n v="39"/>
    <n v="145"/>
    <n v="123"/>
    <n v="2983"/>
    <n v="138"/>
  </r>
  <r>
    <x v="2"/>
    <x v="2"/>
    <d v="2019-07-29T00:00:00"/>
    <x v="0"/>
    <n v="48"/>
    <n v="110"/>
    <n v="114"/>
    <n v="2984"/>
    <n v="166"/>
  </r>
  <r>
    <x v="2"/>
    <x v="2"/>
    <d v="2019-07-29T00:00:00"/>
    <x v="0"/>
    <n v="32"/>
    <n v="110"/>
    <n v="114"/>
    <n v="2985"/>
    <n v="115"/>
  </r>
  <r>
    <x v="2"/>
    <x v="2"/>
    <d v="2019-07-29T00:00:00"/>
    <x v="1"/>
    <n v="37"/>
    <n v="130"/>
    <n v="118"/>
    <n v="2986"/>
    <n v="133"/>
  </r>
  <r>
    <x v="2"/>
    <x v="2"/>
    <d v="2019-07-30T00:00:00"/>
    <x v="0"/>
    <n v="45"/>
    <n v="110"/>
    <n v="114"/>
    <n v="2991"/>
    <n v="160"/>
  </r>
  <r>
    <x v="2"/>
    <x v="2"/>
    <d v="2019-07-30T00:00:00"/>
    <x v="2"/>
    <n v="24"/>
    <n v="145"/>
    <n v="123"/>
    <n v="2987"/>
    <n v="87"/>
  </r>
  <r>
    <x v="2"/>
    <x v="2"/>
    <d v="2019-07-30T00:00:00"/>
    <x v="2"/>
    <n v="42"/>
    <n v="145"/>
    <n v="123"/>
    <n v="2992"/>
    <n v="144"/>
  </r>
  <r>
    <x v="2"/>
    <x v="2"/>
    <d v="2019-07-30T00:00:00"/>
    <x v="1"/>
    <n v="45"/>
    <n v="130"/>
    <n v="118"/>
    <n v="2989"/>
    <n v="158"/>
  </r>
  <r>
    <x v="2"/>
    <x v="2"/>
    <d v="2019-07-30T00:00:00"/>
    <x v="0"/>
    <n v="33"/>
    <n v="110"/>
    <n v="114"/>
    <n v="2988"/>
    <n v="124"/>
  </r>
  <r>
    <x v="2"/>
    <x v="2"/>
    <d v="2019-07-30T00:00:00"/>
    <x v="1"/>
    <n v="45"/>
    <n v="130"/>
    <n v="118"/>
    <n v="2990"/>
    <n v="160"/>
  </r>
  <r>
    <x v="2"/>
    <x v="2"/>
    <d v="2019-07-31T00:00:00"/>
    <x v="0"/>
    <n v="46"/>
    <n v="110"/>
    <n v="114"/>
    <n v="2993"/>
    <n v="163"/>
  </r>
  <r>
    <x v="2"/>
    <x v="2"/>
    <d v="2019-07-31T00:00:00"/>
    <x v="2"/>
    <n v="38"/>
    <n v="145"/>
    <n v="123"/>
    <n v="2994"/>
    <n v="131"/>
  </r>
  <r>
    <x v="2"/>
    <x v="2"/>
    <d v="2019-07-31T00:00:00"/>
    <x v="2"/>
    <n v="42"/>
    <n v="145"/>
    <n v="123"/>
    <n v="2995"/>
    <n v="147"/>
  </r>
  <r>
    <x v="2"/>
    <x v="2"/>
    <d v="2019-07-31T00:00:00"/>
    <x v="2"/>
    <n v="40"/>
    <n v="145"/>
    <n v="123"/>
    <n v="2996"/>
    <n v="188"/>
  </r>
  <r>
    <x v="2"/>
    <x v="2"/>
    <d v="2019-08-01T00:00:00"/>
    <x v="0"/>
    <n v="28"/>
    <n v="110"/>
    <n v="114"/>
    <n v="2997"/>
    <n v="103"/>
  </r>
  <r>
    <x v="2"/>
    <x v="2"/>
    <d v="2019-08-01T00:00:00"/>
    <x v="2"/>
    <n v="34"/>
    <n v="145"/>
    <n v="123"/>
    <n v="3003"/>
    <n v="125"/>
  </r>
  <r>
    <x v="2"/>
    <x v="2"/>
    <d v="2019-08-01T00:00:00"/>
    <x v="1"/>
    <n v="50"/>
    <n v="130"/>
    <n v="118"/>
    <n v="3002"/>
    <n v="183"/>
  </r>
  <r>
    <x v="2"/>
    <x v="2"/>
    <d v="2019-08-01T00:00:00"/>
    <x v="0"/>
    <n v="41"/>
    <n v="110"/>
    <n v="114"/>
    <n v="3001"/>
    <n v="146"/>
  </r>
  <r>
    <x v="2"/>
    <x v="2"/>
    <d v="2019-08-01T00:00:00"/>
    <x v="2"/>
    <n v="46"/>
    <n v="145"/>
    <n v="123"/>
    <n v="3000"/>
    <n v="164"/>
  </r>
  <r>
    <x v="2"/>
    <x v="2"/>
    <d v="2019-08-01T00:00:00"/>
    <x v="1"/>
    <n v="54"/>
    <n v="130"/>
    <n v="118"/>
    <n v="2998"/>
    <n v="186"/>
  </r>
  <r>
    <x v="2"/>
    <x v="2"/>
    <d v="2019-08-01T00:00:00"/>
    <x v="2"/>
    <n v="39"/>
    <n v="145"/>
    <n v="123"/>
    <n v="2999"/>
    <n v="136"/>
  </r>
  <r>
    <x v="2"/>
    <x v="2"/>
    <d v="2019-08-02T00:00:00"/>
    <x v="0"/>
    <n v="52"/>
    <n v="110"/>
    <n v="114"/>
    <n v="3004"/>
    <n v="184"/>
  </r>
  <r>
    <x v="2"/>
    <x v="2"/>
    <d v="2019-08-02T00:00:00"/>
    <x v="0"/>
    <n v="47"/>
    <n v="110"/>
    <n v="114"/>
    <n v="3005"/>
    <n v="172"/>
  </r>
  <r>
    <x v="2"/>
    <x v="2"/>
    <d v="2019-08-05T00:00:00"/>
    <x v="2"/>
    <n v="46"/>
    <n v="145"/>
    <n v="123"/>
    <n v="3006"/>
    <n v="159"/>
  </r>
  <r>
    <x v="2"/>
    <x v="2"/>
    <d v="2019-08-05T00:00:00"/>
    <x v="0"/>
    <n v="28"/>
    <n v="110"/>
    <n v="114"/>
    <n v="3007"/>
    <n v="97"/>
  </r>
  <r>
    <x v="2"/>
    <x v="2"/>
    <d v="2019-08-05T00:00:00"/>
    <x v="1"/>
    <n v="51"/>
    <n v="130"/>
    <n v="118"/>
    <n v="3008"/>
    <n v="184"/>
  </r>
  <r>
    <x v="2"/>
    <x v="2"/>
    <d v="2019-08-06T00:00:00"/>
    <x v="1"/>
    <n v="36"/>
    <n v="130"/>
    <n v="118"/>
    <n v="3009"/>
    <n v="129"/>
  </r>
  <r>
    <x v="2"/>
    <x v="2"/>
    <d v="2019-08-06T00:00:00"/>
    <x v="1"/>
    <n v="54"/>
    <n v="130"/>
    <n v="118"/>
    <n v="3010"/>
    <n v="197"/>
  </r>
  <r>
    <x v="2"/>
    <x v="2"/>
    <d v="2019-08-06T00:00:00"/>
    <x v="2"/>
    <n v="41"/>
    <n v="145"/>
    <n v="123"/>
    <n v="3011"/>
    <n v="189"/>
  </r>
  <r>
    <x v="2"/>
    <x v="2"/>
    <d v="2019-08-07T00:00:00"/>
    <x v="0"/>
    <n v="37"/>
    <n v="110"/>
    <n v="114"/>
    <n v="3012"/>
    <n v="136"/>
  </r>
  <r>
    <x v="2"/>
    <x v="2"/>
    <d v="2019-08-07T00:00:00"/>
    <x v="0"/>
    <n v="53"/>
    <n v="110"/>
    <n v="114"/>
    <n v="3013"/>
    <n v="193"/>
  </r>
  <r>
    <x v="2"/>
    <x v="2"/>
    <d v="2019-08-07T00:00:00"/>
    <x v="0"/>
    <n v="43"/>
    <n v="110"/>
    <n v="114"/>
    <n v="3014"/>
    <n v="149"/>
  </r>
  <r>
    <x v="2"/>
    <x v="2"/>
    <d v="2019-08-08T00:00:00"/>
    <x v="1"/>
    <n v="38"/>
    <n v="130"/>
    <n v="118"/>
    <n v="3015"/>
    <n v="135"/>
  </r>
  <r>
    <x v="2"/>
    <x v="2"/>
    <d v="2019-08-08T00:00:00"/>
    <x v="1"/>
    <n v="54"/>
    <n v="130"/>
    <n v="118"/>
    <n v="3021"/>
    <n v="197"/>
  </r>
  <r>
    <x v="2"/>
    <x v="2"/>
    <d v="2019-08-08T00:00:00"/>
    <x v="2"/>
    <n v="41"/>
    <n v="145"/>
    <n v="123"/>
    <n v="3020"/>
    <n v="142"/>
  </r>
  <r>
    <x v="2"/>
    <x v="2"/>
    <d v="2019-08-08T00:00:00"/>
    <x v="0"/>
    <n v="32"/>
    <n v="110"/>
    <n v="114"/>
    <n v="3019"/>
    <n v="113"/>
  </r>
  <r>
    <x v="2"/>
    <x v="2"/>
    <d v="2019-08-08T00:00:00"/>
    <x v="2"/>
    <n v="35"/>
    <n v="145"/>
    <n v="123"/>
    <n v="3018"/>
    <n v="124"/>
  </r>
  <r>
    <x v="2"/>
    <x v="2"/>
    <d v="2019-08-08T00:00:00"/>
    <x v="1"/>
    <n v="36"/>
    <n v="130"/>
    <n v="118"/>
    <n v="3016"/>
    <n v="169"/>
  </r>
  <r>
    <x v="2"/>
    <x v="2"/>
    <d v="2019-08-08T00:00:00"/>
    <x v="1"/>
    <n v="41"/>
    <n v="130"/>
    <n v="118"/>
    <n v="3017"/>
    <n v="192"/>
  </r>
  <r>
    <x v="2"/>
    <x v="2"/>
    <d v="2019-08-09T00:00:00"/>
    <x v="1"/>
    <n v="35"/>
    <n v="130"/>
    <n v="118"/>
    <n v="3022"/>
    <n v="123"/>
  </r>
  <r>
    <x v="2"/>
    <x v="2"/>
    <d v="2019-08-09T00:00:00"/>
    <x v="1"/>
    <n v="33"/>
    <n v="130"/>
    <n v="118"/>
    <n v="3023"/>
    <n v="116"/>
  </r>
  <r>
    <x v="2"/>
    <x v="2"/>
    <d v="2019-08-12T00:00:00"/>
    <x v="1"/>
    <n v="36"/>
    <n v="130"/>
    <n v="118"/>
    <n v="3024"/>
    <n v="130"/>
  </r>
  <r>
    <x v="2"/>
    <x v="2"/>
    <d v="2019-08-12T00:00:00"/>
    <x v="0"/>
    <n v="30"/>
    <n v="110"/>
    <n v="114"/>
    <n v="3025"/>
    <n v="105"/>
  </r>
  <r>
    <x v="2"/>
    <x v="2"/>
    <d v="2019-08-12T00:00:00"/>
    <x v="0"/>
    <n v="53"/>
    <n v="110"/>
    <n v="114"/>
    <n v="3026"/>
    <n v="187"/>
  </r>
  <r>
    <x v="2"/>
    <x v="2"/>
    <d v="2019-08-13T00:00:00"/>
    <x v="0"/>
    <n v="30"/>
    <n v="110"/>
    <n v="114"/>
    <n v="3027"/>
    <n v="104"/>
  </r>
  <r>
    <x v="2"/>
    <x v="2"/>
    <d v="2019-08-13T00:00:00"/>
    <x v="1"/>
    <n v="37"/>
    <n v="130"/>
    <n v="118"/>
    <n v="3028"/>
    <n v="136"/>
  </r>
  <r>
    <x v="2"/>
    <x v="2"/>
    <d v="2019-08-13T00:00:00"/>
    <x v="2"/>
    <n v="24"/>
    <n v="145"/>
    <n v="123"/>
    <n v="3029"/>
    <n v="88"/>
  </r>
  <r>
    <x v="2"/>
    <x v="2"/>
    <d v="2019-08-13T00:00:00"/>
    <x v="0"/>
    <n v="37"/>
    <n v="110"/>
    <n v="114"/>
    <n v="3030"/>
    <n v="136"/>
  </r>
  <r>
    <x v="2"/>
    <x v="2"/>
    <d v="2019-08-14T00:00:00"/>
    <x v="0"/>
    <n v="35"/>
    <n v="110"/>
    <n v="114"/>
    <n v="3033"/>
    <n v="122"/>
  </r>
  <r>
    <x v="2"/>
    <x v="2"/>
    <d v="2019-08-14T00:00:00"/>
    <x v="0"/>
    <n v="48"/>
    <n v="110"/>
    <n v="114"/>
    <n v="3036"/>
    <n v="170"/>
  </r>
  <r>
    <x v="2"/>
    <x v="2"/>
    <d v="2019-08-14T00:00:00"/>
    <x v="2"/>
    <n v="37"/>
    <n v="145"/>
    <n v="123"/>
    <n v="3034"/>
    <n v="134"/>
  </r>
  <r>
    <x v="2"/>
    <x v="2"/>
    <d v="2019-08-14T00:00:00"/>
    <x v="2"/>
    <n v="30"/>
    <n v="145"/>
    <n v="123"/>
    <n v="3032"/>
    <n v="106"/>
  </r>
  <r>
    <x v="2"/>
    <x v="2"/>
    <d v="2019-08-14T00:00:00"/>
    <x v="0"/>
    <n v="30"/>
    <n v="110"/>
    <n v="114"/>
    <n v="3031"/>
    <n v="114"/>
  </r>
  <r>
    <x v="2"/>
    <x v="2"/>
    <d v="2019-08-14T00:00:00"/>
    <x v="0"/>
    <n v="33"/>
    <n v="110"/>
    <n v="114"/>
    <n v="3035"/>
    <n v="115"/>
  </r>
  <r>
    <x v="2"/>
    <x v="2"/>
    <d v="2019-08-15T00:00:00"/>
    <x v="2"/>
    <n v="35"/>
    <n v="145"/>
    <n v="123"/>
    <n v="3037"/>
    <n v="127"/>
  </r>
  <r>
    <x v="2"/>
    <x v="2"/>
    <d v="2019-08-15T00:00:00"/>
    <x v="2"/>
    <n v="35"/>
    <n v="145"/>
    <n v="123"/>
    <n v="3038"/>
    <n v="124"/>
  </r>
  <r>
    <x v="2"/>
    <x v="2"/>
    <d v="2019-08-19T00:00:00"/>
    <x v="2"/>
    <n v="47"/>
    <n v="145"/>
    <n v="123"/>
    <n v="3039"/>
    <n v="221"/>
  </r>
  <r>
    <x v="2"/>
    <x v="2"/>
    <d v="2019-08-20T00:00:00"/>
    <x v="2"/>
    <n v="29"/>
    <n v="145"/>
    <n v="123"/>
    <n v="3040"/>
    <n v="104"/>
  </r>
  <r>
    <x v="2"/>
    <x v="2"/>
    <d v="2019-08-21T00:00:00"/>
    <x v="1"/>
    <n v="38"/>
    <n v="130"/>
    <n v="118"/>
    <n v="3041"/>
    <n v="136"/>
  </r>
  <r>
    <x v="2"/>
    <x v="2"/>
    <d v="2019-08-21T00:00:00"/>
    <x v="1"/>
    <n v="36"/>
    <n v="130"/>
    <n v="118"/>
    <n v="3046"/>
    <n v="131"/>
  </r>
  <r>
    <x v="2"/>
    <x v="2"/>
    <d v="2019-08-21T00:00:00"/>
    <x v="1"/>
    <n v="43"/>
    <n v="130"/>
    <n v="118"/>
    <n v="3045"/>
    <n v="157"/>
  </r>
  <r>
    <x v="2"/>
    <x v="2"/>
    <d v="2019-08-21T00:00:00"/>
    <x v="1"/>
    <n v="51"/>
    <n v="130"/>
    <n v="118"/>
    <n v="3042"/>
    <n v="177"/>
  </r>
  <r>
    <x v="2"/>
    <x v="2"/>
    <d v="2019-08-21T00:00:00"/>
    <x v="1"/>
    <n v="56"/>
    <n v="130"/>
    <n v="118"/>
    <n v="3044"/>
    <n v="194"/>
  </r>
  <r>
    <x v="2"/>
    <x v="2"/>
    <d v="2019-08-21T00:00:00"/>
    <x v="2"/>
    <n v="45"/>
    <n v="145"/>
    <n v="123"/>
    <n v="3043"/>
    <n v="210"/>
  </r>
  <r>
    <x v="2"/>
    <x v="2"/>
    <d v="2019-08-22T00:00:00"/>
    <x v="2"/>
    <n v="28"/>
    <n v="145"/>
    <n v="123"/>
    <n v="3047"/>
    <n v="99"/>
  </r>
  <r>
    <x v="2"/>
    <x v="2"/>
    <d v="2019-08-22T00:00:00"/>
    <x v="1"/>
    <n v="40"/>
    <n v="130"/>
    <n v="118"/>
    <n v="3048"/>
    <n v="138"/>
  </r>
  <r>
    <x v="2"/>
    <x v="2"/>
    <d v="2019-08-22T00:00:00"/>
    <x v="0"/>
    <n v="32"/>
    <n v="110"/>
    <n v="114"/>
    <n v="3049"/>
    <n v="115"/>
  </r>
  <r>
    <x v="2"/>
    <x v="2"/>
    <d v="2019-08-23T00:00:00"/>
    <x v="0"/>
    <n v="32"/>
    <n v="110"/>
    <n v="114"/>
    <n v="3051"/>
    <n v="118"/>
  </r>
  <r>
    <x v="2"/>
    <x v="2"/>
    <d v="2019-08-23T00:00:00"/>
    <x v="2"/>
    <n v="24"/>
    <n v="145"/>
    <n v="123"/>
    <n v="3055"/>
    <n v="87"/>
  </r>
  <r>
    <x v="2"/>
    <x v="2"/>
    <d v="2019-08-23T00:00:00"/>
    <x v="1"/>
    <n v="58"/>
    <n v="130"/>
    <n v="118"/>
    <n v="3054"/>
    <n v="210"/>
  </r>
  <r>
    <x v="2"/>
    <x v="2"/>
    <d v="2019-08-23T00:00:00"/>
    <x v="1"/>
    <n v="37"/>
    <n v="130"/>
    <n v="118"/>
    <n v="3052"/>
    <n v="130"/>
  </r>
  <r>
    <x v="2"/>
    <x v="2"/>
    <d v="2019-08-23T00:00:00"/>
    <x v="2"/>
    <n v="42"/>
    <n v="145"/>
    <n v="123"/>
    <n v="3050"/>
    <n v="195"/>
  </r>
  <r>
    <x v="2"/>
    <x v="2"/>
    <d v="2019-08-23T00:00:00"/>
    <x v="2"/>
    <n v="46"/>
    <n v="145"/>
    <n v="123"/>
    <n v="3053"/>
    <n v="169"/>
  </r>
  <r>
    <x v="2"/>
    <x v="2"/>
    <d v="2019-08-26T00:00:00"/>
    <x v="2"/>
    <n v="39"/>
    <n v="145"/>
    <n v="123"/>
    <n v="3056"/>
    <n v="138"/>
  </r>
  <r>
    <x v="2"/>
    <x v="2"/>
    <d v="2019-08-27T00:00:00"/>
    <x v="1"/>
    <n v="44"/>
    <n v="130"/>
    <n v="118"/>
    <n v="3060"/>
    <n v="169"/>
  </r>
  <r>
    <x v="2"/>
    <x v="2"/>
    <d v="2019-08-27T00:00:00"/>
    <x v="0"/>
    <n v="51"/>
    <n v="110"/>
    <n v="114"/>
    <n v="3061"/>
    <n v="184"/>
  </r>
  <r>
    <x v="2"/>
    <x v="2"/>
    <d v="2019-08-27T00:00:00"/>
    <x v="1"/>
    <n v="37"/>
    <n v="130"/>
    <n v="118"/>
    <n v="3062"/>
    <n v="136"/>
  </r>
  <r>
    <x v="2"/>
    <x v="2"/>
    <d v="2019-08-27T00:00:00"/>
    <x v="1"/>
    <n v="36"/>
    <n v="130"/>
    <n v="118"/>
    <n v="3058"/>
    <n v="166"/>
  </r>
  <r>
    <x v="2"/>
    <x v="2"/>
    <d v="2019-08-27T00:00:00"/>
    <x v="0"/>
    <n v="39"/>
    <n v="110"/>
    <n v="114"/>
    <n v="3057"/>
    <n v="142"/>
  </r>
  <r>
    <x v="2"/>
    <x v="2"/>
    <d v="2019-08-27T00:00:00"/>
    <x v="0"/>
    <n v="49"/>
    <n v="110"/>
    <n v="114"/>
    <n v="3059"/>
    <n v="172"/>
  </r>
  <r>
    <x v="2"/>
    <x v="2"/>
    <d v="2019-08-28T00:00:00"/>
    <x v="1"/>
    <n v="36"/>
    <n v="130"/>
    <n v="118"/>
    <n v="3067"/>
    <n v="128"/>
  </r>
  <r>
    <x v="2"/>
    <x v="2"/>
    <d v="2019-08-28T00:00:00"/>
    <x v="0"/>
    <n v="41"/>
    <n v="110"/>
    <n v="114"/>
    <n v="3063"/>
    <n v="139"/>
  </r>
  <r>
    <x v="2"/>
    <x v="2"/>
    <d v="2019-08-28T00:00:00"/>
    <x v="2"/>
    <n v="28"/>
    <n v="145"/>
    <n v="123"/>
    <n v="3064"/>
    <n v="100"/>
  </r>
  <r>
    <x v="2"/>
    <x v="2"/>
    <d v="2019-08-28T00:00:00"/>
    <x v="2"/>
    <n v="48"/>
    <n v="145"/>
    <n v="123"/>
    <n v="3065"/>
    <n v="177"/>
  </r>
  <r>
    <x v="2"/>
    <x v="2"/>
    <d v="2019-08-28T00:00:00"/>
    <x v="2"/>
    <n v="28"/>
    <n v="145"/>
    <n v="123"/>
    <n v="3066"/>
    <n v="103"/>
  </r>
  <r>
    <x v="2"/>
    <x v="2"/>
    <d v="2019-08-30T00:00:00"/>
    <x v="2"/>
    <n v="49"/>
    <n v="145"/>
    <n v="123"/>
    <n v="3068"/>
    <n v="174"/>
  </r>
  <r>
    <x v="2"/>
    <x v="2"/>
    <d v="2019-09-02T00:00:00"/>
    <x v="0"/>
    <n v="32"/>
    <n v="110"/>
    <n v="114"/>
    <n v="3070"/>
    <n v="115"/>
  </r>
  <r>
    <x v="2"/>
    <x v="2"/>
    <d v="2019-09-02T00:00:00"/>
    <x v="0"/>
    <n v="46"/>
    <n v="110"/>
    <n v="114"/>
    <n v="3071"/>
    <n v="163"/>
  </r>
  <r>
    <x v="2"/>
    <x v="2"/>
    <d v="2019-09-02T00:00:00"/>
    <x v="1"/>
    <n v="43"/>
    <n v="130"/>
    <n v="118"/>
    <n v="3072"/>
    <n v="158"/>
  </r>
  <r>
    <x v="2"/>
    <x v="2"/>
    <d v="2019-09-02T00:00:00"/>
    <x v="0"/>
    <n v="36"/>
    <n v="110"/>
    <n v="114"/>
    <n v="3069"/>
    <n v="124"/>
  </r>
  <r>
    <x v="2"/>
    <x v="2"/>
    <d v="2019-09-03T00:00:00"/>
    <x v="0"/>
    <n v="34"/>
    <n v="110"/>
    <n v="114"/>
    <n v="3077"/>
    <n v="117"/>
  </r>
  <r>
    <x v="2"/>
    <x v="2"/>
    <d v="2019-09-03T00:00:00"/>
    <x v="0"/>
    <n v="36"/>
    <n v="110"/>
    <n v="114"/>
    <n v="3078"/>
    <n v="128"/>
  </r>
  <r>
    <x v="2"/>
    <x v="2"/>
    <d v="2019-09-03T00:00:00"/>
    <x v="0"/>
    <n v="30"/>
    <n v="110"/>
    <n v="114"/>
    <n v="3079"/>
    <n v="106"/>
  </r>
  <r>
    <x v="2"/>
    <x v="2"/>
    <d v="2019-09-03T00:00:00"/>
    <x v="0"/>
    <n v="33"/>
    <n v="110"/>
    <n v="114"/>
    <n v="3075"/>
    <n v="119"/>
  </r>
  <r>
    <x v="2"/>
    <x v="2"/>
    <d v="2019-09-03T00:00:00"/>
    <x v="1"/>
    <n v="52"/>
    <n v="130"/>
    <n v="118"/>
    <n v="3073"/>
    <n v="244"/>
  </r>
  <r>
    <x v="2"/>
    <x v="2"/>
    <d v="2019-09-03T00:00:00"/>
    <x v="2"/>
    <n v="45"/>
    <n v="145"/>
    <n v="123"/>
    <n v="3074"/>
    <n v="159"/>
  </r>
  <r>
    <x v="2"/>
    <x v="2"/>
    <d v="2019-09-03T00:00:00"/>
    <x v="2"/>
    <n v="34"/>
    <n v="145"/>
    <n v="123"/>
    <n v="3076"/>
    <n v="121"/>
  </r>
  <r>
    <x v="2"/>
    <x v="2"/>
    <d v="2019-09-04T00:00:00"/>
    <x v="0"/>
    <n v="53"/>
    <n v="110"/>
    <n v="114"/>
    <n v="3081"/>
    <n v="183"/>
  </r>
  <r>
    <x v="2"/>
    <x v="2"/>
    <d v="2019-09-04T00:00:00"/>
    <x v="0"/>
    <n v="34"/>
    <n v="110"/>
    <n v="114"/>
    <n v="3082"/>
    <n v="120"/>
  </r>
  <r>
    <x v="2"/>
    <x v="2"/>
    <d v="2019-09-04T00:00:00"/>
    <x v="1"/>
    <n v="44"/>
    <n v="130"/>
    <n v="118"/>
    <n v="3083"/>
    <n v="160"/>
  </r>
  <r>
    <x v="2"/>
    <x v="2"/>
    <d v="2019-09-04T00:00:00"/>
    <x v="0"/>
    <n v="51"/>
    <n v="110"/>
    <n v="114"/>
    <n v="3084"/>
    <n v="181"/>
  </r>
  <r>
    <x v="2"/>
    <x v="2"/>
    <d v="2019-09-04T00:00:00"/>
    <x v="2"/>
    <n v="25"/>
    <n v="145"/>
    <n v="123"/>
    <n v="3080"/>
    <n v="90"/>
  </r>
  <r>
    <x v="2"/>
    <x v="2"/>
    <d v="2019-09-05T00:00:00"/>
    <x v="2"/>
    <n v="33"/>
    <n v="145"/>
    <n v="123"/>
    <n v="3086"/>
    <n v="122"/>
  </r>
  <r>
    <x v="2"/>
    <x v="2"/>
    <d v="2019-09-05T00:00:00"/>
    <x v="1"/>
    <n v="35"/>
    <n v="130"/>
    <n v="118"/>
    <n v="3085"/>
    <n v="122"/>
  </r>
  <r>
    <x v="2"/>
    <x v="2"/>
    <d v="2019-09-09T00:00:00"/>
    <x v="1"/>
    <n v="39"/>
    <n v="130"/>
    <n v="118"/>
    <n v="3093"/>
    <n v="134"/>
  </r>
  <r>
    <x v="2"/>
    <x v="2"/>
    <d v="2019-09-09T00:00:00"/>
    <x v="1"/>
    <n v="47"/>
    <n v="130"/>
    <n v="118"/>
    <n v="3092"/>
    <n v="167"/>
  </r>
  <r>
    <x v="2"/>
    <x v="2"/>
    <d v="2019-09-09T00:00:00"/>
    <x v="0"/>
    <n v="29"/>
    <n v="110"/>
    <n v="114"/>
    <n v="3091"/>
    <n v="104"/>
  </r>
  <r>
    <x v="2"/>
    <x v="2"/>
    <d v="2019-09-09T00:00:00"/>
    <x v="2"/>
    <n v="36"/>
    <n v="145"/>
    <n v="123"/>
    <n v="3090"/>
    <n v="124"/>
  </r>
  <r>
    <x v="2"/>
    <x v="2"/>
    <d v="2019-09-09T00:00:00"/>
    <x v="0"/>
    <n v="32"/>
    <n v="110"/>
    <n v="114"/>
    <n v="3089"/>
    <n v="117"/>
  </r>
  <r>
    <x v="2"/>
    <x v="2"/>
    <d v="2019-09-09T00:00:00"/>
    <x v="0"/>
    <n v="47"/>
    <n v="110"/>
    <n v="114"/>
    <n v="3087"/>
    <n v="170"/>
  </r>
  <r>
    <x v="2"/>
    <x v="2"/>
    <d v="2019-09-09T00:00:00"/>
    <x v="0"/>
    <n v="36"/>
    <n v="110"/>
    <n v="114"/>
    <n v="3088"/>
    <n v="128"/>
  </r>
  <r>
    <x v="2"/>
    <x v="2"/>
    <d v="2019-09-10T00:00:00"/>
    <x v="1"/>
    <n v="57"/>
    <n v="130"/>
    <n v="118"/>
    <n v="3094"/>
    <n v="209"/>
  </r>
  <r>
    <x v="2"/>
    <x v="2"/>
    <d v="2019-09-10T00:00:00"/>
    <x v="0"/>
    <n v="34"/>
    <n v="110"/>
    <n v="114"/>
    <n v="3095"/>
    <n v="159"/>
  </r>
  <r>
    <x v="2"/>
    <x v="2"/>
    <d v="2019-09-11T00:00:00"/>
    <x v="0"/>
    <n v="30"/>
    <n v="110"/>
    <n v="114"/>
    <n v="3098"/>
    <n v="110"/>
  </r>
  <r>
    <x v="2"/>
    <x v="2"/>
    <d v="2019-09-11T00:00:00"/>
    <x v="0"/>
    <n v="50"/>
    <n v="110"/>
    <n v="114"/>
    <n v="3097"/>
    <n v="186"/>
  </r>
  <r>
    <x v="2"/>
    <x v="2"/>
    <d v="2019-09-11T00:00:00"/>
    <x v="2"/>
    <n v="45"/>
    <n v="145"/>
    <n v="123"/>
    <n v="3096"/>
    <n v="158"/>
  </r>
  <r>
    <x v="2"/>
    <x v="2"/>
    <d v="2019-09-11T00:00:00"/>
    <x v="0"/>
    <n v="38"/>
    <n v="110"/>
    <n v="114"/>
    <n v="3099"/>
    <n v="137"/>
  </r>
  <r>
    <x v="2"/>
    <x v="2"/>
    <d v="2019-09-12T00:00:00"/>
    <x v="0"/>
    <n v="52"/>
    <n v="110"/>
    <n v="114"/>
    <n v="3106"/>
    <n v="186"/>
  </r>
  <r>
    <x v="2"/>
    <x v="2"/>
    <d v="2019-09-12T00:00:00"/>
    <x v="1"/>
    <n v="40"/>
    <n v="130"/>
    <n v="118"/>
    <n v="3100"/>
    <n v="147"/>
  </r>
  <r>
    <x v="2"/>
    <x v="2"/>
    <d v="2019-09-12T00:00:00"/>
    <x v="2"/>
    <n v="38"/>
    <n v="145"/>
    <n v="123"/>
    <n v="3101"/>
    <n v="137"/>
  </r>
  <r>
    <x v="2"/>
    <x v="2"/>
    <d v="2019-09-12T00:00:00"/>
    <x v="0"/>
    <n v="45"/>
    <n v="110"/>
    <n v="114"/>
    <n v="3102"/>
    <n v="163"/>
  </r>
  <r>
    <x v="2"/>
    <x v="2"/>
    <d v="2019-09-12T00:00:00"/>
    <x v="1"/>
    <n v="53"/>
    <n v="130"/>
    <n v="118"/>
    <n v="3103"/>
    <n v="182"/>
  </r>
  <r>
    <x v="2"/>
    <x v="2"/>
    <d v="2019-09-12T00:00:00"/>
    <x v="2"/>
    <n v="46"/>
    <n v="145"/>
    <n v="123"/>
    <n v="3104"/>
    <n v="156"/>
  </r>
  <r>
    <x v="2"/>
    <x v="2"/>
    <d v="2019-09-12T00:00:00"/>
    <x v="0"/>
    <n v="45"/>
    <n v="110"/>
    <n v="114"/>
    <n v="3105"/>
    <n v="212"/>
  </r>
  <r>
    <x v="2"/>
    <x v="2"/>
    <d v="2019-09-13T00:00:00"/>
    <x v="1"/>
    <n v="47"/>
    <n v="130"/>
    <n v="118"/>
    <n v="3113"/>
    <n v="172"/>
  </r>
  <r>
    <x v="2"/>
    <x v="2"/>
    <d v="2019-09-13T00:00:00"/>
    <x v="1"/>
    <n v="38"/>
    <n v="130"/>
    <n v="118"/>
    <n v="3112"/>
    <n v="134"/>
  </r>
  <r>
    <x v="2"/>
    <x v="2"/>
    <d v="2019-09-13T00:00:00"/>
    <x v="1"/>
    <n v="40"/>
    <n v="130"/>
    <n v="118"/>
    <n v="3111"/>
    <n v="145"/>
  </r>
  <r>
    <x v="2"/>
    <x v="2"/>
    <d v="2019-09-13T00:00:00"/>
    <x v="1"/>
    <n v="48"/>
    <n v="130"/>
    <n v="118"/>
    <n v="3110"/>
    <n v="168"/>
  </r>
  <r>
    <x v="2"/>
    <x v="2"/>
    <d v="2019-09-13T00:00:00"/>
    <x v="1"/>
    <n v="37"/>
    <n v="130"/>
    <n v="118"/>
    <n v="3109"/>
    <n v="174"/>
  </r>
  <r>
    <x v="2"/>
    <x v="2"/>
    <d v="2019-09-13T00:00:00"/>
    <x v="1"/>
    <n v="34"/>
    <n v="130"/>
    <n v="118"/>
    <n v="3107"/>
    <n v="120"/>
  </r>
  <r>
    <x v="2"/>
    <x v="2"/>
    <d v="2019-09-13T00:00:00"/>
    <x v="0"/>
    <n v="32"/>
    <n v="110"/>
    <n v="114"/>
    <n v="3108"/>
    <n v="121"/>
  </r>
  <r>
    <x v="2"/>
    <x v="2"/>
    <d v="2019-09-16T00:00:00"/>
    <x v="0"/>
    <n v="53"/>
    <n v="110"/>
    <n v="114"/>
    <n v="3117"/>
    <n v="183"/>
  </r>
  <r>
    <x v="2"/>
    <x v="2"/>
    <d v="2019-09-16T00:00:00"/>
    <x v="2"/>
    <n v="34"/>
    <n v="145"/>
    <n v="123"/>
    <n v="3116"/>
    <n v="121"/>
  </r>
  <r>
    <x v="2"/>
    <x v="2"/>
    <d v="2019-09-16T00:00:00"/>
    <x v="0"/>
    <n v="40"/>
    <n v="110"/>
    <n v="114"/>
    <n v="3115"/>
    <n v="145"/>
  </r>
  <r>
    <x v="2"/>
    <x v="2"/>
    <d v="2019-09-16T00:00:00"/>
    <x v="1"/>
    <n v="57"/>
    <n v="130"/>
    <n v="118"/>
    <n v="3114"/>
    <n v="198"/>
  </r>
  <r>
    <x v="2"/>
    <x v="2"/>
    <d v="2019-09-16T00:00:00"/>
    <x v="0"/>
    <n v="50"/>
    <n v="110"/>
    <n v="114"/>
    <n v="3118"/>
    <n v="234"/>
  </r>
  <r>
    <x v="2"/>
    <x v="2"/>
    <d v="2019-09-17T00:00:00"/>
    <x v="2"/>
    <n v="28"/>
    <n v="145"/>
    <n v="123"/>
    <n v="3125"/>
    <n v="102"/>
  </r>
  <r>
    <x v="2"/>
    <x v="2"/>
    <d v="2019-09-17T00:00:00"/>
    <x v="2"/>
    <n v="34"/>
    <n v="145"/>
    <n v="123"/>
    <n v="3119"/>
    <n v="117"/>
  </r>
  <r>
    <x v="2"/>
    <x v="2"/>
    <d v="2019-09-17T00:00:00"/>
    <x v="1"/>
    <n v="44"/>
    <n v="130"/>
    <n v="118"/>
    <n v="3120"/>
    <n v="155"/>
  </r>
  <r>
    <x v="2"/>
    <x v="2"/>
    <d v="2019-09-17T00:00:00"/>
    <x v="2"/>
    <n v="33"/>
    <n v="145"/>
    <n v="123"/>
    <n v="3121"/>
    <n v="114"/>
  </r>
  <r>
    <x v="2"/>
    <x v="2"/>
    <d v="2019-09-17T00:00:00"/>
    <x v="2"/>
    <n v="35"/>
    <n v="145"/>
    <n v="123"/>
    <n v="3122"/>
    <n v="128"/>
  </r>
  <r>
    <x v="2"/>
    <x v="2"/>
    <d v="2019-09-17T00:00:00"/>
    <x v="2"/>
    <n v="41"/>
    <n v="145"/>
    <n v="123"/>
    <n v="3123"/>
    <n v="151"/>
  </r>
  <r>
    <x v="2"/>
    <x v="2"/>
    <d v="2019-09-17T00:00:00"/>
    <x v="0"/>
    <n v="43"/>
    <n v="110"/>
    <n v="114"/>
    <n v="3124"/>
    <n v="150"/>
  </r>
  <r>
    <x v="2"/>
    <x v="2"/>
    <d v="2019-09-18T00:00:00"/>
    <x v="0"/>
    <n v="36"/>
    <n v="110"/>
    <n v="114"/>
    <n v="3129"/>
    <n v="131"/>
  </r>
  <r>
    <x v="2"/>
    <x v="2"/>
    <d v="2019-09-18T00:00:00"/>
    <x v="0"/>
    <n v="29"/>
    <n v="110"/>
    <n v="114"/>
    <n v="3128"/>
    <n v="105"/>
  </r>
  <r>
    <x v="2"/>
    <x v="2"/>
    <d v="2019-09-18T00:00:00"/>
    <x v="2"/>
    <n v="39"/>
    <n v="145"/>
    <n v="123"/>
    <n v="3126"/>
    <n v="143"/>
  </r>
  <r>
    <x v="2"/>
    <x v="2"/>
    <d v="2019-09-18T00:00:00"/>
    <x v="2"/>
    <n v="24"/>
    <n v="145"/>
    <n v="123"/>
    <n v="3127"/>
    <n v="88"/>
  </r>
  <r>
    <x v="2"/>
    <x v="2"/>
    <d v="2019-09-19T00:00:00"/>
    <x v="2"/>
    <n v="41"/>
    <n v="145"/>
    <n v="123"/>
    <n v="3133"/>
    <n v="148"/>
  </r>
  <r>
    <x v="2"/>
    <x v="2"/>
    <d v="2019-09-19T00:00:00"/>
    <x v="2"/>
    <n v="28"/>
    <n v="145"/>
    <n v="123"/>
    <n v="3130"/>
    <n v="101"/>
  </r>
  <r>
    <x v="2"/>
    <x v="2"/>
    <d v="2019-09-19T00:00:00"/>
    <x v="0"/>
    <n v="42"/>
    <n v="110"/>
    <n v="114"/>
    <n v="3131"/>
    <n v="152"/>
  </r>
  <r>
    <x v="2"/>
    <x v="2"/>
    <d v="2019-09-19T00:00:00"/>
    <x v="0"/>
    <n v="39"/>
    <n v="110"/>
    <n v="114"/>
    <n v="3132"/>
    <n v="138"/>
  </r>
  <r>
    <x v="2"/>
    <x v="2"/>
    <d v="2019-09-20T00:00:00"/>
    <x v="2"/>
    <n v="31"/>
    <n v="145"/>
    <n v="123"/>
    <n v="3137"/>
    <n v="113"/>
  </r>
  <r>
    <x v="2"/>
    <x v="2"/>
    <d v="2019-09-20T00:00:00"/>
    <x v="2"/>
    <n v="44"/>
    <n v="145"/>
    <n v="123"/>
    <n v="3138"/>
    <n v="205"/>
  </r>
  <r>
    <x v="2"/>
    <x v="2"/>
    <d v="2019-09-20T00:00:00"/>
    <x v="1"/>
    <n v="35"/>
    <n v="130"/>
    <n v="118"/>
    <n v="3139"/>
    <n v="125"/>
  </r>
  <r>
    <x v="2"/>
    <x v="2"/>
    <d v="2019-09-20T00:00:00"/>
    <x v="0"/>
    <n v="35"/>
    <n v="110"/>
    <n v="114"/>
    <n v="3134"/>
    <n v="128"/>
  </r>
  <r>
    <x v="2"/>
    <x v="2"/>
    <d v="2019-09-20T00:00:00"/>
    <x v="0"/>
    <n v="50"/>
    <n v="110"/>
    <n v="114"/>
    <n v="3135"/>
    <n v="181"/>
  </r>
  <r>
    <x v="2"/>
    <x v="2"/>
    <d v="2019-09-20T00:00:00"/>
    <x v="1"/>
    <n v="42"/>
    <n v="130"/>
    <n v="118"/>
    <n v="3136"/>
    <n v="153"/>
  </r>
  <r>
    <x v="2"/>
    <x v="2"/>
    <d v="2019-09-23T00:00:00"/>
    <x v="1"/>
    <n v="33"/>
    <n v="130"/>
    <n v="118"/>
    <n v="3140"/>
    <n v="117"/>
  </r>
  <r>
    <x v="2"/>
    <x v="2"/>
    <d v="2019-09-23T00:00:00"/>
    <x v="1"/>
    <n v="40"/>
    <n v="130"/>
    <n v="118"/>
    <n v="3141"/>
    <n v="147"/>
  </r>
  <r>
    <x v="2"/>
    <x v="2"/>
    <d v="2019-09-24T00:00:00"/>
    <x v="0"/>
    <n v="33"/>
    <n v="110"/>
    <n v="114"/>
    <n v="3145"/>
    <n v="117"/>
  </r>
  <r>
    <x v="2"/>
    <x v="2"/>
    <d v="2019-09-24T00:00:00"/>
    <x v="1"/>
    <n v="39"/>
    <n v="130"/>
    <n v="118"/>
    <n v="3146"/>
    <n v="144"/>
  </r>
  <r>
    <x v="2"/>
    <x v="2"/>
    <d v="2019-09-24T00:00:00"/>
    <x v="0"/>
    <n v="47"/>
    <n v="110"/>
    <n v="114"/>
    <n v="3144"/>
    <n v="168"/>
  </r>
  <r>
    <x v="2"/>
    <x v="2"/>
    <d v="2019-09-24T00:00:00"/>
    <x v="0"/>
    <n v="42"/>
    <n v="110"/>
    <n v="114"/>
    <n v="3143"/>
    <n v="147"/>
  </r>
  <r>
    <x v="2"/>
    <x v="2"/>
    <d v="2019-09-24T00:00:00"/>
    <x v="0"/>
    <n v="38"/>
    <n v="110"/>
    <n v="114"/>
    <n v="3142"/>
    <n v="137"/>
  </r>
  <r>
    <x v="2"/>
    <x v="2"/>
    <d v="2019-09-25T00:00:00"/>
    <x v="0"/>
    <n v="53"/>
    <n v="110"/>
    <n v="114"/>
    <n v="3148"/>
    <n v="186"/>
  </r>
  <r>
    <x v="2"/>
    <x v="2"/>
    <d v="2019-09-25T00:00:00"/>
    <x v="2"/>
    <n v="40"/>
    <n v="145"/>
    <n v="123"/>
    <n v="3149"/>
    <n v="143"/>
  </r>
  <r>
    <x v="2"/>
    <x v="2"/>
    <d v="2019-09-25T00:00:00"/>
    <x v="0"/>
    <n v="32"/>
    <n v="110"/>
    <n v="114"/>
    <n v="3150"/>
    <n v="117"/>
  </r>
  <r>
    <x v="2"/>
    <x v="2"/>
    <d v="2019-09-25T00:00:00"/>
    <x v="2"/>
    <n v="44"/>
    <n v="145"/>
    <n v="123"/>
    <n v="3147"/>
    <n v="155"/>
  </r>
  <r>
    <x v="2"/>
    <x v="2"/>
    <d v="2019-09-27T00:00:00"/>
    <x v="2"/>
    <n v="25"/>
    <n v="145"/>
    <n v="123"/>
    <n v="3151"/>
    <n v="95"/>
  </r>
  <r>
    <x v="2"/>
    <x v="2"/>
    <d v="2019-09-27T00:00:00"/>
    <x v="1"/>
    <n v="38"/>
    <n v="130"/>
    <n v="118"/>
    <n v="3152"/>
    <n v="140"/>
  </r>
  <r>
    <x v="2"/>
    <x v="2"/>
    <d v="2019-09-30T00:00:00"/>
    <x v="0"/>
    <n v="28"/>
    <n v="110"/>
    <n v="114"/>
    <n v="3153"/>
    <n v="101"/>
  </r>
  <r>
    <x v="2"/>
    <x v="2"/>
    <d v="2019-09-30T00:00:00"/>
    <x v="1"/>
    <n v="49"/>
    <n v="130"/>
    <n v="118"/>
    <n v="3157"/>
    <n v="178"/>
  </r>
  <r>
    <x v="2"/>
    <x v="2"/>
    <d v="2019-09-30T00:00:00"/>
    <x v="1"/>
    <n v="51"/>
    <n v="130"/>
    <n v="118"/>
    <n v="3158"/>
    <n v="183"/>
  </r>
  <r>
    <x v="2"/>
    <x v="2"/>
    <d v="2019-09-30T00:00:00"/>
    <x v="2"/>
    <n v="31"/>
    <n v="145"/>
    <n v="123"/>
    <n v="3156"/>
    <n v="108"/>
  </r>
  <r>
    <x v="2"/>
    <x v="2"/>
    <d v="2019-09-30T00:00:00"/>
    <x v="1"/>
    <n v="54"/>
    <n v="130"/>
    <n v="118"/>
    <n v="3154"/>
    <n v="197"/>
  </r>
  <r>
    <x v="2"/>
    <x v="2"/>
    <d v="2019-09-30T00:00:00"/>
    <x v="0"/>
    <n v="50"/>
    <n v="110"/>
    <n v="114"/>
    <n v="3155"/>
    <n v="172"/>
  </r>
  <r>
    <x v="2"/>
    <x v="3"/>
    <d v="2019-10-01T00:00:00"/>
    <x v="0"/>
    <n v="46"/>
    <n v="110"/>
    <n v="114"/>
    <n v="3159"/>
    <n v="169"/>
  </r>
  <r>
    <x v="2"/>
    <x v="3"/>
    <d v="2019-10-01T00:00:00"/>
    <x v="0"/>
    <n v="36"/>
    <n v="110"/>
    <n v="114"/>
    <n v="3160"/>
    <n v="128"/>
  </r>
  <r>
    <x v="2"/>
    <x v="3"/>
    <d v="2019-10-01T00:00:00"/>
    <x v="0"/>
    <n v="45"/>
    <n v="110"/>
    <n v="114"/>
    <n v="3161"/>
    <n v="164"/>
  </r>
  <r>
    <x v="2"/>
    <x v="3"/>
    <d v="2019-10-01T00:00:00"/>
    <x v="2"/>
    <n v="30"/>
    <n v="145"/>
    <n v="123"/>
    <n v="3162"/>
    <n v="106"/>
  </r>
  <r>
    <x v="2"/>
    <x v="3"/>
    <d v="2019-10-01T00:00:00"/>
    <x v="0"/>
    <n v="37"/>
    <n v="110"/>
    <n v="114"/>
    <n v="3163"/>
    <n v="131"/>
  </r>
  <r>
    <x v="2"/>
    <x v="3"/>
    <d v="2019-10-01T00:00:00"/>
    <x v="2"/>
    <n v="35"/>
    <n v="145"/>
    <n v="123"/>
    <n v="3164"/>
    <n v="127"/>
  </r>
  <r>
    <x v="2"/>
    <x v="3"/>
    <d v="2019-10-02T00:00:00"/>
    <x v="1"/>
    <n v="49"/>
    <n v="130"/>
    <n v="118"/>
    <n v="3165"/>
    <n v="176"/>
  </r>
  <r>
    <x v="2"/>
    <x v="3"/>
    <d v="2019-10-02T00:00:00"/>
    <x v="1"/>
    <n v="40"/>
    <n v="130"/>
    <n v="118"/>
    <n v="3166"/>
    <n v="148"/>
  </r>
  <r>
    <x v="2"/>
    <x v="3"/>
    <d v="2019-10-03T00:00:00"/>
    <x v="2"/>
    <n v="22"/>
    <n v="145"/>
    <n v="123"/>
    <n v="3167"/>
    <n v="80"/>
  </r>
  <r>
    <x v="2"/>
    <x v="3"/>
    <d v="2019-10-04T00:00:00"/>
    <x v="2"/>
    <n v="40"/>
    <n v="145"/>
    <n v="123"/>
    <n v="3171"/>
    <n v="141"/>
  </r>
  <r>
    <x v="2"/>
    <x v="3"/>
    <d v="2019-10-04T00:00:00"/>
    <x v="1"/>
    <n v="41"/>
    <n v="130"/>
    <n v="118"/>
    <n v="3173"/>
    <n v="146"/>
  </r>
  <r>
    <x v="2"/>
    <x v="3"/>
    <d v="2019-10-04T00:00:00"/>
    <x v="1"/>
    <n v="39"/>
    <n v="130"/>
    <n v="118"/>
    <n v="3172"/>
    <n v="183"/>
  </r>
  <r>
    <x v="2"/>
    <x v="3"/>
    <d v="2019-10-04T00:00:00"/>
    <x v="0"/>
    <n v="28"/>
    <n v="110"/>
    <n v="114"/>
    <n v="3169"/>
    <n v="98"/>
  </r>
  <r>
    <x v="2"/>
    <x v="3"/>
    <d v="2019-10-04T00:00:00"/>
    <x v="2"/>
    <n v="25"/>
    <n v="145"/>
    <n v="123"/>
    <n v="3168"/>
    <n v="115"/>
  </r>
  <r>
    <x v="2"/>
    <x v="3"/>
    <d v="2019-10-04T00:00:00"/>
    <x v="1"/>
    <n v="34"/>
    <n v="130"/>
    <n v="118"/>
    <n v="3170"/>
    <n v="118"/>
  </r>
  <r>
    <x v="2"/>
    <x v="3"/>
    <d v="2019-10-07T00:00:00"/>
    <x v="1"/>
    <n v="32"/>
    <n v="130"/>
    <n v="118"/>
    <n v="3174"/>
    <n v="116"/>
  </r>
  <r>
    <x v="2"/>
    <x v="3"/>
    <d v="2019-10-07T00:00:00"/>
    <x v="2"/>
    <n v="35"/>
    <n v="145"/>
    <n v="123"/>
    <n v="3175"/>
    <n v="128"/>
  </r>
  <r>
    <x v="2"/>
    <x v="3"/>
    <d v="2019-10-08T00:00:00"/>
    <x v="2"/>
    <n v="29"/>
    <n v="145"/>
    <n v="123"/>
    <n v="3178"/>
    <n v="100"/>
  </r>
  <r>
    <x v="2"/>
    <x v="3"/>
    <d v="2019-10-08T00:00:00"/>
    <x v="2"/>
    <n v="45"/>
    <n v="145"/>
    <n v="123"/>
    <n v="3181"/>
    <n v="162"/>
  </r>
  <r>
    <x v="2"/>
    <x v="3"/>
    <d v="2019-10-08T00:00:00"/>
    <x v="1"/>
    <n v="49"/>
    <n v="130"/>
    <n v="118"/>
    <n v="3179"/>
    <n v="179"/>
  </r>
  <r>
    <x v="2"/>
    <x v="3"/>
    <d v="2019-10-08T00:00:00"/>
    <x v="0"/>
    <n v="29"/>
    <n v="110"/>
    <n v="114"/>
    <n v="3177"/>
    <n v="103"/>
  </r>
  <r>
    <x v="2"/>
    <x v="3"/>
    <d v="2019-10-08T00:00:00"/>
    <x v="2"/>
    <n v="39"/>
    <n v="145"/>
    <n v="123"/>
    <n v="3176"/>
    <n v="144"/>
  </r>
  <r>
    <x v="2"/>
    <x v="3"/>
    <d v="2019-10-08T00:00:00"/>
    <x v="1"/>
    <n v="41"/>
    <n v="130"/>
    <n v="118"/>
    <n v="3180"/>
    <n v="143"/>
  </r>
  <r>
    <x v="2"/>
    <x v="3"/>
    <d v="2019-10-09T00:00:00"/>
    <x v="1"/>
    <n v="50"/>
    <n v="130"/>
    <n v="118"/>
    <n v="3182"/>
    <n v="172"/>
  </r>
  <r>
    <x v="2"/>
    <x v="3"/>
    <d v="2019-10-09T00:00:00"/>
    <x v="2"/>
    <n v="42"/>
    <n v="145"/>
    <n v="123"/>
    <n v="3183"/>
    <n v="148"/>
  </r>
  <r>
    <x v="2"/>
    <x v="3"/>
    <d v="2019-10-09T00:00:00"/>
    <x v="1"/>
    <n v="42"/>
    <n v="130"/>
    <n v="118"/>
    <n v="3184"/>
    <n v="155"/>
  </r>
  <r>
    <x v="2"/>
    <x v="3"/>
    <d v="2019-10-09T00:00:00"/>
    <x v="0"/>
    <n v="40"/>
    <n v="110"/>
    <n v="114"/>
    <n v="3185"/>
    <n v="147"/>
  </r>
  <r>
    <x v="2"/>
    <x v="3"/>
    <d v="2019-10-10T00:00:00"/>
    <x v="0"/>
    <n v="43"/>
    <n v="110"/>
    <n v="114"/>
    <n v="3189"/>
    <n v="148"/>
  </r>
  <r>
    <x v="2"/>
    <x v="3"/>
    <d v="2019-10-10T00:00:00"/>
    <x v="2"/>
    <n v="37"/>
    <n v="145"/>
    <n v="123"/>
    <n v="3190"/>
    <n v="133"/>
  </r>
  <r>
    <x v="2"/>
    <x v="3"/>
    <d v="2019-10-10T00:00:00"/>
    <x v="1"/>
    <n v="41"/>
    <n v="130"/>
    <n v="118"/>
    <n v="3187"/>
    <n v="146"/>
  </r>
  <r>
    <x v="2"/>
    <x v="3"/>
    <d v="2019-10-10T00:00:00"/>
    <x v="1"/>
    <n v="34"/>
    <n v="130"/>
    <n v="118"/>
    <n v="3186"/>
    <n v="117"/>
  </r>
  <r>
    <x v="2"/>
    <x v="3"/>
    <d v="2019-10-10T00:00:00"/>
    <x v="2"/>
    <n v="42"/>
    <n v="145"/>
    <n v="123"/>
    <n v="3191"/>
    <n v="146"/>
  </r>
  <r>
    <x v="2"/>
    <x v="3"/>
    <d v="2019-10-10T00:00:00"/>
    <x v="1"/>
    <n v="53"/>
    <n v="130"/>
    <n v="118"/>
    <n v="3188"/>
    <n v="187"/>
  </r>
  <r>
    <x v="2"/>
    <x v="3"/>
    <d v="2019-10-11T00:00:00"/>
    <x v="1"/>
    <n v="37"/>
    <n v="130"/>
    <n v="118"/>
    <n v="3197"/>
    <n v="130"/>
  </r>
  <r>
    <x v="2"/>
    <x v="3"/>
    <d v="2019-10-11T00:00:00"/>
    <x v="2"/>
    <n v="23"/>
    <n v="145"/>
    <n v="123"/>
    <n v="3198"/>
    <n v="82"/>
  </r>
  <r>
    <x v="2"/>
    <x v="3"/>
    <d v="2019-10-11T00:00:00"/>
    <x v="1"/>
    <n v="55"/>
    <n v="130"/>
    <n v="118"/>
    <n v="3196"/>
    <n v="192"/>
  </r>
  <r>
    <x v="2"/>
    <x v="3"/>
    <d v="2019-10-11T00:00:00"/>
    <x v="0"/>
    <n v="49"/>
    <n v="110"/>
    <n v="114"/>
    <n v="3195"/>
    <n v="180"/>
  </r>
  <r>
    <x v="2"/>
    <x v="3"/>
    <d v="2019-10-11T00:00:00"/>
    <x v="0"/>
    <n v="34"/>
    <n v="110"/>
    <n v="114"/>
    <n v="3194"/>
    <n v="120"/>
  </r>
  <r>
    <x v="2"/>
    <x v="3"/>
    <d v="2019-10-11T00:00:00"/>
    <x v="0"/>
    <n v="31"/>
    <n v="110"/>
    <n v="114"/>
    <n v="3193"/>
    <n v="106"/>
  </r>
  <r>
    <x v="2"/>
    <x v="3"/>
    <d v="2019-10-11T00:00:00"/>
    <x v="1"/>
    <n v="54"/>
    <n v="130"/>
    <n v="118"/>
    <n v="3192"/>
    <n v="199"/>
  </r>
  <r>
    <x v="2"/>
    <x v="3"/>
    <d v="2019-10-14T00:00:00"/>
    <x v="1"/>
    <n v="47"/>
    <n v="130"/>
    <n v="118"/>
    <n v="3200"/>
    <n v="164"/>
  </r>
  <r>
    <x v="2"/>
    <x v="3"/>
    <d v="2019-10-14T00:00:00"/>
    <x v="2"/>
    <n v="38"/>
    <n v="145"/>
    <n v="123"/>
    <n v="3199"/>
    <n v="137"/>
  </r>
  <r>
    <x v="2"/>
    <x v="3"/>
    <d v="2019-10-15T00:00:00"/>
    <x v="2"/>
    <n v="39"/>
    <n v="145"/>
    <n v="123"/>
    <n v="3206"/>
    <n v="139"/>
  </r>
  <r>
    <x v="2"/>
    <x v="3"/>
    <d v="2019-10-15T00:00:00"/>
    <x v="2"/>
    <n v="20"/>
    <n v="145"/>
    <n v="123"/>
    <n v="3201"/>
    <n v="72"/>
  </r>
  <r>
    <x v="2"/>
    <x v="3"/>
    <d v="2019-10-15T00:00:00"/>
    <x v="1"/>
    <n v="34"/>
    <n v="130"/>
    <n v="118"/>
    <n v="3202"/>
    <n v="123"/>
  </r>
  <r>
    <x v="2"/>
    <x v="3"/>
    <d v="2019-10-15T00:00:00"/>
    <x v="1"/>
    <n v="31"/>
    <n v="130"/>
    <n v="118"/>
    <n v="3203"/>
    <n v="110"/>
  </r>
  <r>
    <x v="2"/>
    <x v="3"/>
    <d v="2019-10-15T00:00:00"/>
    <x v="2"/>
    <n v="34"/>
    <n v="145"/>
    <n v="123"/>
    <n v="3204"/>
    <n v="118"/>
  </r>
  <r>
    <x v="2"/>
    <x v="3"/>
    <d v="2019-10-15T00:00:00"/>
    <x v="2"/>
    <n v="40"/>
    <n v="145"/>
    <n v="123"/>
    <n v="3205"/>
    <n v="143"/>
  </r>
  <r>
    <x v="2"/>
    <x v="3"/>
    <d v="2019-10-17T00:00:00"/>
    <x v="2"/>
    <n v="32"/>
    <n v="145"/>
    <n v="123"/>
    <n v="3211"/>
    <n v="117"/>
  </r>
  <r>
    <x v="2"/>
    <x v="3"/>
    <d v="2019-10-17T00:00:00"/>
    <x v="2"/>
    <n v="42"/>
    <n v="145"/>
    <n v="123"/>
    <n v="3210"/>
    <n v="144"/>
  </r>
  <r>
    <x v="2"/>
    <x v="3"/>
    <d v="2019-10-17T00:00:00"/>
    <x v="1"/>
    <n v="50"/>
    <n v="130"/>
    <n v="118"/>
    <n v="3207"/>
    <n v="184"/>
  </r>
  <r>
    <x v="2"/>
    <x v="3"/>
    <d v="2019-10-17T00:00:00"/>
    <x v="1"/>
    <n v="31"/>
    <n v="130"/>
    <n v="118"/>
    <n v="3208"/>
    <n v="108"/>
  </r>
  <r>
    <x v="2"/>
    <x v="3"/>
    <d v="2019-10-17T00:00:00"/>
    <x v="1"/>
    <n v="39"/>
    <n v="130"/>
    <n v="118"/>
    <n v="3209"/>
    <n v="137"/>
  </r>
  <r>
    <x v="2"/>
    <x v="3"/>
    <d v="2019-10-18T00:00:00"/>
    <x v="0"/>
    <n v="32"/>
    <n v="110"/>
    <n v="114"/>
    <n v="3217"/>
    <n v="150"/>
  </r>
  <r>
    <x v="2"/>
    <x v="3"/>
    <d v="2019-10-18T00:00:00"/>
    <x v="1"/>
    <n v="55"/>
    <n v="130"/>
    <n v="118"/>
    <n v="3218"/>
    <n v="189"/>
  </r>
  <r>
    <x v="2"/>
    <x v="3"/>
    <d v="2019-10-18T00:00:00"/>
    <x v="1"/>
    <n v="35"/>
    <n v="130"/>
    <n v="118"/>
    <n v="3216"/>
    <n v="128"/>
  </r>
  <r>
    <x v="2"/>
    <x v="3"/>
    <d v="2019-10-18T00:00:00"/>
    <x v="0"/>
    <n v="32"/>
    <n v="110"/>
    <n v="114"/>
    <n v="3215"/>
    <n v="117"/>
  </r>
  <r>
    <x v="2"/>
    <x v="3"/>
    <d v="2019-10-18T00:00:00"/>
    <x v="1"/>
    <n v="45"/>
    <n v="130"/>
    <n v="118"/>
    <n v="3214"/>
    <n v="156"/>
  </r>
  <r>
    <x v="2"/>
    <x v="3"/>
    <d v="2019-10-18T00:00:00"/>
    <x v="2"/>
    <n v="31"/>
    <n v="145"/>
    <n v="123"/>
    <n v="3213"/>
    <n v="110"/>
  </r>
  <r>
    <x v="2"/>
    <x v="3"/>
    <d v="2019-10-18T00:00:00"/>
    <x v="0"/>
    <n v="28"/>
    <n v="110"/>
    <n v="114"/>
    <n v="3212"/>
    <n v="100"/>
  </r>
  <r>
    <x v="2"/>
    <x v="3"/>
    <d v="2019-10-21T00:00:00"/>
    <x v="2"/>
    <n v="25"/>
    <n v="145"/>
    <n v="123"/>
    <n v="3220"/>
    <n v="115"/>
  </r>
  <r>
    <x v="2"/>
    <x v="3"/>
    <d v="2019-10-21T00:00:00"/>
    <x v="0"/>
    <n v="27"/>
    <n v="110"/>
    <n v="114"/>
    <n v="3221"/>
    <n v="96"/>
  </r>
  <r>
    <x v="2"/>
    <x v="3"/>
    <d v="2019-10-21T00:00:00"/>
    <x v="2"/>
    <n v="32"/>
    <n v="145"/>
    <n v="123"/>
    <n v="3222"/>
    <n v="114"/>
  </r>
  <r>
    <x v="2"/>
    <x v="3"/>
    <d v="2019-10-21T00:00:00"/>
    <x v="0"/>
    <n v="34"/>
    <n v="110"/>
    <n v="114"/>
    <n v="3223"/>
    <n v="124"/>
  </r>
  <r>
    <x v="2"/>
    <x v="3"/>
    <d v="2019-10-21T00:00:00"/>
    <x v="2"/>
    <n v="38"/>
    <n v="145"/>
    <n v="123"/>
    <n v="3219"/>
    <n v="178"/>
  </r>
  <r>
    <x v="2"/>
    <x v="3"/>
    <d v="2019-10-22T00:00:00"/>
    <x v="2"/>
    <n v="25"/>
    <n v="145"/>
    <n v="123"/>
    <n v="3224"/>
    <n v="117"/>
  </r>
  <r>
    <x v="2"/>
    <x v="3"/>
    <d v="2019-10-23T00:00:00"/>
    <x v="2"/>
    <n v="31"/>
    <n v="145"/>
    <n v="123"/>
    <n v="3227"/>
    <n v="111"/>
  </r>
  <r>
    <x v="2"/>
    <x v="3"/>
    <d v="2019-10-23T00:00:00"/>
    <x v="1"/>
    <n v="56"/>
    <n v="130"/>
    <n v="118"/>
    <n v="3228"/>
    <n v="196"/>
  </r>
  <r>
    <x v="2"/>
    <x v="3"/>
    <d v="2019-10-23T00:00:00"/>
    <x v="2"/>
    <n v="38"/>
    <n v="145"/>
    <n v="123"/>
    <n v="3226"/>
    <n v="178"/>
  </r>
  <r>
    <x v="2"/>
    <x v="3"/>
    <d v="2019-10-23T00:00:00"/>
    <x v="0"/>
    <n v="40"/>
    <n v="110"/>
    <n v="114"/>
    <n v="3225"/>
    <n v="143"/>
  </r>
  <r>
    <x v="2"/>
    <x v="3"/>
    <d v="2019-10-24T00:00:00"/>
    <x v="1"/>
    <n v="31"/>
    <n v="130"/>
    <n v="118"/>
    <n v="3230"/>
    <n v="112"/>
  </r>
  <r>
    <x v="2"/>
    <x v="3"/>
    <d v="2019-10-24T00:00:00"/>
    <x v="1"/>
    <n v="39"/>
    <n v="130"/>
    <n v="118"/>
    <n v="3231"/>
    <n v="145"/>
  </r>
  <r>
    <x v="2"/>
    <x v="3"/>
    <d v="2019-10-24T00:00:00"/>
    <x v="0"/>
    <n v="45"/>
    <n v="110"/>
    <n v="114"/>
    <n v="3232"/>
    <n v="160"/>
  </r>
  <r>
    <x v="2"/>
    <x v="3"/>
    <d v="2019-10-24T00:00:00"/>
    <x v="1"/>
    <n v="43"/>
    <n v="130"/>
    <n v="118"/>
    <n v="3229"/>
    <n v="148"/>
  </r>
  <r>
    <x v="2"/>
    <x v="3"/>
    <d v="2019-10-25T00:00:00"/>
    <x v="0"/>
    <n v="29"/>
    <n v="110"/>
    <n v="114"/>
    <n v="3233"/>
    <n v="102"/>
  </r>
  <r>
    <x v="2"/>
    <x v="3"/>
    <d v="2019-10-25T00:00:00"/>
    <x v="1"/>
    <n v="50"/>
    <n v="130"/>
    <n v="118"/>
    <n v="3234"/>
    <n v="173"/>
  </r>
  <r>
    <x v="2"/>
    <x v="3"/>
    <d v="2019-10-25T00:00:00"/>
    <x v="0"/>
    <n v="29"/>
    <n v="110"/>
    <n v="114"/>
    <n v="3235"/>
    <n v="105"/>
  </r>
  <r>
    <x v="2"/>
    <x v="3"/>
    <d v="2019-10-28T00:00:00"/>
    <x v="1"/>
    <n v="34"/>
    <n v="130"/>
    <n v="118"/>
    <n v="3236"/>
    <n v="120"/>
  </r>
  <r>
    <x v="2"/>
    <x v="3"/>
    <d v="2019-10-29T00:00:00"/>
    <x v="1"/>
    <n v="55"/>
    <n v="130"/>
    <n v="118"/>
    <n v="3242"/>
    <n v="193"/>
  </r>
  <r>
    <x v="2"/>
    <x v="3"/>
    <d v="2019-10-29T00:00:00"/>
    <x v="2"/>
    <n v="24"/>
    <n v="145"/>
    <n v="123"/>
    <n v="3241"/>
    <n v="86"/>
  </r>
  <r>
    <x v="2"/>
    <x v="3"/>
    <d v="2019-10-29T00:00:00"/>
    <x v="2"/>
    <n v="36"/>
    <n v="145"/>
    <n v="123"/>
    <n v="3240"/>
    <n v="168"/>
  </r>
  <r>
    <x v="2"/>
    <x v="3"/>
    <d v="2019-10-29T00:00:00"/>
    <x v="1"/>
    <n v="41"/>
    <n v="130"/>
    <n v="118"/>
    <n v="3239"/>
    <n v="146"/>
  </r>
  <r>
    <x v="2"/>
    <x v="3"/>
    <d v="2019-10-29T00:00:00"/>
    <x v="2"/>
    <n v="32"/>
    <n v="145"/>
    <n v="123"/>
    <n v="3237"/>
    <n v="148"/>
  </r>
  <r>
    <x v="2"/>
    <x v="3"/>
    <d v="2019-10-29T00:00:00"/>
    <x v="1"/>
    <n v="35"/>
    <n v="130"/>
    <n v="118"/>
    <n v="3243"/>
    <n v="120"/>
  </r>
  <r>
    <x v="2"/>
    <x v="3"/>
    <d v="2019-10-29T00:00:00"/>
    <x v="0"/>
    <n v="48"/>
    <n v="110"/>
    <n v="114"/>
    <n v="3238"/>
    <n v="176"/>
  </r>
  <r>
    <x v="2"/>
    <x v="3"/>
    <d v="2019-10-30T00:00:00"/>
    <x v="2"/>
    <n v="39"/>
    <n v="145"/>
    <n v="123"/>
    <n v="3248"/>
    <n v="181"/>
  </r>
  <r>
    <x v="2"/>
    <x v="3"/>
    <d v="2019-10-30T00:00:00"/>
    <x v="2"/>
    <n v="44"/>
    <n v="145"/>
    <n v="123"/>
    <n v="3250"/>
    <n v="155"/>
  </r>
  <r>
    <x v="2"/>
    <x v="3"/>
    <d v="2019-10-30T00:00:00"/>
    <x v="1"/>
    <n v="40"/>
    <n v="130"/>
    <n v="118"/>
    <n v="3249"/>
    <n v="139"/>
  </r>
  <r>
    <x v="2"/>
    <x v="3"/>
    <d v="2019-10-30T00:00:00"/>
    <x v="1"/>
    <n v="34"/>
    <n v="130"/>
    <n v="118"/>
    <n v="3246"/>
    <n v="124"/>
  </r>
  <r>
    <x v="2"/>
    <x v="3"/>
    <d v="2019-10-30T00:00:00"/>
    <x v="1"/>
    <n v="52"/>
    <n v="130"/>
    <n v="118"/>
    <n v="3245"/>
    <n v="179"/>
  </r>
  <r>
    <x v="2"/>
    <x v="3"/>
    <d v="2019-10-30T00:00:00"/>
    <x v="1"/>
    <n v="39"/>
    <n v="130"/>
    <n v="118"/>
    <n v="3244"/>
    <n v="134"/>
  </r>
  <r>
    <x v="2"/>
    <x v="3"/>
    <d v="2019-10-30T00:00:00"/>
    <x v="0"/>
    <n v="39"/>
    <n v="110"/>
    <n v="114"/>
    <n v="3247"/>
    <n v="138"/>
  </r>
  <r>
    <x v="2"/>
    <x v="3"/>
    <d v="2019-10-31T00:00:00"/>
    <x v="1"/>
    <n v="54"/>
    <n v="130"/>
    <n v="118"/>
    <n v="3254"/>
    <n v="184"/>
  </r>
  <r>
    <x v="2"/>
    <x v="3"/>
    <d v="2019-10-31T00:00:00"/>
    <x v="1"/>
    <n v="33"/>
    <n v="130"/>
    <n v="118"/>
    <n v="3255"/>
    <n v="119"/>
  </r>
  <r>
    <x v="2"/>
    <x v="3"/>
    <d v="2019-10-31T00:00:00"/>
    <x v="2"/>
    <n v="44"/>
    <n v="145"/>
    <n v="123"/>
    <n v="3253"/>
    <n v="152"/>
  </r>
  <r>
    <x v="2"/>
    <x v="3"/>
    <d v="2019-10-31T00:00:00"/>
    <x v="2"/>
    <n v="43"/>
    <n v="145"/>
    <n v="123"/>
    <n v="3252"/>
    <n v="199"/>
  </r>
  <r>
    <x v="2"/>
    <x v="3"/>
    <d v="2019-10-31T00:00:00"/>
    <x v="1"/>
    <n v="32"/>
    <n v="130"/>
    <n v="118"/>
    <n v="3251"/>
    <n v="117"/>
  </r>
  <r>
    <x v="2"/>
    <x v="3"/>
    <d v="2019-10-31T00:00:00"/>
    <x v="1"/>
    <n v="46"/>
    <n v="130"/>
    <n v="118"/>
    <n v="3256"/>
    <n v="165"/>
  </r>
  <r>
    <x v="2"/>
    <x v="3"/>
    <d v="2019-11-01T00:00:00"/>
    <x v="1"/>
    <n v="31"/>
    <n v="130"/>
    <n v="118"/>
    <n v="3257"/>
    <n v="143"/>
  </r>
  <r>
    <x v="2"/>
    <x v="3"/>
    <d v="2019-11-04T00:00:00"/>
    <x v="2"/>
    <n v="28"/>
    <n v="145"/>
    <n v="123"/>
    <n v="3262"/>
    <n v="98"/>
  </r>
  <r>
    <x v="2"/>
    <x v="3"/>
    <d v="2019-11-04T00:00:00"/>
    <x v="1"/>
    <n v="55"/>
    <n v="130"/>
    <n v="118"/>
    <n v="3258"/>
    <n v="193"/>
  </r>
  <r>
    <x v="2"/>
    <x v="3"/>
    <d v="2019-11-04T00:00:00"/>
    <x v="1"/>
    <n v="43"/>
    <n v="130"/>
    <n v="118"/>
    <n v="3259"/>
    <n v="148"/>
  </r>
  <r>
    <x v="2"/>
    <x v="3"/>
    <d v="2019-11-04T00:00:00"/>
    <x v="2"/>
    <n v="33"/>
    <n v="145"/>
    <n v="123"/>
    <n v="3260"/>
    <n v="121"/>
  </r>
  <r>
    <x v="2"/>
    <x v="3"/>
    <d v="2019-11-04T00:00:00"/>
    <x v="2"/>
    <n v="26"/>
    <n v="145"/>
    <n v="123"/>
    <n v="3261"/>
    <n v="91"/>
  </r>
  <r>
    <x v="2"/>
    <x v="3"/>
    <d v="2019-11-05T00:00:00"/>
    <x v="0"/>
    <n v="29"/>
    <n v="110"/>
    <n v="114"/>
    <n v="3264"/>
    <n v="105"/>
  </r>
  <r>
    <x v="2"/>
    <x v="3"/>
    <d v="2019-11-05T00:00:00"/>
    <x v="0"/>
    <n v="37"/>
    <n v="110"/>
    <n v="114"/>
    <n v="3263"/>
    <n v="132"/>
  </r>
  <r>
    <x v="2"/>
    <x v="3"/>
    <d v="2019-11-06T00:00:00"/>
    <x v="2"/>
    <n v="20"/>
    <n v="145"/>
    <n v="123"/>
    <n v="3270"/>
    <n v="71"/>
  </r>
  <r>
    <x v="2"/>
    <x v="3"/>
    <d v="2019-11-06T00:00:00"/>
    <x v="2"/>
    <n v="30"/>
    <n v="145"/>
    <n v="123"/>
    <n v="3271"/>
    <n v="104"/>
  </r>
  <r>
    <x v="2"/>
    <x v="3"/>
    <d v="2019-11-06T00:00:00"/>
    <x v="2"/>
    <n v="29"/>
    <n v="145"/>
    <n v="123"/>
    <n v="3269"/>
    <n v="100"/>
  </r>
  <r>
    <x v="2"/>
    <x v="3"/>
    <d v="2019-11-06T00:00:00"/>
    <x v="2"/>
    <n v="40"/>
    <n v="145"/>
    <n v="123"/>
    <n v="3268"/>
    <n v="185"/>
  </r>
  <r>
    <x v="2"/>
    <x v="3"/>
    <d v="2019-11-06T00:00:00"/>
    <x v="0"/>
    <n v="34"/>
    <n v="110"/>
    <n v="114"/>
    <n v="3267"/>
    <n v="120"/>
  </r>
  <r>
    <x v="2"/>
    <x v="3"/>
    <d v="2019-11-06T00:00:00"/>
    <x v="1"/>
    <n v="55"/>
    <n v="130"/>
    <n v="118"/>
    <n v="3266"/>
    <n v="193"/>
  </r>
  <r>
    <x v="2"/>
    <x v="3"/>
    <d v="2019-11-06T00:00:00"/>
    <x v="1"/>
    <n v="42"/>
    <n v="130"/>
    <n v="118"/>
    <n v="3270"/>
    <n v="153"/>
  </r>
  <r>
    <x v="2"/>
    <x v="3"/>
    <d v="2019-11-08T00:00:00"/>
    <x v="1"/>
    <n v="31"/>
    <n v="130"/>
    <n v="118"/>
    <n v="3272"/>
    <n v="111"/>
  </r>
  <r>
    <x v="2"/>
    <x v="3"/>
    <d v="2019-11-11T00:00:00"/>
    <x v="0"/>
    <n v="37"/>
    <n v="110"/>
    <n v="114"/>
    <n v="3273"/>
    <n v="132"/>
  </r>
  <r>
    <x v="2"/>
    <x v="3"/>
    <d v="2019-11-11T00:00:00"/>
    <x v="0"/>
    <n v="45"/>
    <n v="110"/>
    <n v="114"/>
    <n v="3274"/>
    <n v="156"/>
  </r>
  <r>
    <x v="2"/>
    <x v="3"/>
    <d v="2019-11-11T00:00:00"/>
    <x v="0"/>
    <n v="29"/>
    <n v="110"/>
    <n v="114"/>
    <n v="3275"/>
    <n v="101"/>
  </r>
  <r>
    <x v="2"/>
    <x v="3"/>
    <d v="2019-11-11T00:00:00"/>
    <x v="0"/>
    <n v="29"/>
    <n v="110"/>
    <n v="114"/>
    <n v="3276"/>
    <n v="100"/>
  </r>
  <r>
    <x v="2"/>
    <x v="3"/>
    <d v="2019-11-12T00:00:00"/>
    <x v="1"/>
    <n v="41"/>
    <n v="130"/>
    <n v="118"/>
    <n v="3281"/>
    <n v="146"/>
  </r>
  <r>
    <x v="2"/>
    <x v="3"/>
    <d v="2019-11-12T00:00:00"/>
    <x v="1"/>
    <n v="54"/>
    <n v="130"/>
    <n v="118"/>
    <n v="3280"/>
    <n v="190"/>
  </r>
  <r>
    <x v="2"/>
    <x v="3"/>
    <d v="2019-11-12T00:00:00"/>
    <x v="0"/>
    <n v="28"/>
    <n v="110"/>
    <n v="114"/>
    <n v="3279"/>
    <n v="102"/>
  </r>
  <r>
    <x v="2"/>
    <x v="3"/>
    <d v="2019-11-12T00:00:00"/>
    <x v="2"/>
    <n v="46"/>
    <n v="145"/>
    <n v="123"/>
    <n v="3278"/>
    <n v="160"/>
  </r>
  <r>
    <x v="2"/>
    <x v="3"/>
    <d v="2019-11-12T00:00:00"/>
    <x v="2"/>
    <n v="33"/>
    <n v="145"/>
    <n v="123"/>
    <n v="3277"/>
    <n v="122"/>
  </r>
  <r>
    <x v="2"/>
    <x v="3"/>
    <d v="2019-11-14T00:00:00"/>
    <x v="2"/>
    <n v="23"/>
    <n v="145"/>
    <n v="123"/>
    <n v="3283"/>
    <n v="84"/>
  </r>
  <r>
    <x v="2"/>
    <x v="3"/>
    <d v="2019-11-14T00:00:00"/>
    <x v="2"/>
    <n v="43"/>
    <n v="145"/>
    <n v="123"/>
    <n v="3284"/>
    <n v="148"/>
  </r>
  <r>
    <x v="2"/>
    <x v="3"/>
    <d v="2019-11-14T00:00:00"/>
    <x v="0"/>
    <n v="28"/>
    <n v="110"/>
    <n v="114"/>
    <n v="3285"/>
    <n v="101"/>
  </r>
  <r>
    <x v="2"/>
    <x v="3"/>
    <d v="2019-11-14T00:00:00"/>
    <x v="1"/>
    <n v="37"/>
    <n v="130"/>
    <n v="118"/>
    <n v="3282"/>
    <n v="130"/>
  </r>
  <r>
    <x v="2"/>
    <x v="3"/>
    <d v="2019-11-15T00:00:00"/>
    <x v="1"/>
    <n v="39"/>
    <n v="130"/>
    <n v="118"/>
    <n v="3288"/>
    <n v="136"/>
  </r>
  <r>
    <x v="2"/>
    <x v="3"/>
    <d v="2019-11-15T00:00:00"/>
    <x v="1"/>
    <n v="42"/>
    <n v="130"/>
    <n v="118"/>
    <n v="3292"/>
    <n v="146"/>
  </r>
  <r>
    <x v="2"/>
    <x v="3"/>
    <d v="2019-11-15T00:00:00"/>
    <x v="1"/>
    <n v="42"/>
    <n v="130"/>
    <n v="118"/>
    <n v="3291"/>
    <n v="152"/>
  </r>
  <r>
    <x v="2"/>
    <x v="3"/>
    <d v="2019-11-15T00:00:00"/>
    <x v="1"/>
    <n v="35"/>
    <n v="130"/>
    <n v="118"/>
    <n v="3289"/>
    <n v="132"/>
  </r>
  <r>
    <x v="2"/>
    <x v="3"/>
    <d v="2019-11-15T00:00:00"/>
    <x v="1"/>
    <n v="41"/>
    <n v="130"/>
    <n v="118"/>
    <n v="3287"/>
    <n v="146"/>
  </r>
  <r>
    <x v="2"/>
    <x v="3"/>
    <d v="2019-11-15T00:00:00"/>
    <x v="1"/>
    <n v="48"/>
    <n v="130"/>
    <n v="118"/>
    <n v="3286"/>
    <n v="166"/>
  </r>
  <r>
    <x v="2"/>
    <x v="3"/>
    <d v="2019-11-15T00:00:00"/>
    <x v="2"/>
    <n v="28"/>
    <n v="145"/>
    <n v="123"/>
    <n v="3290"/>
    <n v="102"/>
  </r>
  <r>
    <x v="2"/>
    <x v="3"/>
    <d v="2019-11-18T00:00:00"/>
    <x v="1"/>
    <n v="31"/>
    <n v="130"/>
    <n v="118"/>
    <n v="3293"/>
    <n v="108"/>
  </r>
  <r>
    <x v="2"/>
    <x v="3"/>
    <d v="2019-11-18T00:00:00"/>
    <x v="2"/>
    <n v="44"/>
    <n v="145"/>
    <n v="123"/>
    <n v="3294"/>
    <n v="158"/>
  </r>
  <r>
    <x v="2"/>
    <x v="3"/>
    <d v="2019-11-18T00:00:00"/>
    <x v="2"/>
    <n v="28"/>
    <n v="145"/>
    <n v="123"/>
    <n v="3295"/>
    <n v="100"/>
  </r>
  <r>
    <x v="2"/>
    <x v="3"/>
    <d v="2019-11-18T00:00:00"/>
    <x v="2"/>
    <n v="34"/>
    <n v="145"/>
    <n v="123"/>
    <n v="3296"/>
    <n v="120"/>
  </r>
  <r>
    <x v="2"/>
    <x v="3"/>
    <d v="2019-11-19T00:00:00"/>
    <x v="1"/>
    <n v="34"/>
    <n v="130"/>
    <n v="118"/>
    <n v="3297"/>
    <n v="159"/>
  </r>
  <r>
    <x v="2"/>
    <x v="3"/>
    <d v="2019-11-19T00:00:00"/>
    <x v="0"/>
    <n v="36"/>
    <n v="110"/>
    <n v="114"/>
    <n v="3302"/>
    <n v="169"/>
  </r>
  <r>
    <x v="2"/>
    <x v="3"/>
    <d v="2019-11-19T00:00:00"/>
    <x v="0"/>
    <n v="37"/>
    <n v="110"/>
    <n v="114"/>
    <n v="3301"/>
    <n v="128"/>
  </r>
  <r>
    <x v="2"/>
    <x v="3"/>
    <d v="2019-11-19T00:00:00"/>
    <x v="0"/>
    <n v="43"/>
    <n v="110"/>
    <n v="114"/>
    <n v="3298"/>
    <n v="157"/>
  </r>
  <r>
    <x v="2"/>
    <x v="3"/>
    <d v="2019-11-19T00:00:00"/>
    <x v="1"/>
    <n v="51"/>
    <n v="130"/>
    <n v="118"/>
    <n v="3299"/>
    <n v="196"/>
  </r>
  <r>
    <x v="2"/>
    <x v="3"/>
    <d v="2019-11-19T00:00:00"/>
    <x v="0"/>
    <n v="36"/>
    <n v="110"/>
    <n v="114"/>
    <n v="3300"/>
    <n v="133"/>
  </r>
  <r>
    <x v="2"/>
    <x v="3"/>
    <d v="2019-11-20T00:00:00"/>
    <x v="0"/>
    <n v="38"/>
    <n v="110"/>
    <n v="114"/>
    <n v="3308"/>
    <n v="137"/>
  </r>
  <r>
    <x v="2"/>
    <x v="3"/>
    <d v="2019-11-20T00:00:00"/>
    <x v="1"/>
    <n v="50"/>
    <n v="130"/>
    <n v="118"/>
    <n v="3309"/>
    <n v="175"/>
  </r>
  <r>
    <x v="2"/>
    <x v="3"/>
    <d v="2019-11-20T00:00:00"/>
    <x v="1"/>
    <n v="31"/>
    <n v="130"/>
    <n v="118"/>
    <n v="3307"/>
    <n v="146"/>
  </r>
  <r>
    <x v="2"/>
    <x v="3"/>
    <d v="2019-11-20T00:00:00"/>
    <x v="0"/>
    <n v="29"/>
    <n v="110"/>
    <n v="114"/>
    <n v="3306"/>
    <n v="103"/>
  </r>
  <r>
    <x v="2"/>
    <x v="3"/>
    <d v="2019-11-20T00:00:00"/>
    <x v="0"/>
    <n v="39"/>
    <n v="110"/>
    <n v="114"/>
    <n v="3305"/>
    <n v="138"/>
  </r>
  <r>
    <x v="2"/>
    <x v="3"/>
    <d v="2019-11-20T00:00:00"/>
    <x v="2"/>
    <n v="32"/>
    <n v="145"/>
    <n v="123"/>
    <n v="3304"/>
    <n v="114"/>
  </r>
  <r>
    <x v="2"/>
    <x v="3"/>
    <d v="2019-11-20T00:00:00"/>
    <x v="1"/>
    <n v="55"/>
    <n v="130"/>
    <n v="118"/>
    <n v="3303"/>
    <n v="188"/>
  </r>
  <r>
    <x v="2"/>
    <x v="3"/>
    <d v="2019-11-21T00:00:00"/>
    <x v="1"/>
    <n v="56"/>
    <n v="130"/>
    <n v="118"/>
    <n v="3311"/>
    <n v="202"/>
  </r>
  <r>
    <x v="2"/>
    <x v="3"/>
    <d v="2019-11-21T00:00:00"/>
    <x v="0"/>
    <n v="40"/>
    <n v="110"/>
    <n v="114"/>
    <n v="3312"/>
    <n v="147"/>
  </r>
  <r>
    <x v="2"/>
    <x v="3"/>
    <d v="2019-11-21T00:00:00"/>
    <x v="2"/>
    <n v="37"/>
    <n v="145"/>
    <n v="123"/>
    <n v="3313"/>
    <n v="130"/>
  </r>
  <r>
    <x v="2"/>
    <x v="3"/>
    <d v="2019-11-21T00:00:00"/>
    <x v="1"/>
    <n v="50"/>
    <n v="130"/>
    <n v="118"/>
    <n v="3310"/>
    <n v="177"/>
  </r>
  <r>
    <x v="2"/>
    <x v="3"/>
    <d v="2019-11-22T00:00:00"/>
    <x v="2"/>
    <n v="23"/>
    <n v="145"/>
    <n v="123"/>
    <n v="3315"/>
    <n v="82"/>
  </r>
  <r>
    <x v="2"/>
    <x v="3"/>
    <d v="2019-11-22T00:00:00"/>
    <x v="2"/>
    <n v="41"/>
    <n v="145"/>
    <n v="123"/>
    <n v="3314"/>
    <n v="147"/>
  </r>
  <r>
    <x v="2"/>
    <x v="3"/>
    <d v="2019-11-25T00:00:00"/>
    <x v="0"/>
    <n v="36"/>
    <n v="110"/>
    <n v="114"/>
    <n v="3320"/>
    <n v="127"/>
  </r>
  <r>
    <x v="2"/>
    <x v="3"/>
    <d v="2019-11-25T00:00:00"/>
    <x v="0"/>
    <n v="46"/>
    <n v="110"/>
    <n v="114"/>
    <n v="3319"/>
    <n v="166"/>
  </r>
  <r>
    <x v="2"/>
    <x v="3"/>
    <d v="2019-11-25T00:00:00"/>
    <x v="2"/>
    <n v="26"/>
    <n v="145"/>
    <n v="123"/>
    <n v="3316"/>
    <n v="91"/>
  </r>
  <r>
    <x v="2"/>
    <x v="3"/>
    <d v="2019-11-25T00:00:00"/>
    <x v="1"/>
    <n v="44"/>
    <n v="130"/>
    <n v="118"/>
    <n v="3317"/>
    <n v="159"/>
  </r>
  <r>
    <x v="2"/>
    <x v="3"/>
    <d v="2019-11-25T00:00:00"/>
    <x v="2"/>
    <n v="27"/>
    <n v="145"/>
    <n v="123"/>
    <n v="3318"/>
    <n v="101"/>
  </r>
  <r>
    <x v="2"/>
    <x v="3"/>
    <d v="2019-11-27T00:00:00"/>
    <x v="2"/>
    <n v="34"/>
    <n v="145"/>
    <n v="123"/>
    <n v="3325"/>
    <n v="118"/>
  </r>
  <r>
    <x v="2"/>
    <x v="3"/>
    <d v="2019-11-27T00:00:00"/>
    <x v="2"/>
    <n v="39"/>
    <n v="145"/>
    <n v="123"/>
    <n v="3326"/>
    <n v="134"/>
  </r>
  <r>
    <x v="2"/>
    <x v="3"/>
    <d v="2019-11-27T00:00:00"/>
    <x v="0"/>
    <n v="44"/>
    <n v="110"/>
    <n v="114"/>
    <n v="3324"/>
    <n v="155"/>
  </r>
  <r>
    <x v="2"/>
    <x v="3"/>
    <d v="2019-11-27T00:00:00"/>
    <x v="1"/>
    <n v="55"/>
    <n v="130"/>
    <n v="118"/>
    <n v="3323"/>
    <n v="191"/>
  </r>
  <r>
    <x v="2"/>
    <x v="3"/>
    <d v="2019-11-27T00:00:00"/>
    <x v="1"/>
    <n v="43"/>
    <n v="130"/>
    <n v="118"/>
    <n v="3322"/>
    <n v="153"/>
  </r>
  <r>
    <x v="2"/>
    <x v="3"/>
    <d v="2019-11-27T00:00:00"/>
    <x v="1"/>
    <n v="30"/>
    <n v="130"/>
    <n v="118"/>
    <n v="3321"/>
    <n v="103"/>
  </r>
  <r>
    <x v="2"/>
    <x v="3"/>
    <d v="2019-11-27T00:00:00"/>
    <x v="1"/>
    <n v="31"/>
    <n v="130"/>
    <n v="118"/>
    <n v="3327"/>
    <n v="106"/>
  </r>
  <r>
    <x v="2"/>
    <x v="3"/>
    <d v="2019-11-28T00:00:00"/>
    <x v="1"/>
    <n v="46"/>
    <n v="130"/>
    <n v="118"/>
    <n v="3328"/>
    <n v="163"/>
  </r>
  <r>
    <x v="2"/>
    <x v="3"/>
    <d v="2019-11-28T00:00:00"/>
    <x v="0"/>
    <n v="32"/>
    <n v="110"/>
    <n v="114"/>
    <n v="3329"/>
    <n v="117"/>
  </r>
  <r>
    <x v="2"/>
    <x v="3"/>
    <d v="2019-11-29T00:00:00"/>
    <x v="1"/>
    <n v="54"/>
    <n v="130"/>
    <n v="118"/>
    <n v="3330"/>
    <n v="203"/>
  </r>
  <r>
    <x v="2"/>
    <x v="3"/>
    <d v="2019-11-29T00:00:00"/>
    <x v="0"/>
    <n v="31"/>
    <n v="110"/>
    <n v="114"/>
    <n v="3331"/>
    <n v="112"/>
  </r>
  <r>
    <x v="2"/>
    <x v="3"/>
    <d v="2019-11-29T00:00:00"/>
    <x v="2"/>
    <n v="28"/>
    <n v="145"/>
    <n v="123"/>
    <n v="3332"/>
    <n v="98"/>
  </r>
  <r>
    <x v="2"/>
    <x v="3"/>
    <d v="2019-11-29T00:00:00"/>
    <x v="1"/>
    <n v="32"/>
    <n v="130"/>
    <n v="118"/>
    <n v="3333"/>
    <n v="115"/>
  </r>
  <r>
    <x v="2"/>
    <x v="3"/>
    <d v="2019-12-02T00:00:00"/>
    <x v="2"/>
    <n v="37"/>
    <n v="145"/>
    <n v="123"/>
    <n v="3334"/>
    <n v="133"/>
  </r>
  <r>
    <x v="2"/>
    <x v="3"/>
    <d v="2019-12-02T00:00:00"/>
    <x v="0"/>
    <n v="25"/>
    <n v="110"/>
    <n v="114"/>
    <n v="3335"/>
    <n v="87"/>
  </r>
  <r>
    <x v="2"/>
    <x v="3"/>
    <d v="2019-12-02T00:00:00"/>
    <x v="1"/>
    <n v="41"/>
    <n v="130"/>
    <n v="118"/>
    <n v="3336"/>
    <n v="146"/>
  </r>
  <r>
    <x v="2"/>
    <x v="3"/>
    <d v="2019-12-04T00:00:00"/>
    <x v="0"/>
    <n v="50"/>
    <n v="110"/>
    <n v="114"/>
    <n v="3343"/>
    <n v="235"/>
  </r>
  <r>
    <x v="2"/>
    <x v="3"/>
    <d v="2019-12-04T00:00:00"/>
    <x v="2"/>
    <n v="46"/>
    <n v="145"/>
    <n v="123"/>
    <n v="3337"/>
    <n v="156"/>
  </r>
  <r>
    <x v="2"/>
    <x v="3"/>
    <d v="2019-12-04T00:00:00"/>
    <x v="0"/>
    <n v="36"/>
    <n v="110"/>
    <n v="114"/>
    <n v="3338"/>
    <n v="126"/>
  </r>
  <r>
    <x v="2"/>
    <x v="3"/>
    <d v="2019-12-04T00:00:00"/>
    <x v="2"/>
    <n v="23"/>
    <n v="145"/>
    <n v="123"/>
    <n v="3339"/>
    <n v="79"/>
  </r>
  <r>
    <x v="2"/>
    <x v="3"/>
    <d v="2019-12-04T00:00:00"/>
    <x v="1"/>
    <n v="48"/>
    <n v="130"/>
    <n v="118"/>
    <n v="3340"/>
    <n v="177"/>
  </r>
  <r>
    <x v="2"/>
    <x v="3"/>
    <d v="2019-12-04T00:00:00"/>
    <x v="2"/>
    <n v="33"/>
    <n v="145"/>
    <n v="123"/>
    <n v="3341"/>
    <n v="116"/>
  </r>
  <r>
    <x v="2"/>
    <x v="3"/>
    <d v="2019-12-04T00:00:00"/>
    <x v="1"/>
    <n v="55"/>
    <n v="130"/>
    <n v="118"/>
    <n v="3342"/>
    <n v="202"/>
  </r>
  <r>
    <x v="2"/>
    <x v="3"/>
    <d v="2019-12-05T00:00:00"/>
    <x v="2"/>
    <n v="36"/>
    <n v="145"/>
    <n v="123"/>
    <n v="3348"/>
    <n v="131"/>
  </r>
  <r>
    <x v="2"/>
    <x v="3"/>
    <d v="2019-12-05T00:00:00"/>
    <x v="2"/>
    <n v="31"/>
    <n v="145"/>
    <n v="123"/>
    <n v="3347"/>
    <n v="144"/>
  </r>
  <r>
    <x v="2"/>
    <x v="3"/>
    <d v="2019-12-05T00:00:00"/>
    <x v="0"/>
    <n v="34"/>
    <n v="110"/>
    <n v="114"/>
    <n v="3346"/>
    <n v="118"/>
  </r>
  <r>
    <x v="2"/>
    <x v="3"/>
    <d v="2019-12-05T00:00:00"/>
    <x v="0"/>
    <n v="36"/>
    <n v="110"/>
    <n v="114"/>
    <n v="3344"/>
    <n v="125"/>
  </r>
  <r>
    <x v="2"/>
    <x v="3"/>
    <d v="2019-12-05T00:00:00"/>
    <x v="0"/>
    <n v="40"/>
    <n v="110"/>
    <n v="114"/>
    <n v="3345"/>
    <n v="184"/>
  </r>
  <r>
    <x v="2"/>
    <x v="3"/>
    <d v="2019-12-06T00:00:00"/>
    <x v="0"/>
    <n v="48"/>
    <n v="110"/>
    <n v="114"/>
    <n v="3349"/>
    <n v="176"/>
  </r>
  <r>
    <x v="2"/>
    <x v="3"/>
    <d v="2019-12-09T00:00:00"/>
    <x v="1"/>
    <n v="47"/>
    <n v="130"/>
    <n v="118"/>
    <n v="3353"/>
    <n v="163"/>
  </r>
  <r>
    <x v="2"/>
    <x v="3"/>
    <d v="2019-12-09T00:00:00"/>
    <x v="2"/>
    <n v="44"/>
    <n v="145"/>
    <n v="123"/>
    <n v="3356"/>
    <n v="161"/>
  </r>
  <r>
    <x v="2"/>
    <x v="3"/>
    <d v="2019-12-09T00:00:00"/>
    <x v="0"/>
    <n v="47"/>
    <n v="110"/>
    <n v="114"/>
    <n v="3354"/>
    <n v="169"/>
  </r>
  <r>
    <x v="2"/>
    <x v="3"/>
    <d v="2019-12-09T00:00:00"/>
    <x v="2"/>
    <n v="34"/>
    <n v="145"/>
    <n v="123"/>
    <n v="3351"/>
    <n v="125"/>
  </r>
  <r>
    <x v="2"/>
    <x v="3"/>
    <d v="2019-12-09T00:00:00"/>
    <x v="2"/>
    <n v="24"/>
    <n v="145"/>
    <n v="123"/>
    <n v="3350"/>
    <n v="111"/>
  </r>
  <r>
    <x v="2"/>
    <x v="3"/>
    <d v="2019-12-09T00:00:00"/>
    <x v="1"/>
    <n v="53"/>
    <n v="130"/>
    <n v="118"/>
    <n v="3355"/>
    <n v="193"/>
  </r>
  <r>
    <x v="2"/>
    <x v="3"/>
    <d v="2019-12-09T00:00:00"/>
    <x v="0"/>
    <n v="29"/>
    <n v="110"/>
    <n v="114"/>
    <n v="3352"/>
    <n v="105"/>
  </r>
  <r>
    <x v="2"/>
    <x v="3"/>
    <d v="2019-12-10T00:00:00"/>
    <x v="2"/>
    <n v="37"/>
    <n v="145"/>
    <n v="123"/>
    <n v="3357"/>
    <n v="130"/>
  </r>
  <r>
    <x v="2"/>
    <x v="3"/>
    <d v="2019-12-11T00:00:00"/>
    <x v="2"/>
    <n v="33"/>
    <n v="145"/>
    <n v="123"/>
    <n v="3363"/>
    <n v="121"/>
  </r>
  <r>
    <x v="2"/>
    <x v="3"/>
    <d v="2019-12-11T00:00:00"/>
    <x v="1"/>
    <n v="32"/>
    <n v="130"/>
    <n v="118"/>
    <n v="3358"/>
    <n v="117"/>
  </r>
  <r>
    <x v="2"/>
    <x v="3"/>
    <d v="2019-12-11T00:00:00"/>
    <x v="0"/>
    <n v="44"/>
    <n v="110"/>
    <n v="114"/>
    <n v="3359"/>
    <n v="162"/>
  </r>
  <r>
    <x v="2"/>
    <x v="3"/>
    <d v="2019-12-11T00:00:00"/>
    <x v="1"/>
    <n v="39"/>
    <n v="130"/>
    <n v="118"/>
    <n v="3360"/>
    <n v="142"/>
  </r>
  <r>
    <x v="2"/>
    <x v="3"/>
    <d v="2019-12-11T00:00:00"/>
    <x v="1"/>
    <n v="34"/>
    <n v="130"/>
    <n v="118"/>
    <n v="3361"/>
    <n v="158"/>
  </r>
  <r>
    <x v="2"/>
    <x v="3"/>
    <d v="2019-12-11T00:00:00"/>
    <x v="0"/>
    <n v="50"/>
    <n v="110"/>
    <n v="114"/>
    <n v="3362"/>
    <n v="184"/>
  </r>
  <r>
    <x v="2"/>
    <x v="3"/>
    <d v="2019-12-12T00:00:00"/>
    <x v="2"/>
    <n v="32"/>
    <n v="145"/>
    <n v="123"/>
    <n v="3368"/>
    <n v="116"/>
  </r>
  <r>
    <x v="2"/>
    <x v="3"/>
    <d v="2019-12-12T00:00:00"/>
    <x v="1"/>
    <n v="44"/>
    <n v="130"/>
    <n v="118"/>
    <n v="3367"/>
    <n v="168"/>
  </r>
  <r>
    <x v="2"/>
    <x v="3"/>
    <d v="2019-12-12T00:00:00"/>
    <x v="0"/>
    <n v="30"/>
    <n v="110"/>
    <n v="114"/>
    <n v="3366"/>
    <n v="105"/>
  </r>
  <r>
    <x v="2"/>
    <x v="3"/>
    <d v="2019-12-12T00:00:00"/>
    <x v="1"/>
    <n v="45"/>
    <n v="130"/>
    <n v="118"/>
    <n v="3364"/>
    <n v="211"/>
  </r>
  <r>
    <x v="2"/>
    <x v="3"/>
    <d v="2019-12-12T00:00:00"/>
    <x v="1"/>
    <n v="50"/>
    <n v="130"/>
    <n v="118"/>
    <n v="3365"/>
    <n v="174"/>
  </r>
  <r>
    <x v="2"/>
    <x v="3"/>
    <d v="2019-12-13T00:00:00"/>
    <x v="0"/>
    <n v="40"/>
    <n v="110"/>
    <n v="114"/>
    <n v="3369"/>
    <n v="144"/>
  </r>
  <r>
    <x v="2"/>
    <x v="3"/>
    <d v="2019-12-13T00:00:00"/>
    <x v="1"/>
    <n v="42"/>
    <n v="130"/>
    <n v="118"/>
    <n v="3370"/>
    <n v="146"/>
  </r>
  <r>
    <x v="2"/>
    <x v="3"/>
    <d v="2019-12-17T00:00:00"/>
    <x v="0"/>
    <n v="40"/>
    <n v="110"/>
    <n v="114"/>
    <n v="3375"/>
    <n v="143"/>
  </r>
  <r>
    <x v="2"/>
    <x v="3"/>
    <d v="2019-12-17T00:00:00"/>
    <x v="0"/>
    <n v="37"/>
    <n v="110"/>
    <n v="114"/>
    <n v="3371"/>
    <n v="128"/>
  </r>
  <r>
    <x v="2"/>
    <x v="3"/>
    <d v="2019-12-17T00:00:00"/>
    <x v="2"/>
    <n v="40"/>
    <n v="145"/>
    <n v="123"/>
    <n v="3377"/>
    <n v="143"/>
  </r>
  <r>
    <x v="2"/>
    <x v="3"/>
    <d v="2019-12-17T00:00:00"/>
    <x v="2"/>
    <n v="32"/>
    <n v="145"/>
    <n v="123"/>
    <n v="3376"/>
    <n v="148"/>
  </r>
  <r>
    <x v="2"/>
    <x v="3"/>
    <d v="2019-12-17T00:00:00"/>
    <x v="1"/>
    <n v="37"/>
    <n v="130"/>
    <n v="118"/>
    <n v="3373"/>
    <n v="131"/>
  </r>
  <r>
    <x v="2"/>
    <x v="3"/>
    <d v="2019-12-17T00:00:00"/>
    <x v="0"/>
    <n v="45"/>
    <n v="110"/>
    <n v="114"/>
    <n v="3372"/>
    <n v="154"/>
  </r>
  <r>
    <x v="2"/>
    <x v="3"/>
    <d v="2019-12-17T00:00:00"/>
    <x v="0"/>
    <n v="26"/>
    <n v="110"/>
    <n v="114"/>
    <n v="3374"/>
    <n v="91"/>
  </r>
  <r>
    <x v="2"/>
    <x v="3"/>
    <d v="2019-12-18T00:00:00"/>
    <x v="0"/>
    <n v="45"/>
    <n v="110"/>
    <n v="114"/>
    <n v="3382"/>
    <n v="163"/>
  </r>
  <r>
    <x v="2"/>
    <x v="3"/>
    <d v="2019-12-18T00:00:00"/>
    <x v="2"/>
    <n v="27"/>
    <n v="145"/>
    <n v="123"/>
    <n v="3383"/>
    <n v="97"/>
  </r>
  <r>
    <x v="2"/>
    <x v="3"/>
    <d v="2019-12-18T00:00:00"/>
    <x v="2"/>
    <n v="24"/>
    <n v="145"/>
    <n v="123"/>
    <n v="3381"/>
    <n v="83"/>
  </r>
  <r>
    <x v="2"/>
    <x v="3"/>
    <d v="2019-12-18T00:00:00"/>
    <x v="0"/>
    <n v="31"/>
    <n v="110"/>
    <n v="114"/>
    <n v="3380"/>
    <n v="114"/>
  </r>
  <r>
    <x v="2"/>
    <x v="3"/>
    <d v="2019-12-18T00:00:00"/>
    <x v="2"/>
    <n v="22"/>
    <n v="145"/>
    <n v="123"/>
    <n v="3379"/>
    <n v="78"/>
  </r>
  <r>
    <x v="2"/>
    <x v="3"/>
    <d v="2019-12-18T00:00:00"/>
    <x v="1"/>
    <n v="54"/>
    <n v="130"/>
    <n v="118"/>
    <n v="3378"/>
    <n v="184"/>
  </r>
  <r>
    <x v="2"/>
    <x v="3"/>
    <d v="2019-12-19T00:00:00"/>
    <x v="2"/>
    <n v="38"/>
    <n v="145"/>
    <n v="123"/>
    <n v="3385"/>
    <n v="132"/>
  </r>
  <r>
    <x v="2"/>
    <x v="3"/>
    <d v="2019-12-19T00:00:00"/>
    <x v="0"/>
    <n v="40"/>
    <n v="110"/>
    <n v="114"/>
    <n v="3386"/>
    <n v="188"/>
  </r>
  <r>
    <x v="2"/>
    <x v="3"/>
    <d v="2019-12-19T00:00:00"/>
    <x v="1"/>
    <n v="56"/>
    <n v="130"/>
    <n v="118"/>
    <n v="3387"/>
    <n v="204"/>
  </r>
  <r>
    <x v="2"/>
    <x v="3"/>
    <d v="2019-12-19T00:00:00"/>
    <x v="0"/>
    <n v="25"/>
    <n v="110"/>
    <n v="114"/>
    <n v="3384"/>
    <n v="86"/>
  </r>
  <r>
    <x v="2"/>
    <x v="3"/>
    <d v="2019-12-20T00:00:00"/>
    <x v="2"/>
    <n v="43"/>
    <n v="145"/>
    <n v="123"/>
    <n v="3392"/>
    <n v="156"/>
  </r>
  <r>
    <x v="2"/>
    <x v="3"/>
    <d v="2019-12-20T00:00:00"/>
    <x v="1"/>
    <n v="36"/>
    <n v="130"/>
    <n v="118"/>
    <n v="3394"/>
    <n v="131"/>
  </r>
  <r>
    <x v="2"/>
    <x v="3"/>
    <d v="2019-12-20T00:00:00"/>
    <x v="1"/>
    <n v="44"/>
    <n v="130"/>
    <n v="118"/>
    <n v="3393"/>
    <n v="157"/>
  </r>
  <r>
    <x v="2"/>
    <x v="3"/>
    <d v="2019-12-20T00:00:00"/>
    <x v="2"/>
    <n v="24"/>
    <n v="145"/>
    <n v="123"/>
    <n v="3388"/>
    <n v="84"/>
  </r>
  <r>
    <x v="2"/>
    <x v="3"/>
    <d v="2019-12-20T00:00:00"/>
    <x v="2"/>
    <n v="46"/>
    <n v="145"/>
    <n v="123"/>
    <n v="3389"/>
    <n v="212"/>
  </r>
  <r>
    <x v="2"/>
    <x v="3"/>
    <d v="2019-12-20T00:00:00"/>
    <x v="1"/>
    <n v="38"/>
    <n v="130"/>
    <n v="118"/>
    <n v="3391"/>
    <n v="138"/>
  </r>
  <r>
    <x v="2"/>
    <x v="3"/>
    <d v="2019-12-20T00:00:00"/>
    <x v="2"/>
    <n v="23"/>
    <n v="145"/>
    <n v="123"/>
    <n v="3390"/>
    <n v="108"/>
  </r>
  <r>
    <x v="2"/>
    <x v="3"/>
    <d v="2019-12-23T00:00:00"/>
    <x v="1"/>
    <n v="46"/>
    <n v="130"/>
    <n v="118"/>
    <n v="3395"/>
    <n v="169"/>
  </r>
  <r>
    <x v="2"/>
    <x v="3"/>
    <d v="2019-12-23T00:00:00"/>
    <x v="1"/>
    <n v="51"/>
    <n v="130"/>
    <n v="118"/>
    <n v="3396"/>
    <n v="175"/>
  </r>
  <r>
    <x v="2"/>
    <x v="3"/>
    <d v="2019-12-23T00:00:00"/>
    <x v="1"/>
    <n v="52"/>
    <n v="130"/>
    <n v="118"/>
    <n v="3397"/>
    <n v="183"/>
  </r>
  <r>
    <x v="2"/>
    <x v="3"/>
    <d v="2019-12-23T00:00:00"/>
    <x v="1"/>
    <n v="41"/>
    <n v="130"/>
    <n v="118"/>
    <n v="3398"/>
    <n v="144"/>
  </r>
  <r>
    <x v="2"/>
    <x v="3"/>
    <d v="2019-12-24T00:00:00"/>
    <x v="2"/>
    <n v="26"/>
    <n v="145"/>
    <n v="123"/>
    <n v="3399"/>
    <n v="90"/>
  </r>
  <r>
    <x v="2"/>
    <x v="3"/>
    <d v="2019-12-24T00:00:00"/>
    <x v="0"/>
    <n v="34"/>
    <n v="110"/>
    <n v="114"/>
    <n v="3400"/>
    <n v="124"/>
  </r>
  <r>
    <x v="2"/>
    <x v="3"/>
    <d v="2019-12-25T00:00:00"/>
    <x v="2"/>
    <n v="35"/>
    <n v="145"/>
    <n v="123"/>
    <n v="3407"/>
    <n v="127"/>
  </r>
  <r>
    <x v="2"/>
    <x v="3"/>
    <d v="2019-12-25T00:00:00"/>
    <x v="2"/>
    <n v="35"/>
    <n v="145"/>
    <n v="123"/>
    <n v="3402"/>
    <n v="121"/>
  </r>
  <r>
    <x v="2"/>
    <x v="3"/>
    <d v="2019-12-25T00:00:00"/>
    <x v="1"/>
    <n v="54"/>
    <n v="130"/>
    <n v="118"/>
    <n v="3403"/>
    <n v="190"/>
  </r>
  <r>
    <x v="2"/>
    <x v="3"/>
    <d v="2019-12-25T00:00:00"/>
    <x v="2"/>
    <n v="27"/>
    <n v="145"/>
    <n v="123"/>
    <n v="3404"/>
    <n v="99"/>
  </r>
  <r>
    <x v="2"/>
    <x v="3"/>
    <d v="2019-12-25T00:00:00"/>
    <x v="2"/>
    <n v="21"/>
    <n v="145"/>
    <n v="123"/>
    <n v="3405"/>
    <n v="77"/>
  </r>
  <r>
    <x v="2"/>
    <x v="3"/>
    <d v="2019-12-25T00:00:00"/>
    <x v="1"/>
    <n v="42"/>
    <n v="130"/>
    <n v="118"/>
    <n v="3406"/>
    <n v="149"/>
  </r>
  <r>
    <x v="2"/>
    <x v="3"/>
    <d v="2019-12-25T00:00:00"/>
    <x v="2"/>
    <n v="24"/>
    <n v="145"/>
    <n v="123"/>
    <n v="3401"/>
    <n v="86"/>
  </r>
  <r>
    <x v="2"/>
    <x v="3"/>
    <d v="2019-12-26T00:00:00"/>
    <x v="1"/>
    <n v="37"/>
    <n v="130"/>
    <n v="118"/>
    <n v="3410"/>
    <n v="135"/>
  </r>
  <r>
    <x v="2"/>
    <x v="3"/>
    <d v="2019-12-26T00:00:00"/>
    <x v="2"/>
    <n v="42"/>
    <n v="145"/>
    <n v="123"/>
    <n v="3409"/>
    <n v="147"/>
  </r>
  <r>
    <x v="2"/>
    <x v="3"/>
    <d v="2019-12-26T00:00:00"/>
    <x v="2"/>
    <n v="39"/>
    <n v="145"/>
    <n v="123"/>
    <n v="3408"/>
    <n v="135"/>
  </r>
  <r>
    <x v="2"/>
    <x v="3"/>
    <d v="2019-12-27T00:00:00"/>
    <x v="0"/>
    <n v="29"/>
    <n v="110"/>
    <n v="114"/>
    <n v="3411"/>
    <n v="101"/>
  </r>
  <r>
    <x v="2"/>
    <x v="3"/>
    <d v="2019-12-27T00:00:00"/>
    <x v="0"/>
    <n v="25"/>
    <n v="110"/>
    <n v="114"/>
    <n v="3412"/>
    <n v="87"/>
  </r>
  <r>
    <x v="2"/>
    <x v="3"/>
    <d v="2019-12-27T00:00:00"/>
    <x v="1"/>
    <n v="41"/>
    <n v="130"/>
    <n v="118"/>
    <n v="3413"/>
    <n v="148"/>
  </r>
  <r>
    <x v="2"/>
    <x v="3"/>
    <d v="2019-12-30T00:00:00"/>
    <x v="1"/>
    <n v="49"/>
    <n v="130"/>
    <n v="118"/>
    <n v="3414"/>
    <n v="173"/>
  </r>
  <r>
    <x v="2"/>
    <x v="3"/>
    <d v="2019-12-30T00:00:00"/>
    <x v="1"/>
    <n v="38"/>
    <n v="130"/>
    <n v="118"/>
    <n v="3415"/>
    <n v="136"/>
  </r>
  <r>
    <x v="2"/>
    <x v="3"/>
    <d v="2019-12-31T00:00:00"/>
    <x v="2"/>
    <n v="39"/>
    <n v="145"/>
    <n v="123"/>
    <n v="3416"/>
    <n v="142"/>
  </r>
  <r>
    <x v="2"/>
    <x v="3"/>
    <d v="2019-12-31T00:00:00"/>
    <x v="2"/>
    <n v="22"/>
    <n v="145"/>
    <n v="123"/>
    <n v="3417"/>
    <n v="76"/>
  </r>
  <r>
    <x v="2"/>
    <x v="3"/>
    <d v="2019-12-31T00:00:00"/>
    <x v="2"/>
    <n v="35"/>
    <n v="145"/>
    <n v="123"/>
    <n v="3418"/>
    <n v="124"/>
  </r>
  <r>
    <x v="3"/>
    <x v="0"/>
    <d v="2020-01-03T00:00:00"/>
    <x v="1"/>
    <n v="58"/>
    <n v="120"/>
    <n v="110"/>
    <n v="3419"/>
    <n v="200"/>
  </r>
  <r>
    <x v="3"/>
    <x v="0"/>
    <d v="2020-01-03T00:00:00"/>
    <x v="1"/>
    <n v="44"/>
    <n v="120"/>
    <n v="110"/>
    <n v="3420"/>
    <n v="158"/>
  </r>
  <r>
    <x v="3"/>
    <x v="0"/>
    <d v="2020-01-06T00:00:00"/>
    <x v="1"/>
    <n v="62"/>
    <n v="120"/>
    <n v="110"/>
    <n v="3421"/>
    <n v="219"/>
  </r>
  <r>
    <x v="3"/>
    <x v="0"/>
    <d v="2020-01-06T00:00:00"/>
    <x v="2"/>
    <n v="41"/>
    <n v="135"/>
    <n v="117"/>
    <n v="3422"/>
    <n v="150"/>
  </r>
  <r>
    <x v="3"/>
    <x v="0"/>
    <d v="2020-01-08T00:00:00"/>
    <x v="0"/>
    <n v="46"/>
    <n v="110"/>
    <n v="108"/>
    <n v="3425"/>
    <n v="166"/>
  </r>
  <r>
    <x v="3"/>
    <x v="0"/>
    <d v="2020-01-08T00:00:00"/>
    <x v="0"/>
    <n v="42"/>
    <n v="110"/>
    <n v="108"/>
    <n v="3426"/>
    <n v="148"/>
  </r>
  <r>
    <x v="3"/>
    <x v="0"/>
    <d v="2020-01-08T00:00:00"/>
    <x v="1"/>
    <n v="51"/>
    <n v="120"/>
    <n v="110"/>
    <n v="3423"/>
    <n v="187"/>
  </r>
  <r>
    <x v="3"/>
    <x v="0"/>
    <d v="2020-01-08T00:00:00"/>
    <x v="1"/>
    <n v="55"/>
    <n v="120"/>
    <n v="110"/>
    <n v="3424"/>
    <n v="203"/>
  </r>
  <r>
    <x v="3"/>
    <x v="0"/>
    <d v="2020-01-08T00:00:00"/>
    <x v="0"/>
    <n v="44"/>
    <n v="110"/>
    <n v="108"/>
    <n v="3427"/>
    <n v="150"/>
  </r>
  <r>
    <x v="3"/>
    <x v="0"/>
    <d v="2020-01-09T00:00:00"/>
    <x v="1"/>
    <n v="57"/>
    <n v="120"/>
    <n v="110"/>
    <n v="3432"/>
    <n v="200"/>
  </r>
  <r>
    <x v="3"/>
    <x v="0"/>
    <d v="2020-01-09T00:00:00"/>
    <x v="2"/>
    <n v="32"/>
    <n v="135"/>
    <n v="117"/>
    <n v="3433"/>
    <n v="117"/>
  </r>
  <r>
    <x v="3"/>
    <x v="0"/>
    <d v="2020-01-09T00:00:00"/>
    <x v="2"/>
    <n v="49"/>
    <n v="135"/>
    <n v="117"/>
    <n v="3431"/>
    <n v="172"/>
  </r>
  <r>
    <x v="3"/>
    <x v="0"/>
    <d v="2020-01-09T00:00:00"/>
    <x v="1"/>
    <n v="53"/>
    <n v="120"/>
    <n v="110"/>
    <n v="3430"/>
    <n v="192"/>
  </r>
  <r>
    <x v="3"/>
    <x v="0"/>
    <d v="2020-01-09T00:00:00"/>
    <x v="1"/>
    <n v="44"/>
    <n v="120"/>
    <n v="110"/>
    <n v="3429"/>
    <n v="159"/>
  </r>
  <r>
    <x v="3"/>
    <x v="0"/>
    <d v="2020-01-09T00:00:00"/>
    <x v="0"/>
    <n v="42"/>
    <n v="110"/>
    <n v="108"/>
    <n v="3428"/>
    <n v="147"/>
  </r>
  <r>
    <x v="3"/>
    <x v="0"/>
    <d v="2020-01-10T00:00:00"/>
    <x v="1"/>
    <n v="42"/>
    <n v="120"/>
    <n v="110"/>
    <n v="3435"/>
    <n v="151"/>
  </r>
  <r>
    <x v="3"/>
    <x v="0"/>
    <d v="2020-01-10T00:00:00"/>
    <x v="2"/>
    <n v="53"/>
    <n v="135"/>
    <n v="117"/>
    <n v="3436"/>
    <n v="194"/>
  </r>
  <r>
    <x v="3"/>
    <x v="0"/>
    <d v="2020-01-10T00:00:00"/>
    <x v="0"/>
    <n v="54"/>
    <n v="110"/>
    <n v="108"/>
    <n v="3437"/>
    <n v="190"/>
  </r>
  <r>
    <x v="3"/>
    <x v="0"/>
    <d v="2020-01-10T00:00:00"/>
    <x v="2"/>
    <n v="36"/>
    <n v="135"/>
    <n v="117"/>
    <n v="3438"/>
    <n v="133"/>
  </r>
  <r>
    <x v="3"/>
    <x v="0"/>
    <d v="2020-01-10T00:00:00"/>
    <x v="0"/>
    <n v="43"/>
    <n v="110"/>
    <n v="108"/>
    <n v="3434"/>
    <n v="150"/>
  </r>
  <r>
    <x v="3"/>
    <x v="0"/>
    <d v="2020-01-13T00:00:00"/>
    <x v="0"/>
    <n v="44"/>
    <n v="110"/>
    <n v="108"/>
    <n v="3439"/>
    <n v="161"/>
  </r>
  <r>
    <x v="3"/>
    <x v="0"/>
    <d v="2020-01-14T00:00:00"/>
    <x v="2"/>
    <n v="38"/>
    <n v="135"/>
    <n v="117"/>
    <n v="3443"/>
    <n v="140"/>
  </r>
  <r>
    <x v="3"/>
    <x v="0"/>
    <d v="2020-01-14T00:00:00"/>
    <x v="1"/>
    <n v="56"/>
    <n v="120"/>
    <n v="110"/>
    <n v="3444"/>
    <n v="199"/>
  </r>
  <r>
    <x v="3"/>
    <x v="0"/>
    <d v="2020-01-14T00:00:00"/>
    <x v="2"/>
    <n v="46"/>
    <n v="135"/>
    <n v="117"/>
    <n v="3441"/>
    <n v="169"/>
  </r>
  <r>
    <x v="3"/>
    <x v="0"/>
    <d v="2020-01-14T00:00:00"/>
    <x v="2"/>
    <n v="41"/>
    <n v="135"/>
    <n v="117"/>
    <n v="3440"/>
    <n v="155"/>
  </r>
  <r>
    <x v="3"/>
    <x v="0"/>
    <d v="2020-01-14T00:00:00"/>
    <x v="2"/>
    <n v="33"/>
    <n v="135"/>
    <n v="117"/>
    <n v="3442"/>
    <n v="155"/>
  </r>
  <r>
    <x v="3"/>
    <x v="0"/>
    <d v="2020-01-16T00:00:00"/>
    <x v="1"/>
    <n v="49"/>
    <n v="120"/>
    <n v="110"/>
    <n v="3445"/>
    <n v="178"/>
  </r>
  <r>
    <x v="3"/>
    <x v="0"/>
    <d v="2020-01-16T00:00:00"/>
    <x v="2"/>
    <n v="34"/>
    <n v="135"/>
    <n v="117"/>
    <n v="3446"/>
    <n v="160"/>
  </r>
  <r>
    <x v="3"/>
    <x v="0"/>
    <d v="2020-01-16T00:00:00"/>
    <x v="1"/>
    <n v="41"/>
    <n v="120"/>
    <n v="110"/>
    <n v="3447"/>
    <n v="148"/>
  </r>
  <r>
    <x v="3"/>
    <x v="0"/>
    <d v="2020-01-16T00:00:00"/>
    <x v="0"/>
    <n v="47"/>
    <n v="110"/>
    <n v="108"/>
    <n v="3448"/>
    <n v="172"/>
  </r>
  <r>
    <x v="3"/>
    <x v="0"/>
    <d v="2020-01-16T00:00:00"/>
    <x v="2"/>
    <n v="29"/>
    <n v="135"/>
    <n v="117"/>
    <n v="3449"/>
    <n v="100"/>
  </r>
  <r>
    <x v="3"/>
    <x v="0"/>
    <d v="2020-01-16T00:00:00"/>
    <x v="0"/>
    <n v="43"/>
    <n v="110"/>
    <n v="108"/>
    <n v="3450"/>
    <n v="156"/>
  </r>
  <r>
    <x v="3"/>
    <x v="0"/>
    <d v="2020-01-17T00:00:00"/>
    <x v="1"/>
    <n v="54"/>
    <n v="120"/>
    <n v="110"/>
    <n v="3452"/>
    <n v="191"/>
  </r>
  <r>
    <x v="3"/>
    <x v="0"/>
    <d v="2020-01-17T00:00:00"/>
    <x v="2"/>
    <n v="44"/>
    <n v="135"/>
    <n v="117"/>
    <n v="3451"/>
    <n v="157"/>
  </r>
  <r>
    <x v="3"/>
    <x v="0"/>
    <d v="2020-01-21T00:00:00"/>
    <x v="1"/>
    <n v="45"/>
    <n v="120"/>
    <n v="110"/>
    <n v="3453"/>
    <n v="163"/>
  </r>
  <r>
    <x v="3"/>
    <x v="0"/>
    <d v="2020-01-22T00:00:00"/>
    <x v="1"/>
    <n v="58"/>
    <n v="120"/>
    <n v="110"/>
    <n v="3455"/>
    <n v="212"/>
  </r>
  <r>
    <x v="3"/>
    <x v="0"/>
    <d v="2020-01-22T00:00:00"/>
    <x v="0"/>
    <n v="33"/>
    <n v="110"/>
    <n v="108"/>
    <n v="3454"/>
    <n v="116"/>
  </r>
  <r>
    <x v="3"/>
    <x v="0"/>
    <d v="2020-01-23T00:00:00"/>
    <x v="1"/>
    <n v="43"/>
    <n v="120"/>
    <n v="110"/>
    <n v="3456"/>
    <n v="152"/>
  </r>
  <r>
    <x v="3"/>
    <x v="0"/>
    <d v="2020-01-23T00:00:00"/>
    <x v="2"/>
    <n v="29"/>
    <n v="135"/>
    <n v="117"/>
    <n v="3457"/>
    <n v="108"/>
  </r>
  <r>
    <x v="3"/>
    <x v="0"/>
    <d v="2020-01-23T00:00:00"/>
    <x v="0"/>
    <n v="59"/>
    <n v="110"/>
    <n v="108"/>
    <n v="3458"/>
    <n v="227"/>
  </r>
  <r>
    <x v="3"/>
    <x v="0"/>
    <d v="2020-01-23T00:00:00"/>
    <x v="2"/>
    <n v="52"/>
    <n v="135"/>
    <n v="117"/>
    <n v="3459"/>
    <n v="180"/>
  </r>
  <r>
    <x v="3"/>
    <x v="0"/>
    <d v="2020-01-23T00:00:00"/>
    <x v="0"/>
    <n v="33"/>
    <n v="110"/>
    <n v="108"/>
    <n v="3460"/>
    <n v="117"/>
  </r>
  <r>
    <x v="3"/>
    <x v="0"/>
    <d v="2020-01-24T00:00:00"/>
    <x v="0"/>
    <n v="41"/>
    <n v="110"/>
    <n v="108"/>
    <n v="3461"/>
    <n v="150"/>
  </r>
  <r>
    <x v="3"/>
    <x v="0"/>
    <d v="2020-01-24T00:00:00"/>
    <x v="0"/>
    <n v="46"/>
    <n v="110"/>
    <n v="108"/>
    <n v="3466"/>
    <n v="176"/>
  </r>
  <r>
    <x v="3"/>
    <x v="0"/>
    <d v="2020-01-24T00:00:00"/>
    <x v="1"/>
    <n v="62"/>
    <n v="120"/>
    <n v="110"/>
    <n v="3465"/>
    <n v="221"/>
  </r>
  <r>
    <x v="3"/>
    <x v="0"/>
    <d v="2020-01-24T00:00:00"/>
    <x v="2"/>
    <n v="33"/>
    <n v="135"/>
    <n v="117"/>
    <n v="3462"/>
    <n v="114"/>
  </r>
  <r>
    <x v="3"/>
    <x v="0"/>
    <d v="2020-01-24T00:00:00"/>
    <x v="1"/>
    <n v="54"/>
    <n v="120"/>
    <n v="110"/>
    <n v="3463"/>
    <n v="191"/>
  </r>
  <r>
    <x v="3"/>
    <x v="0"/>
    <d v="2020-01-24T00:00:00"/>
    <x v="2"/>
    <n v="53"/>
    <n v="135"/>
    <n v="117"/>
    <n v="3464"/>
    <n v="188"/>
  </r>
  <r>
    <x v="3"/>
    <x v="0"/>
    <d v="2020-01-27T00:00:00"/>
    <x v="0"/>
    <n v="52"/>
    <n v="110"/>
    <n v="108"/>
    <n v="3471"/>
    <n v="189"/>
  </r>
  <r>
    <x v="3"/>
    <x v="0"/>
    <d v="2020-01-27T00:00:00"/>
    <x v="2"/>
    <n v="52"/>
    <n v="135"/>
    <n v="117"/>
    <n v="3472"/>
    <n v="179"/>
  </r>
  <r>
    <x v="3"/>
    <x v="0"/>
    <d v="2020-01-27T00:00:00"/>
    <x v="1"/>
    <n v="56"/>
    <n v="120"/>
    <n v="110"/>
    <n v="3470"/>
    <n v="194"/>
  </r>
  <r>
    <x v="3"/>
    <x v="0"/>
    <d v="2020-01-27T00:00:00"/>
    <x v="0"/>
    <n v="48"/>
    <n v="110"/>
    <n v="108"/>
    <n v="3469"/>
    <n v="174"/>
  </r>
  <r>
    <x v="3"/>
    <x v="0"/>
    <d v="2020-01-27T00:00:00"/>
    <x v="2"/>
    <n v="51"/>
    <n v="135"/>
    <n v="117"/>
    <n v="3468"/>
    <n v="178"/>
  </r>
  <r>
    <x v="3"/>
    <x v="0"/>
    <d v="2020-01-27T00:00:00"/>
    <x v="2"/>
    <n v="42"/>
    <n v="135"/>
    <n v="117"/>
    <n v="3467"/>
    <n v="147"/>
  </r>
  <r>
    <x v="3"/>
    <x v="0"/>
    <d v="2020-01-28T00:00:00"/>
    <x v="0"/>
    <n v="36"/>
    <n v="110"/>
    <n v="108"/>
    <n v="3474"/>
    <n v="125"/>
  </r>
  <r>
    <x v="3"/>
    <x v="0"/>
    <d v="2020-01-28T00:00:00"/>
    <x v="0"/>
    <n v="34"/>
    <n v="110"/>
    <n v="108"/>
    <n v="3475"/>
    <n v="117"/>
  </r>
  <r>
    <x v="3"/>
    <x v="0"/>
    <d v="2020-01-28T00:00:00"/>
    <x v="1"/>
    <n v="63"/>
    <n v="120"/>
    <n v="110"/>
    <n v="3476"/>
    <n v="222"/>
  </r>
  <r>
    <x v="3"/>
    <x v="0"/>
    <d v="2020-01-28T00:00:00"/>
    <x v="1"/>
    <n v="57"/>
    <n v="120"/>
    <n v="110"/>
    <n v="3477"/>
    <n v="198"/>
  </r>
  <r>
    <x v="3"/>
    <x v="0"/>
    <d v="2020-01-28T00:00:00"/>
    <x v="1"/>
    <n v="56"/>
    <n v="120"/>
    <n v="110"/>
    <n v="3478"/>
    <n v="195"/>
  </r>
  <r>
    <x v="3"/>
    <x v="0"/>
    <d v="2020-01-28T00:00:00"/>
    <x v="1"/>
    <n v="62"/>
    <n v="120"/>
    <n v="110"/>
    <n v="3473"/>
    <n v="222"/>
  </r>
  <r>
    <x v="3"/>
    <x v="0"/>
    <d v="2020-01-29T00:00:00"/>
    <x v="2"/>
    <n v="33"/>
    <n v="135"/>
    <n v="117"/>
    <n v="3480"/>
    <n v="124"/>
  </r>
  <r>
    <x v="3"/>
    <x v="0"/>
    <d v="2020-01-29T00:00:00"/>
    <x v="1"/>
    <n v="63"/>
    <n v="120"/>
    <n v="110"/>
    <n v="3481"/>
    <n v="219"/>
  </r>
  <r>
    <x v="3"/>
    <x v="0"/>
    <d v="2020-01-29T00:00:00"/>
    <x v="2"/>
    <n v="46"/>
    <n v="135"/>
    <n v="117"/>
    <n v="3479"/>
    <n v="166"/>
  </r>
  <r>
    <x v="3"/>
    <x v="0"/>
    <d v="2020-01-30T00:00:00"/>
    <x v="1"/>
    <n v="56"/>
    <n v="120"/>
    <n v="110"/>
    <n v="3483"/>
    <n v="207"/>
  </r>
  <r>
    <x v="3"/>
    <x v="0"/>
    <d v="2020-01-30T00:00:00"/>
    <x v="1"/>
    <n v="60"/>
    <n v="120"/>
    <n v="110"/>
    <n v="3482"/>
    <n v="221"/>
  </r>
  <r>
    <x v="3"/>
    <x v="0"/>
    <d v="2020-02-03T00:00:00"/>
    <x v="1"/>
    <n v="41"/>
    <n v="120"/>
    <n v="110"/>
    <n v="3484"/>
    <n v="190"/>
  </r>
  <r>
    <x v="3"/>
    <x v="0"/>
    <d v="2020-02-03T00:00:00"/>
    <x v="0"/>
    <n v="35"/>
    <n v="110"/>
    <n v="108"/>
    <n v="3485"/>
    <n v="122"/>
  </r>
  <r>
    <x v="3"/>
    <x v="0"/>
    <d v="2020-02-03T00:00:00"/>
    <x v="1"/>
    <n v="42"/>
    <n v="120"/>
    <n v="110"/>
    <n v="3486"/>
    <n v="145"/>
  </r>
  <r>
    <x v="3"/>
    <x v="0"/>
    <d v="2020-02-03T00:00:00"/>
    <x v="2"/>
    <n v="33"/>
    <n v="135"/>
    <n v="117"/>
    <n v="3487"/>
    <n v="152"/>
  </r>
  <r>
    <x v="3"/>
    <x v="0"/>
    <d v="2020-02-03T00:00:00"/>
    <x v="0"/>
    <n v="40"/>
    <n v="110"/>
    <n v="108"/>
    <n v="3488"/>
    <n v="138"/>
  </r>
  <r>
    <x v="3"/>
    <x v="0"/>
    <d v="2020-02-05T00:00:00"/>
    <x v="2"/>
    <n v="29"/>
    <n v="135"/>
    <n v="117"/>
    <n v="3489"/>
    <n v="106"/>
  </r>
  <r>
    <x v="3"/>
    <x v="0"/>
    <d v="2020-02-05T00:00:00"/>
    <x v="2"/>
    <n v="30"/>
    <n v="135"/>
    <n v="117"/>
    <n v="3493"/>
    <n v="138"/>
  </r>
  <r>
    <x v="3"/>
    <x v="0"/>
    <d v="2020-02-05T00:00:00"/>
    <x v="0"/>
    <n v="50"/>
    <n v="110"/>
    <n v="108"/>
    <n v="3492"/>
    <n v="182"/>
  </r>
  <r>
    <x v="3"/>
    <x v="0"/>
    <d v="2020-02-05T00:00:00"/>
    <x v="2"/>
    <n v="39"/>
    <n v="135"/>
    <n v="117"/>
    <n v="3490"/>
    <n v="144"/>
  </r>
  <r>
    <x v="3"/>
    <x v="0"/>
    <d v="2020-02-05T00:00:00"/>
    <x v="1"/>
    <n v="42"/>
    <n v="120"/>
    <n v="110"/>
    <n v="3491"/>
    <n v="153"/>
  </r>
  <r>
    <x v="3"/>
    <x v="0"/>
    <d v="2020-02-06T00:00:00"/>
    <x v="1"/>
    <n v="60"/>
    <n v="120"/>
    <n v="110"/>
    <n v="3494"/>
    <n v="211"/>
  </r>
  <r>
    <x v="3"/>
    <x v="0"/>
    <d v="2020-02-07T00:00:00"/>
    <x v="2"/>
    <n v="48"/>
    <n v="135"/>
    <n v="117"/>
    <n v="3498"/>
    <n v="171"/>
  </r>
  <r>
    <x v="3"/>
    <x v="0"/>
    <d v="2020-02-07T00:00:00"/>
    <x v="1"/>
    <n v="59"/>
    <n v="120"/>
    <n v="110"/>
    <n v="3495"/>
    <n v="210"/>
  </r>
  <r>
    <x v="3"/>
    <x v="0"/>
    <d v="2020-02-07T00:00:00"/>
    <x v="1"/>
    <n v="50"/>
    <n v="120"/>
    <n v="110"/>
    <n v="3496"/>
    <n v="182"/>
  </r>
  <r>
    <x v="3"/>
    <x v="0"/>
    <d v="2020-02-07T00:00:00"/>
    <x v="0"/>
    <n v="33"/>
    <n v="110"/>
    <n v="108"/>
    <n v="3497"/>
    <n v="118"/>
  </r>
  <r>
    <x v="3"/>
    <x v="0"/>
    <d v="2020-02-10T00:00:00"/>
    <x v="1"/>
    <n v="39"/>
    <n v="120"/>
    <n v="110"/>
    <n v="3500"/>
    <n v="140"/>
  </r>
  <r>
    <x v="3"/>
    <x v="0"/>
    <d v="2020-02-10T00:00:00"/>
    <x v="2"/>
    <n v="38"/>
    <n v="135"/>
    <n v="117"/>
    <n v="3499"/>
    <n v="136"/>
  </r>
  <r>
    <x v="3"/>
    <x v="0"/>
    <d v="2020-02-11T00:00:00"/>
    <x v="0"/>
    <n v="56"/>
    <n v="110"/>
    <n v="108"/>
    <n v="3501"/>
    <n v="194"/>
  </r>
  <r>
    <x v="3"/>
    <x v="0"/>
    <d v="2020-02-11T00:00:00"/>
    <x v="2"/>
    <n v="39"/>
    <n v="135"/>
    <n v="117"/>
    <n v="3502"/>
    <n v="142"/>
  </r>
  <r>
    <x v="3"/>
    <x v="0"/>
    <d v="2020-02-13T00:00:00"/>
    <x v="2"/>
    <n v="30"/>
    <n v="135"/>
    <n v="117"/>
    <n v="3507"/>
    <n v="110"/>
  </r>
  <r>
    <x v="3"/>
    <x v="0"/>
    <d v="2020-02-13T00:00:00"/>
    <x v="1"/>
    <n v="52"/>
    <n v="120"/>
    <n v="110"/>
    <n v="3508"/>
    <n v="186"/>
  </r>
  <r>
    <x v="3"/>
    <x v="0"/>
    <d v="2020-02-13T00:00:00"/>
    <x v="1"/>
    <n v="39"/>
    <n v="120"/>
    <n v="110"/>
    <n v="3506"/>
    <n v="138"/>
  </r>
  <r>
    <x v="3"/>
    <x v="0"/>
    <d v="2020-02-13T00:00:00"/>
    <x v="0"/>
    <n v="55"/>
    <n v="110"/>
    <n v="108"/>
    <n v="3505"/>
    <n v="202"/>
  </r>
  <r>
    <x v="3"/>
    <x v="0"/>
    <d v="2020-02-13T00:00:00"/>
    <x v="2"/>
    <n v="47"/>
    <n v="135"/>
    <n v="117"/>
    <n v="3504"/>
    <n v="167"/>
  </r>
  <r>
    <x v="3"/>
    <x v="0"/>
    <d v="2020-02-13T00:00:00"/>
    <x v="1"/>
    <n v="46"/>
    <n v="120"/>
    <n v="110"/>
    <n v="3503"/>
    <n v="215"/>
  </r>
  <r>
    <x v="3"/>
    <x v="0"/>
    <d v="2020-02-18T00:00:00"/>
    <x v="0"/>
    <n v="42"/>
    <n v="110"/>
    <n v="108"/>
    <n v="3510"/>
    <n v="144"/>
  </r>
  <r>
    <x v="3"/>
    <x v="0"/>
    <d v="2020-02-18T00:00:00"/>
    <x v="1"/>
    <n v="60"/>
    <n v="120"/>
    <n v="110"/>
    <n v="3511"/>
    <n v="208"/>
  </r>
  <r>
    <x v="3"/>
    <x v="0"/>
    <d v="2020-02-18T00:00:00"/>
    <x v="0"/>
    <n v="41"/>
    <n v="110"/>
    <n v="108"/>
    <n v="3512"/>
    <n v="142"/>
  </r>
  <r>
    <x v="3"/>
    <x v="0"/>
    <d v="2020-02-18T00:00:00"/>
    <x v="0"/>
    <n v="36"/>
    <n v="110"/>
    <n v="108"/>
    <n v="3509"/>
    <n v="128"/>
  </r>
  <r>
    <x v="3"/>
    <x v="0"/>
    <d v="2020-02-19T00:00:00"/>
    <x v="0"/>
    <n v="54"/>
    <n v="110"/>
    <n v="108"/>
    <n v="3513"/>
    <n v="188"/>
  </r>
  <r>
    <x v="3"/>
    <x v="0"/>
    <d v="2020-02-20T00:00:00"/>
    <x v="0"/>
    <n v="34"/>
    <n v="110"/>
    <n v="108"/>
    <n v="3516"/>
    <n v="117"/>
  </r>
  <r>
    <x v="3"/>
    <x v="0"/>
    <d v="2020-02-20T00:00:00"/>
    <x v="1"/>
    <n v="39"/>
    <n v="120"/>
    <n v="110"/>
    <n v="3517"/>
    <n v="150"/>
  </r>
  <r>
    <x v="3"/>
    <x v="0"/>
    <d v="2020-02-20T00:00:00"/>
    <x v="1"/>
    <n v="45"/>
    <n v="120"/>
    <n v="110"/>
    <n v="3519"/>
    <n v="164"/>
  </r>
  <r>
    <x v="3"/>
    <x v="0"/>
    <d v="2020-02-20T00:00:00"/>
    <x v="2"/>
    <n v="30"/>
    <n v="135"/>
    <n v="117"/>
    <n v="3515"/>
    <n v="106"/>
  </r>
  <r>
    <x v="3"/>
    <x v="0"/>
    <d v="2020-02-20T00:00:00"/>
    <x v="0"/>
    <n v="37"/>
    <n v="110"/>
    <n v="108"/>
    <n v="3514"/>
    <n v="128"/>
  </r>
  <r>
    <x v="3"/>
    <x v="0"/>
    <d v="2020-02-20T00:00:00"/>
    <x v="1"/>
    <n v="61"/>
    <n v="120"/>
    <n v="110"/>
    <n v="3518"/>
    <n v="225"/>
  </r>
  <r>
    <x v="3"/>
    <x v="0"/>
    <d v="2020-02-21T00:00:00"/>
    <x v="0"/>
    <n v="49"/>
    <n v="110"/>
    <n v="108"/>
    <n v="3520"/>
    <n v="174"/>
  </r>
  <r>
    <x v="3"/>
    <x v="0"/>
    <d v="2020-02-21T00:00:00"/>
    <x v="0"/>
    <n v="52"/>
    <n v="110"/>
    <n v="108"/>
    <n v="3521"/>
    <n v="177"/>
  </r>
  <r>
    <x v="3"/>
    <x v="0"/>
    <d v="2020-02-21T00:00:00"/>
    <x v="2"/>
    <n v="31"/>
    <n v="135"/>
    <n v="117"/>
    <n v="3522"/>
    <n v="108"/>
  </r>
  <r>
    <x v="3"/>
    <x v="0"/>
    <d v="2020-02-21T00:00:00"/>
    <x v="1"/>
    <n v="53"/>
    <n v="120"/>
    <n v="110"/>
    <n v="3523"/>
    <n v="189"/>
  </r>
  <r>
    <x v="3"/>
    <x v="0"/>
    <d v="2020-02-21T00:00:00"/>
    <x v="2"/>
    <n v="45"/>
    <n v="135"/>
    <n v="117"/>
    <n v="3524"/>
    <n v="154"/>
  </r>
  <r>
    <x v="3"/>
    <x v="0"/>
    <d v="2020-02-24T00:00:00"/>
    <x v="2"/>
    <n v="51"/>
    <n v="135"/>
    <n v="117"/>
    <n v="3525"/>
    <n v="188"/>
  </r>
  <r>
    <x v="3"/>
    <x v="0"/>
    <d v="2020-02-24T00:00:00"/>
    <x v="0"/>
    <n v="55"/>
    <n v="110"/>
    <n v="108"/>
    <n v="3526"/>
    <n v="193"/>
  </r>
  <r>
    <x v="3"/>
    <x v="0"/>
    <d v="2020-02-24T00:00:00"/>
    <x v="1"/>
    <n v="49"/>
    <n v="120"/>
    <n v="110"/>
    <n v="3527"/>
    <n v="227"/>
  </r>
  <r>
    <x v="3"/>
    <x v="0"/>
    <d v="2020-02-25T00:00:00"/>
    <x v="0"/>
    <n v="39"/>
    <n v="110"/>
    <n v="108"/>
    <n v="3528"/>
    <n v="134"/>
  </r>
  <r>
    <x v="3"/>
    <x v="0"/>
    <d v="2020-02-25T00:00:00"/>
    <x v="2"/>
    <n v="33"/>
    <n v="135"/>
    <n v="117"/>
    <n v="3529"/>
    <n v="118"/>
  </r>
  <r>
    <x v="3"/>
    <x v="0"/>
    <d v="2020-02-25T00:00:00"/>
    <x v="1"/>
    <n v="46"/>
    <n v="120"/>
    <n v="110"/>
    <n v="3530"/>
    <n v="169"/>
  </r>
  <r>
    <x v="3"/>
    <x v="0"/>
    <d v="2020-02-25T00:00:00"/>
    <x v="1"/>
    <n v="57"/>
    <n v="120"/>
    <n v="110"/>
    <n v="3531"/>
    <n v="210"/>
  </r>
  <r>
    <x v="3"/>
    <x v="0"/>
    <d v="2020-02-25T00:00:00"/>
    <x v="2"/>
    <n v="42"/>
    <n v="135"/>
    <n v="117"/>
    <n v="3532"/>
    <n v="152"/>
  </r>
  <r>
    <x v="3"/>
    <x v="0"/>
    <d v="2020-02-26T00:00:00"/>
    <x v="1"/>
    <n v="59"/>
    <n v="120"/>
    <n v="110"/>
    <n v="3534"/>
    <n v="217"/>
  </r>
  <r>
    <x v="3"/>
    <x v="0"/>
    <d v="2020-02-26T00:00:00"/>
    <x v="0"/>
    <n v="59"/>
    <n v="110"/>
    <n v="108"/>
    <n v="3538"/>
    <n v="209"/>
  </r>
  <r>
    <x v="3"/>
    <x v="0"/>
    <d v="2020-02-26T00:00:00"/>
    <x v="0"/>
    <n v="44"/>
    <n v="110"/>
    <n v="108"/>
    <n v="3537"/>
    <n v="152"/>
  </r>
  <r>
    <x v="3"/>
    <x v="0"/>
    <d v="2020-02-26T00:00:00"/>
    <x v="2"/>
    <n v="47"/>
    <n v="135"/>
    <n v="117"/>
    <n v="3536"/>
    <n v="168"/>
  </r>
  <r>
    <x v="3"/>
    <x v="0"/>
    <d v="2020-02-26T00:00:00"/>
    <x v="2"/>
    <n v="33"/>
    <n v="135"/>
    <n v="117"/>
    <n v="3533"/>
    <n v="154"/>
  </r>
  <r>
    <x v="3"/>
    <x v="0"/>
    <d v="2020-02-26T00:00:00"/>
    <x v="0"/>
    <n v="39"/>
    <n v="110"/>
    <n v="108"/>
    <n v="3535"/>
    <n v="141"/>
  </r>
  <r>
    <x v="3"/>
    <x v="0"/>
    <d v="2020-02-27T00:00:00"/>
    <x v="1"/>
    <n v="47"/>
    <n v="120"/>
    <n v="110"/>
    <n v="3539"/>
    <n v="181"/>
  </r>
  <r>
    <x v="3"/>
    <x v="0"/>
    <d v="2020-02-27T00:00:00"/>
    <x v="2"/>
    <n v="52"/>
    <n v="135"/>
    <n v="117"/>
    <n v="3540"/>
    <n v="183"/>
  </r>
  <r>
    <x v="3"/>
    <x v="0"/>
    <d v="2020-02-27T00:00:00"/>
    <x v="2"/>
    <n v="39"/>
    <n v="135"/>
    <n v="117"/>
    <n v="3541"/>
    <n v="183"/>
  </r>
  <r>
    <x v="3"/>
    <x v="0"/>
    <d v="2020-02-27T00:00:00"/>
    <x v="0"/>
    <n v="42"/>
    <n v="110"/>
    <n v="108"/>
    <n v="3542"/>
    <n v="150"/>
  </r>
  <r>
    <x v="3"/>
    <x v="0"/>
    <d v="2020-02-28T00:00:00"/>
    <x v="1"/>
    <n v="57"/>
    <n v="120"/>
    <n v="110"/>
    <n v="3544"/>
    <n v="208"/>
  </r>
  <r>
    <x v="3"/>
    <x v="0"/>
    <d v="2020-02-28T00:00:00"/>
    <x v="0"/>
    <n v="33"/>
    <n v="110"/>
    <n v="108"/>
    <n v="3543"/>
    <n v="114"/>
  </r>
  <r>
    <x v="3"/>
    <x v="0"/>
    <d v="2020-03-02T00:00:00"/>
    <x v="1"/>
    <n v="57"/>
    <n v="120"/>
    <n v="110"/>
    <n v="3547"/>
    <n v="209"/>
  </r>
  <r>
    <x v="3"/>
    <x v="0"/>
    <d v="2020-03-02T00:00:00"/>
    <x v="2"/>
    <n v="28"/>
    <n v="135"/>
    <n v="117"/>
    <n v="3545"/>
    <n v="100"/>
  </r>
  <r>
    <x v="3"/>
    <x v="0"/>
    <d v="2020-03-02T00:00:00"/>
    <x v="0"/>
    <n v="50"/>
    <n v="110"/>
    <n v="108"/>
    <n v="3546"/>
    <n v="177"/>
  </r>
  <r>
    <x v="3"/>
    <x v="0"/>
    <d v="2020-03-03T00:00:00"/>
    <x v="2"/>
    <n v="54"/>
    <n v="135"/>
    <n v="117"/>
    <n v="3548"/>
    <n v="199"/>
  </r>
  <r>
    <x v="3"/>
    <x v="0"/>
    <d v="2020-03-03T00:00:00"/>
    <x v="0"/>
    <n v="48"/>
    <n v="110"/>
    <n v="108"/>
    <n v="3549"/>
    <n v="225"/>
  </r>
  <r>
    <x v="3"/>
    <x v="0"/>
    <d v="2020-03-04T00:00:00"/>
    <x v="0"/>
    <n v="49"/>
    <n v="110"/>
    <n v="108"/>
    <n v="3553"/>
    <n v="171"/>
  </r>
  <r>
    <x v="3"/>
    <x v="0"/>
    <d v="2020-03-04T00:00:00"/>
    <x v="1"/>
    <n v="52"/>
    <n v="120"/>
    <n v="110"/>
    <n v="3550"/>
    <n v="179"/>
  </r>
  <r>
    <x v="3"/>
    <x v="0"/>
    <d v="2020-03-04T00:00:00"/>
    <x v="2"/>
    <n v="50"/>
    <n v="135"/>
    <n v="117"/>
    <n v="3551"/>
    <n v="172"/>
  </r>
  <r>
    <x v="3"/>
    <x v="0"/>
    <d v="2020-03-04T00:00:00"/>
    <x v="1"/>
    <n v="60"/>
    <n v="120"/>
    <n v="110"/>
    <n v="3552"/>
    <n v="215"/>
  </r>
  <r>
    <x v="3"/>
    <x v="0"/>
    <d v="2020-03-05T00:00:00"/>
    <x v="0"/>
    <n v="49"/>
    <n v="110"/>
    <n v="108"/>
    <n v="3554"/>
    <n v="172"/>
  </r>
  <r>
    <x v="3"/>
    <x v="0"/>
    <d v="2020-03-06T00:00:00"/>
    <x v="2"/>
    <n v="53"/>
    <n v="135"/>
    <n v="117"/>
    <n v="3556"/>
    <n v="184"/>
  </r>
  <r>
    <x v="3"/>
    <x v="0"/>
    <d v="2020-03-06T00:00:00"/>
    <x v="0"/>
    <n v="40"/>
    <n v="110"/>
    <n v="108"/>
    <n v="3555"/>
    <n v="145"/>
  </r>
  <r>
    <x v="3"/>
    <x v="0"/>
    <d v="2020-03-09T00:00:00"/>
    <x v="2"/>
    <n v="34"/>
    <n v="135"/>
    <n v="117"/>
    <n v="3557"/>
    <n v="124"/>
  </r>
  <r>
    <x v="3"/>
    <x v="0"/>
    <d v="2020-03-09T00:00:00"/>
    <x v="1"/>
    <n v="59"/>
    <n v="120"/>
    <n v="110"/>
    <n v="3558"/>
    <n v="207"/>
  </r>
  <r>
    <x v="3"/>
    <x v="0"/>
    <d v="2020-03-09T00:00:00"/>
    <x v="2"/>
    <n v="31"/>
    <n v="135"/>
    <n v="117"/>
    <n v="3559"/>
    <n v="114"/>
  </r>
  <r>
    <x v="3"/>
    <x v="0"/>
    <d v="2020-03-10T00:00:00"/>
    <x v="1"/>
    <n v="47"/>
    <n v="120"/>
    <n v="110"/>
    <n v="3562"/>
    <n v="165"/>
  </r>
  <r>
    <x v="3"/>
    <x v="0"/>
    <d v="2020-03-10T00:00:00"/>
    <x v="1"/>
    <n v="64"/>
    <n v="120"/>
    <n v="110"/>
    <n v="3560"/>
    <n v="235"/>
  </r>
  <r>
    <x v="3"/>
    <x v="0"/>
    <d v="2020-03-10T00:00:00"/>
    <x v="1"/>
    <n v="45"/>
    <n v="120"/>
    <n v="110"/>
    <n v="3561"/>
    <n v="158"/>
  </r>
  <r>
    <x v="3"/>
    <x v="0"/>
    <d v="2020-03-11T00:00:00"/>
    <x v="0"/>
    <n v="33"/>
    <n v="110"/>
    <n v="108"/>
    <n v="3568"/>
    <n v="114"/>
  </r>
  <r>
    <x v="3"/>
    <x v="0"/>
    <d v="2020-03-11T00:00:00"/>
    <x v="2"/>
    <n v="30"/>
    <n v="135"/>
    <n v="117"/>
    <n v="3567"/>
    <n v="112"/>
  </r>
  <r>
    <x v="3"/>
    <x v="0"/>
    <d v="2020-03-11T00:00:00"/>
    <x v="0"/>
    <n v="51"/>
    <n v="110"/>
    <n v="108"/>
    <n v="3566"/>
    <n v="236"/>
  </r>
  <r>
    <x v="3"/>
    <x v="0"/>
    <d v="2020-03-11T00:00:00"/>
    <x v="1"/>
    <n v="48"/>
    <n v="120"/>
    <n v="110"/>
    <n v="3565"/>
    <n v="177"/>
  </r>
  <r>
    <x v="3"/>
    <x v="0"/>
    <d v="2020-03-11T00:00:00"/>
    <x v="1"/>
    <n v="49"/>
    <n v="120"/>
    <n v="110"/>
    <n v="3563"/>
    <n v="171"/>
  </r>
  <r>
    <x v="3"/>
    <x v="0"/>
    <d v="2020-03-11T00:00:00"/>
    <x v="2"/>
    <n v="52"/>
    <n v="135"/>
    <n v="117"/>
    <n v="3564"/>
    <n v="241"/>
  </r>
  <r>
    <x v="3"/>
    <x v="0"/>
    <d v="2020-03-12T00:00:00"/>
    <x v="0"/>
    <n v="37"/>
    <n v="110"/>
    <n v="108"/>
    <n v="3569"/>
    <n v="132"/>
  </r>
  <r>
    <x v="3"/>
    <x v="0"/>
    <d v="2020-03-12T00:00:00"/>
    <x v="0"/>
    <n v="52"/>
    <n v="110"/>
    <n v="108"/>
    <n v="3570"/>
    <n v="189"/>
  </r>
  <r>
    <x v="3"/>
    <x v="0"/>
    <d v="2020-03-13T00:00:00"/>
    <x v="0"/>
    <n v="45"/>
    <n v="110"/>
    <n v="108"/>
    <n v="3571"/>
    <n v="164"/>
  </r>
  <r>
    <x v="3"/>
    <x v="0"/>
    <d v="2020-03-13T00:00:00"/>
    <x v="2"/>
    <n v="52"/>
    <n v="135"/>
    <n v="117"/>
    <n v="3573"/>
    <n v="180"/>
  </r>
  <r>
    <x v="3"/>
    <x v="0"/>
    <d v="2020-03-13T00:00:00"/>
    <x v="0"/>
    <n v="54"/>
    <n v="110"/>
    <n v="108"/>
    <n v="3572"/>
    <n v="194"/>
  </r>
  <r>
    <x v="3"/>
    <x v="0"/>
    <d v="2020-03-17T00:00:00"/>
    <x v="2"/>
    <n v="40"/>
    <n v="135"/>
    <n v="117"/>
    <n v="3574"/>
    <n v="140"/>
  </r>
  <r>
    <x v="3"/>
    <x v="0"/>
    <d v="2020-03-17T00:00:00"/>
    <x v="1"/>
    <n v="62"/>
    <n v="120"/>
    <n v="110"/>
    <n v="3575"/>
    <n v="216"/>
  </r>
  <r>
    <x v="3"/>
    <x v="0"/>
    <d v="2020-03-18T00:00:00"/>
    <x v="1"/>
    <n v="42"/>
    <n v="120"/>
    <n v="110"/>
    <n v="3576"/>
    <n v="147"/>
  </r>
  <r>
    <x v="3"/>
    <x v="0"/>
    <d v="2020-03-18T00:00:00"/>
    <x v="0"/>
    <n v="38"/>
    <n v="110"/>
    <n v="108"/>
    <n v="3577"/>
    <n v="135"/>
  </r>
  <r>
    <x v="3"/>
    <x v="0"/>
    <d v="2020-03-18T00:00:00"/>
    <x v="0"/>
    <n v="40"/>
    <n v="110"/>
    <n v="108"/>
    <n v="3578"/>
    <n v="139"/>
  </r>
  <r>
    <x v="3"/>
    <x v="0"/>
    <d v="2020-03-19T00:00:00"/>
    <x v="2"/>
    <n v="52"/>
    <n v="135"/>
    <n v="117"/>
    <n v="3579"/>
    <n v="185"/>
  </r>
  <r>
    <x v="3"/>
    <x v="0"/>
    <d v="2020-03-19T00:00:00"/>
    <x v="1"/>
    <n v="57"/>
    <n v="120"/>
    <n v="110"/>
    <n v="3580"/>
    <n v="198"/>
  </r>
  <r>
    <x v="3"/>
    <x v="0"/>
    <d v="2020-03-19T00:00:00"/>
    <x v="1"/>
    <n v="52"/>
    <n v="120"/>
    <n v="110"/>
    <n v="3581"/>
    <n v="187"/>
  </r>
  <r>
    <x v="3"/>
    <x v="0"/>
    <d v="2020-03-19T00:00:00"/>
    <x v="0"/>
    <n v="41"/>
    <n v="110"/>
    <n v="108"/>
    <n v="3582"/>
    <n v="146"/>
  </r>
  <r>
    <x v="3"/>
    <x v="0"/>
    <d v="2020-03-19T00:00:00"/>
    <x v="0"/>
    <n v="49"/>
    <n v="110"/>
    <n v="108"/>
    <n v="3583"/>
    <n v="176"/>
  </r>
  <r>
    <x v="3"/>
    <x v="0"/>
    <d v="2020-03-20T00:00:00"/>
    <x v="0"/>
    <n v="37"/>
    <n v="110"/>
    <n v="108"/>
    <n v="3588"/>
    <n v="141"/>
  </r>
  <r>
    <x v="3"/>
    <x v="0"/>
    <d v="2020-03-20T00:00:00"/>
    <x v="2"/>
    <n v="41"/>
    <n v="135"/>
    <n v="117"/>
    <n v="3589"/>
    <n v="148"/>
  </r>
  <r>
    <x v="3"/>
    <x v="0"/>
    <d v="2020-03-20T00:00:00"/>
    <x v="1"/>
    <n v="49"/>
    <n v="120"/>
    <n v="110"/>
    <n v="3587"/>
    <n v="170"/>
  </r>
  <r>
    <x v="3"/>
    <x v="0"/>
    <d v="2020-03-20T00:00:00"/>
    <x v="1"/>
    <n v="63"/>
    <n v="120"/>
    <n v="110"/>
    <n v="3584"/>
    <n v="220"/>
  </r>
  <r>
    <x v="3"/>
    <x v="0"/>
    <d v="2020-03-20T00:00:00"/>
    <x v="1"/>
    <n v="47"/>
    <n v="120"/>
    <n v="110"/>
    <n v="3585"/>
    <n v="165"/>
  </r>
  <r>
    <x v="3"/>
    <x v="0"/>
    <d v="2020-03-20T00:00:00"/>
    <x v="1"/>
    <n v="55"/>
    <n v="120"/>
    <n v="110"/>
    <n v="3586"/>
    <n v="194"/>
  </r>
  <r>
    <x v="3"/>
    <x v="0"/>
    <d v="2020-03-23T00:00:00"/>
    <x v="1"/>
    <n v="58"/>
    <n v="120"/>
    <n v="110"/>
    <n v="3590"/>
    <n v="211"/>
  </r>
  <r>
    <x v="3"/>
    <x v="0"/>
    <d v="2020-03-23T00:00:00"/>
    <x v="2"/>
    <n v="51"/>
    <n v="135"/>
    <n v="117"/>
    <n v="3591"/>
    <n v="177"/>
  </r>
  <r>
    <x v="3"/>
    <x v="0"/>
    <d v="2020-03-23T00:00:00"/>
    <x v="1"/>
    <n v="61"/>
    <n v="120"/>
    <n v="110"/>
    <n v="3592"/>
    <n v="219"/>
  </r>
  <r>
    <x v="3"/>
    <x v="0"/>
    <d v="2020-03-23T00:00:00"/>
    <x v="1"/>
    <n v="62"/>
    <n v="120"/>
    <n v="110"/>
    <n v="3593"/>
    <n v="218"/>
  </r>
  <r>
    <x v="3"/>
    <x v="0"/>
    <d v="2020-03-23T00:00:00"/>
    <x v="2"/>
    <n v="45"/>
    <n v="135"/>
    <n v="117"/>
    <n v="3594"/>
    <n v="172"/>
  </r>
  <r>
    <x v="3"/>
    <x v="0"/>
    <d v="2020-03-24T00:00:00"/>
    <x v="2"/>
    <n v="43"/>
    <n v="135"/>
    <n v="117"/>
    <n v="3596"/>
    <n v="161"/>
  </r>
  <r>
    <x v="3"/>
    <x v="0"/>
    <d v="2020-03-24T00:00:00"/>
    <x v="0"/>
    <n v="49"/>
    <n v="110"/>
    <n v="108"/>
    <n v="3597"/>
    <n v="172"/>
  </r>
  <r>
    <x v="3"/>
    <x v="0"/>
    <d v="2020-03-24T00:00:00"/>
    <x v="0"/>
    <n v="43"/>
    <n v="110"/>
    <n v="108"/>
    <n v="3595"/>
    <n v="199"/>
  </r>
  <r>
    <x v="3"/>
    <x v="0"/>
    <d v="2020-03-26T00:00:00"/>
    <x v="2"/>
    <n v="46"/>
    <n v="135"/>
    <n v="117"/>
    <n v="3599"/>
    <n v="159"/>
  </r>
  <r>
    <x v="3"/>
    <x v="0"/>
    <d v="2020-03-26T00:00:00"/>
    <x v="1"/>
    <n v="63"/>
    <n v="120"/>
    <n v="110"/>
    <n v="3600"/>
    <n v="225"/>
  </r>
  <r>
    <x v="3"/>
    <x v="0"/>
    <d v="2020-03-26T00:00:00"/>
    <x v="2"/>
    <n v="42"/>
    <n v="135"/>
    <n v="117"/>
    <n v="3598"/>
    <n v="148"/>
  </r>
  <r>
    <x v="3"/>
    <x v="0"/>
    <d v="2020-03-27T00:00:00"/>
    <x v="1"/>
    <n v="48"/>
    <n v="120"/>
    <n v="110"/>
    <n v="3601"/>
    <n v="224"/>
  </r>
  <r>
    <x v="3"/>
    <x v="0"/>
    <d v="2020-03-27T00:00:00"/>
    <x v="1"/>
    <n v="49"/>
    <n v="120"/>
    <n v="110"/>
    <n v="3602"/>
    <n v="175"/>
  </r>
  <r>
    <x v="3"/>
    <x v="0"/>
    <d v="2020-03-27T00:00:00"/>
    <x v="1"/>
    <n v="45"/>
    <n v="120"/>
    <n v="110"/>
    <n v="3603"/>
    <n v="165"/>
  </r>
  <r>
    <x v="3"/>
    <x v="0"/>
    <d v="2020-03-30T00:00:00"/>
    <x v="1"/>
    <n v="50"/>
    <n v="120"/>
    <n v="110"/>
    <n v="3607"/>
    <n v="182"/>
  </r>
  <r>
    <x v="3"/>
    <x v="0"/>
    <d v="2020-03-30T00:00:00"/>
    <x v="1"/>
    <n v="39"/>
    <n v="120"/>
    <n v="110"/>
    <n v="3609"/>
    <n v="182"/>
  </r>
  <r>
    <x v="3"/>
    <x v="0"/>
    <d v="2020-03-30T00:00:00"/>
    <x v="0"/>
    <n v="40"/>
    <n v="110"/>
    <n v="108"/>
    <n v="3608"/>
    <n v="140"/>
  </r>
  <r>
    <x v="3"/>
    <x v="0"/>
    <d v="2020-03-30T00:00:00"/>
    <x v="1"/>
    <n v="45"/>
    <n v="120"/>
    <n v="110"/>
    <n v="3605"/>
    <n v="165"/>
  </r>
  <r>
    <x v="3"/>
    <x v="0"/>
    <d v="2020-03-30T00:00:00"/>
    <x v="1"/>
    <n v="42"/>
    <n v="120"/>
    <n v="110"/>
    <n v="3604"/>
    <n v="148"/>
  </r>
  <r>
    <x v="3"/>
    <x v="0"/>
    <d v="2020-03-30T00:00:00"/>
    <x v="1"/>
    <n v="42"/>
    <n v="120"/>
    <n v="110"/>
    <n v="3606"/>
    <n v="150"/>
  </r>
  <r>
    <x v="3"/>
    <x v="0"/>
    <d v="2020-03-31T00:00:00"/>
    <x v="0"/>
    <n v="59"/>
    <n v="110"/>
    <n v="108"/>
    <n v="3611"/>
    <n v="207"/>
  </r>
  <r>
    <x v="3"/>
    <x v="0"/>
    <d v="2020-03-31T00:00:00"/>
    <x v="0"/>
    <n v="35"/>
    <n v="110"/>
    <n v="108"/>
    <n v="3612"/>
    <n v="126"/>
  </r>
  <r>
    <x v="3"/>
    <x v="0"/>
    <d v="2020-03-31T00:00:00"/>
    <x v="2"/>
    <n v="30"/>
    <n v="135"/>
    <n v="117"/>
    <n v="3613"/>
    <n v="106"/>
  </r>
  <r>
    <x v="3"/>
    <x v="0"/>
    <d v="2020-03-31T00:00:00"/>
    <x v="1"/>
    <n v="59"/>
    <n v="120"/>
    <n v="110"/>
    <n v="3610"/>
    <n v="212"/>
  </r>
  <r>
    <x v="3"/>
    <x v="1"/>
    <d v="2020-04-01T00:00:00"/>
    <x v="2"/>
    <n v="47"/>
    <n v="135"/>
    <n v="117"/>
    <n v="3614"/>
    <n v="174"/>
  </r>
  <r>
    <x v="3"/>
    <x v="1"/>
    <d v="2020-04-02T00:00:00"/>
    <x v="2"/>
    <n v="31"/>
    <n v="135"/>
    <n v="117"/>
    <n v="3616"/>
    <n v="108"/>
  </r>
  <r>
    <x v="3"/>
    <x v="1"/>
    <d v="2020-04-02T00:00:00"/>
    <x v="2"/>
    <n v="50"/>
    <n v="135"/>
    <n v="117"/>
    <n v="3619"/>
    <n v="233"/>
  </r>
  <r>
    <x v="3"/>
    <x v="1"/>
    <d v="2020-04-02T00:00:00"/>
    <x v="1"/>
    <n v="52"/>
    <n v="120"/>
    <n v="110"/>
    <n v="3617"/>
    <n v="183"/>
  </r>
  <r>
    <x v="3"/>
    <x v="1"/>
    <d v="2020-04-02T00:00:00"/>
    <x v="1"/>
    <n v="41"/>
    <n v="120"/>
    <n v="110"/>
    <n v="3615"/>
    <n v="189"/>
  </r>
  <r>
    <x v="3"/>
    <x v="1"/>
    <d v="2020-04-02T00:00:00"/>
    <x v="0"/>
    <n v="52"/>
    <n v="110"/>
    <n v="108"/>
    <n v="3618"/>
    <n v="188"/>
  </r>
  <r>
    <x v="3"/>
    <x v="1"/>
    <d v="2020-04-03T00:00:00"/>
    <x v="2"/>
    <n v="40"/>
    <n v="135"/>
    <n v="117"/>
    <n v="3620"/>
    <n v="143"/>
  </r>
  <r>
    <x v="3"/>
    <x v="1"/>
    <d v="2020-04-03T00:00:00"/>
    <x v="1"/>
    <n v="52"/>
    <n v="120"/>
    <n v="110"/>
    <n v="3621"/>
    <n v="187"/>
  </r>
  <r>
    <x v="3"/>
    <x v="1"/>
    <d v="2020-04-03T00:00:00"/>
    <x v="0"/>
    <n v="37"/>
    <n v="110"/>
    <n v="108"/>
    <n v="3622"/>
    <n v="139"/>
  </r>
  <r>
    <x v="3"/>
    <x v="1"/>
    <d v="2020-04-03T00:00:00"/>
    <x v="1"/>
    <n v="58"/>
    <n v="120"/>
    <n v="110"/>
    <n v="3623"/>
    <n v="201"/>
  </r>
  <r>
    <x v="3"/>
    <x v="1"/>
    <d v="2020-04-06T00:00:00"/>
    <x v="2"/>
    <n v="26"/>
    <n v="135"/>
    <n v="117"/>
    <n v="3625"/>
    <n v="91"/>
  </r>
  <r>
    <x v="3"/>
    <x v="1"/>
    <d v="2020-04-06T00:00:00"/>
    <x v="1"/>
    <n v="56"/>
    <n v="120"/>
    <n v="110"/>
    <n v="3628"/>
    <n v="201"/>
  </r>
  <r>
    <x v="3"/>
    <x v="1"/>
    <d v="2020-04-06T00:00:00"/>
    <x v="2"/>
    <n v="26"/>
    <n v="135"/>
    <n v="117"/>
    <n v="3629"/>
    <n v="97"/>
  </r>
  <r>
    <x v="3"/>
    <x v="1"/>
    <d v="2020-04-06T00:00:00"/>
    <x v="0"/>
    <n v="50"/>
    <n v="110"/>
    <n v="108"/>
    <n v="3624"/>
    <n v="182"/>
  </r>
  <r>
    <x v="3"/>
    <x v="1"/>
    <d v="2020-04-06T00:00:00"/>
    <x v="0"/>
    <n v="49"/>
    <n v="110"/>
    <n v="108"/>
    <n v="3627"/>
    <n v="175"/>
  </r>
  <r>
    <x v="3"/>
    <x v="1"/>
    <d v="2020-04-06T00:00:00"/>
    <x v="0"/>
    <n v="39"/>
    <n v="110"/>
    <n v="108"/>
    <n v="3626"/>
    <n v="136"/>
  </r>
  <r>
    <x v="3"/>
    <x v="1"/>
    <d v="2020-04-07T00:00:00"/>
    <x v="2"/>
    <n v="48"/>
    <n v="135"/>
    <n v="117"/>
    <n v="3630"/>
    <n v="174"/>
  </r>
  <r>
    <x v="3"/>
    <x v="1"/>
    <d v="2020-04-08T00:00:00"/>
    <x v="1"/>
    <n v="48"/>
    <n v="120"/>
    <n v="110"/>
    <n v="3631"/>
    <n v="222"/>
  </r>
  <r>
    <x v="3"/>
    <x v="1"/>
    <d v="2020-04-08T00:00:00"/>
    <x v="0"/>
    <n v="31"/>
    <n v="110"/>
    <n v="108"/>
    <n v="3632"/>
    <n v="112"/>
  </r>
  <r>
    <x v="3"/>
    <x v="1"/>
    <d v="2020-04-08T00:00:00"/>
    <x v="0"/>
    <n v="48"/>
    <n v="110"/>
    <n v="108"/>
    <n v="3633"/>
    <n v="175"/>
  </r>
  <r>
    <x v="3"/>
    <x v="1"/>
    <d v="2020-04-08T00:00:00"/>
    <x v="1"/>
    <n v="40"/>
    <n v="120"/>
    <n v="110"/>
    <n v="3634"/>
    <n v="137"/>
  </r>
  <r>
    <x v="3"/>
    <x v="1"/>
    <d v="2020-04-09T00:00:00"/>
    <x v="1"/>
    <n v="46"/>
    <n v="120"/>
    <n v="110"/>
    <n v="3635"/>
    <n v="166"/>
  </r>
  <r>
    <x v="3"/>
    <x v="1"/>
    <d v="2020-04-09T00:00:00"/>
    <x v="0"/>
    <n v="47"/>
    <n v="110"/>
    <n v="108"/>
    <n v="3636"/>
    <n v="220"/>
  </r>
  <r>
    <x v="3"/>
    <x v="1"/>
    <d v="2020-04-09T00:00:00"/>
    <x v="1"/>
    <n v="42"/>
    <n v="120"/>
    <n v="110"/>
    <n v="3637"/>
    <n v="194"/>
  </r>
  <r>
    <x v="3"/>
    <x v="1"/>
    <d v="2020-04-10T00:00:00"/>
    <x v="1"/>
    <n v="56"/>
    <n v="120"/>
    <n v="110"/>
    <n v="3638"/>
    <n v="262"/>
  </r>
  <r>
    <x v="3"/>
    <x v="1"/>
    <d v="2020-04-10T00:00:00"/>
    <x v="1"/>
    <n v="59"/>
    <n v="120"/>
    <n v="110"/>
    <n v="3639"/>
    <n v="226"/>
  </r>
  <r>
    <x v="3"/>
    <x v="1"/>
    <d v="2020-04-10T00:00:00"/>
    <x v="2"/>
    <n v="48"/>
    <n v="135"/>
    <n v="117"/>
    <n v="3640"/>
    <n v="167"/>
  </r>
  <r>
    <x v="3"/>
    <x v="1"/>
    <d v="2020-04-10T00:00:00"/>
    <x v="1"/>
    <n v="47"/>
    <n v="120"/>
    <n v="110"/>
    <n v="3641"/>
    <n v="219"/>
  </r>
  <r>
    <x v="3"/>
    <x v="1"/>
    <d v="2020-04-10T00:00:00"/>
    <x v="1"/>
    <n v="36"/>
    <n v="120"/>
    <n v="110"/>
    <n v="3642"/>
    <n v="128"/>
  </r>
  <r>
    <x v="3"/>
    <x v="1"/>
    <d v="2020-04-10T00:00:00"/>
    <x v="2"/>
    <n v="49"/>
    <n v="135"/>
    <n v="117"/>
    <n v="3643"/>
    <n v="175"/>
  </r>
  <r>
    <x v="3"/>
    <x v="1"/>
    <d v="2020-04-13T00:00:00"/>
    <x v="2"/>
    <n v="41"/>
    <n v="135"/>
    <n v="117"/>
    <n v="3647"/>
    <n v="146"/>
  </r>
  <r>
    <x v="3"/>
    <x v="1"/>
    <d v="2020-04-13T00:00:00"/>
    <x v="0"/>
    <n v="29"/>
    <n v="110"/>
    <n v="108"/>
    <n v="3648"/>
    <n v="106"/>
  </r>
  <r>
    <x v="3"/>
    <x v="1"/>
    <d v="2020-04-13T00:00:00"/>
    <x v="2"/>
    <n v="30"/>
    <n v="135"/>
    <n v="117"/>
    <n v="3646"/>
    <n v="108"/>
  </r>
  <r>
    <x v="3"/>
    <x v="1"/>
    <d v="2020-04-13T00:00:00"/>
    <x v="2"/>
    <n v="28"/>
    <n v="135"/>
    <n v="117"/>
    <n v="3644"/>
    <n v="102"/>
  </r>
  <r>
    <x v="3"/>
    <x v="1"/>
    <d v="2020-04-13T00:00:00"/>
    <x v="1"/>
    <n v="52"/>
    <n v="120"/>
    <n v="110"/>
    <n v="3645"/>
    <n v="189"/>
  </r>
  <r>
    <x v="3"/>
    <x v="1"/>
    <d v="2020-04-14T00:00:00"/>
    <x v="0"/>
    <n v="40"/>
    <n v="110"/>
    <n v="108"/>
    <n v="3653"/>
    <n v="139"/>
  </r>
  <r>
    <x v="3"/>
    <x v="1"/>
    <d v="2020-04-14T00:00:00"/>
    <x v="0"/>
    <n v="34"/>
    <n v="110"/>
    <n v="108"/>
    <n v="3654"/>
    <n v="130"/>
  </r>
  <r>
    <x v="3"/>
    <x v="1"/>
    <d v="2020-04-14T00:00:00"/>
    <x v="1"/>
    <n v="60"/>
    <n v="120"/>
    <n v="110"/>
    <n v="3652"/>
    <n v="278"/>
  </r>
  <r>
    <x v="3"/>
    <x v="1"/>
    <d v="2020-04-14T00:00:00"/>
    <x v="2"/>
    <n v="46"/>
    <n v="135"/>
    <n v="117"/>
    <n v="3651"/>
    <n v="160"/>
  </r>
  <r>
    <x v="3"/>
    <x v="1"/>
    <d v="2020-04-14T00:00:00"/>
    <x v="0"/>
    <n v="41"/>
    <n v="110"/>
    <n v="108"/>
    <n v="3650"/>
    <n v="145"/>
  </r>
  <r>
    <x v="3"/>
    <x v="1"/>
    <d v="2020-04-14T00:00:00"/>
    <x v="2"/>
    <n v="24"/>
    <n v="135"/>
    <n v="117"/>
    <n v="3649"/>
    <n v="83"/>
  </r>
  <r>
    <x v="3"/>
    <x v="1"/>
    <d v="2020-04-16T00:00:00"/>
    <x v="0"/>
    <n v="45"/>
    <n v="110"/>
    <n v="108"/>
    <n v="3656"/>
    <n v="163"/>
  </r>
  <r>
    <x v="3"/>
    <x v="1"/>
    <d v="2020-04-16T00:00:00"/>
    <x v="1"/>
    <n v="46"/>
    <n v="120"/>
    <n v="110"/>
    <n v="3655"/>
    <n v="169"/>
  </r>
  <r>
    <x v="3"/>
    <x v="1"/>
    <d v="2020-04-17T00:00:00"/>
    <x v="2"/>
    <n v="28"/>
    <n v="135"/>
    <n v="117"/>
    <n v="3657"/>
    <n v="102"/>
  </r>
  <r>
    <x v="3"/>
    <x v="1"/>
    <d v="2020-04-17T00:00:00"/>
    <x v="0"/>
    <n v="45"/>
    <n v="110"/>
    <n v="108"/>
    <n v="3658"/>
    <n v="161"/>
  </r>
  <r>
    <x v="3"/>
    <x v="1"/>
    <d v="2020-04-17T00:00:00"/>
    <x v="2"/>
    <n v="33"/>
    <n v="135"/>
    <n v="117"/>
    <n v="3659"/>
    <n v="152"/>
  </r>
  <r>
    <x v="3"/>
    <x v="1"/>
    <d v="2020-04-20T00:00:00"/>
    <x v="2"/>
    <n v="36"/>
    <n v="135"/>
    <n v="117"/>
    <n v="3663"/>
    <n v="127"/>
  </r>
  <r>
    <x v="3"/>
    <x v="1"/>
    <d v="2020-04-20T00:00:00"/>
    <x v="2"/>
    <n v="25"/>
    <n v="135"/>
    <n v="117"/>
    <n v="3664"/>
    <n v="117"/>
  </r>
  <r>
    <x v="3"/>
    <x v="1"/>
    <d v="2020-04-20T00:00:00"/>
    <x v="0"/>
    <n v="31"/>
    <n v="110"/>
    <n v="108"/>
    <n v="3661"/>
    <n v="108"/>
  </r>
  <r>
    <x v="3"/>
    <x v="1"/>
    <d v="2020-04-20T00:00:00"/>
    <x v="0"/>
    <n v="38"/>
    <n v="110"/>
    <n v="108"/>
    <n v="3660"/>
    <n v="134"/>
  </r>
  <r>
    <x v="3"/>
    <x v="1"/>
    <d v="2020-04-20T00:00:00"/>
    <x v="2"/>
    <n v="29"/>
    <n v="135"/>
    <n v="117"/>
    <n v="3662"/>
    <n v="106"/>
  </r>
  <r>
    <x v="3"/>
    <x v="1"/>
    <d v="2020-04-21T00:00:00"/>
    <x v="2"/>
    <n v="42"/>
    <n v="135"/>
    <n v="117"/>
    <n v="3665"/>
    <n v="150"/>
  </r>
  <r>
    <x v="3"/>
    <x v="1"/>
    <d v="2020-04-21T00:00:00"/>
    <x v="0"/>
    <n v="39"/>
    <n v="110"/>
    <n v="108"/>
    <n v="3666"/>
    <n v="180"/>
  </r>
  <r>
    <x v="3"/>
    <x v="1"/>
    <d v="2020-04-22T00:00:00"/>
    <x v="1"/>
    <n v="34"/>
    <n v="120"/>
    <n v="110"/>
    <n v="3671"/>
    <n v="156"/>
  </r>
  <r>
    <x v="3"/>
    <x v="1"/>
    <d v="2020-04-22T00:00:00"/>
    <x v="1"/>
    <n v="55"/>
    <n v="120"/>
    <n v="110"/>
    <n v="3672"/>
    <n v="197"/>
  </r>
  <r>
    <x v="3"/>
    <x v="1"/>
    <d v="2020-04-22T00:00:00"/>
    <x v="2"/>
    <n v="34"/>
    <n v="135"/>
    <n v="117"/>
    <n v="3670"/>
    <n v="120"/>
  </r>
  <r>
    <x v="3"/>
    <x v="1"/>
    <d v="2020-04-22T00:00:00"/>
    <x v="1"/>
    <n v="50"/>
    <n v="120"/>
    <n v="110"/>
    <n v="3669"/>
    <n v="184"/>
  </r>
  <r>
    <x v="3"/>
    <x v="1"/>
    <d v="2020-04-22T00:00:00"/>
    <x v="1"/>
    <n v="45"/>
    <n v="120"/>
    <n v="110"/>
    <n v="3668"/>
    <n v="155"/>
  </r>
  <r>
    <x v="3"/>
    <x v="1"/>
    <d v="2020-04-22T00:00:00"/>
    <x v="2"/>
    <n v="43"/>
    <n v="135"/>
    <n v="117"/>
    <n v="3667"/>
    <n v="153"/>
  </r>
  <r>
    <x v="3"/>
    <x v="1"/>
    <d v="2020-04-23T00:00:00"/>
    <x v="1"/>
    <n v="58"/>
    <n v="120"/>
    <n v="110"/>
    <n v="3673"/>
    <n v="197"/>
  </r>
  <r>
    <x v="3"/>
    <x v="1"/>
    <d v="2020-04-24T00:00:00"/>
    <x v="1"/>
    <n v="37"/>
    <n v="120"/>
    <n v="110"/>
    <n v="3674"/>
    <n v="131"/>
  </r>
  <r>
    <x v="3"/>
    <x v="1"/>
    <d v="2020-04-24T00:00:00"/>
    <x v="0"/>
    <n v="38"/>
    <n v="110"/>
    <n v="108"/>
    <n v="3675"/>
    <n v="132"/>
  </r>
  <r>
    <x v="3"/>
    <x v="1"/>
    <d v="2020-04-24T00:00:00"/>
    <x v="2"/>
    <n v="25"/>
    <n v="135"/>
    <n v="117"/>
    <n v="3676"/>
    <n v="89"/>
  </r>
  <r>
    <x v="3"/>
    <x v="1"/>
    <d v="2020-04-27T00:00:00"/>
    <x v="1"/>
    <n v="41"/>
    <n v="120"/>
    <n v="110"/>
    <n v="3681"/>
    <n v="144"/>
  </r>
  <r>
    <x v="3"/>
    <x v="1"/>
    <d v="2020-04-27T00:00:00"/>
    <x v="0"/>
    <n v="51"/>
    <n v="110"/>
    <n v="108"/>
    <n v="3677"/>
    <n v="185"/>
  </r>
  <r>
    <x v="3"/>
    <x v="1"/>
    <d v="2020-04-27T00:00:00"/>
    <x v="1"/>
    <n v="35"/>
    <n v="120"/>
    <n v="110"/>
    <n v="3678"/>
    <n v="121"/>
  </r>
  <r>
    <x v="3"/>
    <x v="1"/>
    <d v="2020-04-27T00:00:00"/>
    <x v="1"/>
    <n v="49"/>
    <n v="120"/>
    <n v="110"/>
    <n v="3679"/>
    <n v="177"/>
  </r>
  <r>
    <x v="3"/>
    <x v="1"/>
    <d v="2020-04-27T00:00:00"/>
    <x v="2"/>
    <n v="26"/>
    <n v="135"/>
    <n v="117"/>
    <n v="3680"/>
    <n v="95"/>
  </r>
  <r>
    <x v="3"/>
    <x v="1"/>
    <d v="2020-04-29T00:00:00"/>
    <x v="2"/>
    <n v="45"/>
    <n v="135"/>
    <n v="117"/>
    <n v="3682"/>
    <n v="160"/>
  </r>
  <r>
    <x v="3"/>
    <x v="1"/>
    <d v="2020-04-30T00:00:00"/>
    <x v="1"/>
    <n v="50"/>
    <n v="120"/>
    <n v="110"/>
    <n v="3683"/>
    <n v="172"/>
  </r>
  <r>
    <x v="3"/>
    <x v="1"/>
    <d v="2020-04-30T00:00:00"/>
    <x v="1"/>
    <n v="47"/>
    <n v="120"/>
    <n v="110"/>
    <n v="3684"/>
    <n v="168"/>
  </r>
  <r>
    <x v="3"/>
    <x v="1"/>
    <d v="2020-04-30T00:00:00"/>
    <x v="1"/>
    <n v="43"/>
    <n v="120"/>
    <n v="110"/>
    <n v="3685"/>
    <n v="148"/>
  </r>
  <r>
    <x v="3"/>
    <x v="1"/>
    <d v="2020-04-30T00:00:00"/>
    <x v="0"/>
    <n v="34"/>
    <n v="110"/>
    <n v="108"/>
    <n v="3686"/>
    <n v="120"/>
  </r>
  <r>
    <x v="3"/>
    <x v="1"/>
    <d v="2020-05-01T00:00:00"/>
    <x v="1"/>
    <n v="36"/>
    <n v="120"/>
    <n v="110"/>
    <n v="3687"/>
    <n v="128"/>
  </r>
  <r>
    <x v="3"/>
    <x v="1"/>
    <d v="2020-05-01T00:00:00"/>
    <x v="1"/>
    <n v="52"/>
    <n v="120"/>
    <n v="110"/>
    <n v="3688"/>
    <n v="197"/>
  </r>
  <r>
    <x v="3"/>
    <x v="1"/>
    <d v="2020-05-04T00:00:00"/>
    <x v="1"/>
    <n v="45"/>
    <n v="120"/>
    <n v="110"/>
    <n v="3689"/>
    <n v="169"/>
  </r>
  <r>
    <x v="3"/>
    <x v="1"/>
    <d v="2020-05-05T00:00:00"/>
    <x v="1"/>
    <n v="34"/>
    <n v="120"/>
    <n v="110"/>
    <n v="3690"/>
    <n v="120"/>
  </r>
  <r>
    <x v="3"/>
    <x v="1"/>
    <d v="2020-05-05T00:00:00"/>
    <x v="1"/>
    <n v="57"/>
    <n v="120"/>
    <n v="110"/>
    <n v="3693"/>
    <n v="200"/>
  </r>
  <r>
    <x v="3"/>
    <x v="1"/>
    <d v="2020-05-05T00:00:00"/>
    <x v="1"/>
    <n v="49"/>
    <n v="120"/>
    <n v="110"/>
    <n v="3691"/>
    <n v="189"/>
  </r>
  <r>
    <x v="3"/>
    <x v="1"/>
    <d v="2020-05-05T00:00:00"/>
    <x v="0"/>
    <n v="54"/>
    <n v="110"/>
    <n v="108"/>
    <n v="3692"/>
    <n v="198"/>
  </r>
  <r>
    <x v="3"/>
    <x v="1"/>
    <d v="2020-05-06T00:00:00"/>
    <x v="2"/>
    <n v="48"/>
    <n v="135"/>
    <n v="117"/>
    <n v="3694"/>
    <n v="170"/>
  </r>
  <r>
    <x v="3"/>
    <x v="1"/>
    <d v="2020-05-06T00:00:00"/>
    <x v="0"/>
    <n v="34"/>
    <n v="110"/>
    <n v="108"/>
    <n v="3695"/>
    <n v="119"/>
  </r>
  <r>
    <x v="3"/>
    <x v="1"/>
    <d v="2020-05-06T00:00:00"/>
    <x v="2"/>
    <n v="39"/>
    <n v="135"/>
    <n v="117"/>
    <n v="3696"/>
    <n v="136"/>
  </r>
  <r>
    <x v="3"/>
    <x v="1"/>
    <d v="2020-05-06T00:00:00"/>
    <x v="0"/>
    <n v="31"/>
    <n v="110"/>
    <n v="108"/>
    <n v="3697"/>
    <n v="114"/>
  </r>
  <r>
    <x v="3"/>
    <x v="1"/>
    <d v="2020-05-07T00:00:00"/>
    <x v="1"/>
    <n v="51"/>
    <n v="120"/>
    <n v="110"/>
    <n v="3699"/>
    <n v="186"/>
  </r>
  <r>
    <x v="3"/>
    <x v="1"/>
    <d v="2020-05-07T00:00:00"/>
    <x v="2"/>
    <n v="44"/>
    <n v="135"/>
    <n v="117"/>
    <n v="3700"/>
    <n v="160"/>
  </r>
  <r>
    <x v="3"/>
    <x v="1"/>
    <d v="2020-05-07T00:00:00"/>
    <x v="1"/>
    <n v="57"/>
    <n v="120"/>
    <n v="110"/>
    <n v="3698"/>
    <n v="209"/>
  </r>
  <r>
    <x v="3"/>
    <x v="1"/>
    <d v="2020-05-08T00:00:00"/>
    <x v="1"/>
    <n v="45"/>
    <n v="120"/>
    <n v="110"/>
    <n v="3701"/>
    <n v="165"/>
  </r>
  <r>
    <x v="3"/>
    <x v="1"/>
    <d v="2020-05-08T00:00:00"/>
    <x v="2"/>
    <n v="26"/>
    <n v="135"/>
    <n v="117"/>
    <n v="3702"/>
    <n v="92"/>
  </r>
  <r>
    <x v="3"/>
    <x v="1"/>
    <d v="2020-05-08T00:00:00"/>
    <x v="1"/>
    <n v="39"/>
    <n v="120"/>
    <n v="110"/>
    <n v="3703"/>
    <n v="140"/>
  </r>
  <r>
    <x v="3"/>
    <x v="1"/>
    <d v="2020-05-08T00:00:00"/>
    <x v="1"/>
    <n v="39"/>
    <n v="120"/>
    <n v="110"/>
    <n v="3704"/>
    <n v="139"/>
  </r>
  <r>
    <x v="3"/>
    <x v="1"/>
    <d v="2020-05-11T00:00:00"/>
    <x v="2"/>
    <n v="40"/>
    <n v="135"/>
    <n v="117"/>
    <n v="3705"/>
    <n v="147"/>
  </r>
  <r>
    <x v="3"/>
    <x v="1"/>
    <d v="2020-05-11T00:00:00"/>
    <x v="0"/>
    <n v="33"/>
    <n v="110"/>
    <n v="108"/>
    <n v="3706"/>
    <n v="116"/>
  </r>
  <r>
    <x v="3"/>
    <x v="1"/>
    <d v="2020-05-12T00:00:00"/>
    <x v="0"/>
    <n v="30"/>
    <n v="110"/>
    <n v="108"/>
    <n v="3708"/>
    <n v="138"/>
  </r>
  <r>
    <x v="3"/>
    <x v="1"/>
    <d v="2020-05-12T00:00:00"/>
    <x v="2"/>
    <n v="50"/>
    <n v="135"/>
    <n v="117"/>
    <n v="3709"/>
    <n v="230"/>
  </r>
  <r>
    <x v="3"/>
    <x v="1"/>
    <d v="2020-05-12T00:00:00"/>
    <x v="1"/>
    <n v="53"/>
    <n v="120"/>
    <n v="110"/>
    <n v="3707"/>
    <n v="186"/>
  </r>
  <r>
    <x v="3"/>
    <x v="1"/>
    <d v="2020-05-12T00:00:00"/>
    <x v="1"/>
    <n v="39"/>
    <n v="120"/>
    <n v="110"/>
    <n v="3710"/>
    <n v="142"/>
  </r>
  <r>
    <x v="3"/>
    <x v="1"/>
    <d v="2020-05-13T00:00:00"/>
    <x v="0"/>
    <n v="41"/>
    <n v="110"/>
    <n v="108"/>
    <n v="3711"/>
    <n v="148"/>
  </r>
  <r>
    <x v="3"/>
    <x v="1"/>
    <d v="2020-05-13T00:00:00"/>
    <x v="2"/>
    <n v="27"/>
    <n v="135"/>
    <n v="117"/>
    <n v="3712"/>
    <n v="98"/>
  </r>
  <r>
    <x v="3"/>
    <x v="1"/>
    <d v="2020-05-13T00:00:00"/>
    <x v="1"/>
    <n v="50"/>
    <n v="120"/>
    <n v="110"/>
    <n v="3713"/>
    <n v="172"/>
  </r>
  <r>
    <x v="3"/>
    <x v="1"/>
    <d v="2020-05-14T00:00:00"/>
    <x v="2"/>
    <n v="46"/>
    <n v="135"/>
    <n v="117"/>
    <n v="3714"/>
    <n v="158"/>
  </r>
  <r>
    <x v="3"/>
    <x v="1"/>
    <d v="2020-05-14T00:00:00"/>
    <x v="2"/>
    <n v="45"/>
    <n v="135"/>
    <n v="117"/>
    <n v="3715"/>
    <n v="158"/>
  </r>
  <r>
    <x v="3"/>
    <x v="1"/>
    <d v="2020-05-15T00:00:00"/>
    <x v="0"/>
    <n v="47"/>
    <n v="110"/>
    <n v="108"/>
    <n v="3716"/>
    <n v="165"/>
  </r>
  <r>
    <x v="3"/>
    <x v="1"/>
    <d v="2020-05-15T00:00:00"/>
    <x v="0"/>
    <n v="41"/>
    <n v="110"/>
    <n v="108"/>
    <n v="3719"/>
    <n v="146"/>
  </r>
  <r>
    <x v="3"/>
    <x v="1"/>
    <d v="2020-05-15T00:00:00"/>
    <x v="1"/>
    <n v="42"/>
    <n v="120"/>
    <n v="110"/>
    <n v="3718"/>
    <n v="145"/>
  </r>
  <r>
    <x v="3"/>
    <x v="1"/>
    <d v="2020-05-15T00:00:00"/>
    <x v="2"/>
    <n v="50"/>
    <n v="135"/>
    <n v="117"/>
    <n v="3717"/>
    <n v="179"/>
  </r>
  <r>
    <x v="3"/>
    <x v="1"/>
    <d v="2020-05-18T00:00:00"/>
    <x v="1"/>
    <n v="49"/>
    <n v="120"/>
    <n v="110"/>
    <n v="3720"/>
    <n v="174"/>
  </r>
  <r>
    <x v="3"/>
    <x v="1"/>
    <d v="2020-05-18T00:00:00"/>
    <x v="2"/>
    <n v="25"/>
    <n v="135"/>
    <n v="117"/>
    <n v="3721"/>
    <n v="117"/>
  </r>
  <r>
    <x v="3"/>
    <x v="1"/>
    <d v="2020-05-18T00:00:00"/>
    <x v="1"/>
    <n v="43"/>
    <n v="120"/>
    <n v="110"/>
    <n v="3722"/>
    <n v="198"/>
  </r>
  <r>
    <x v="3"/>
    <x v="1"/>
    <d v="2020-05-18T00:00:00"/>
    <x v="2"/>
    <n v="48"/>
    <n v="135"/>
    <n v="117"/>
    <n v="3723"/>
    <n v="174"/>
  </r>
  <r>
    <x v="3"/>
    <x v="1"/>
    <d v="2020-05-18T00:00:00"/>
    <x v="1"/>
    <n v="48"/>
    <n v="120"/>
    <n v="110"/>
    <n v="3724"/>
    <n v="168"/>
  </r>
  <r>
    <x v="3"/>
    <x v="1"/>
    <d v="2020-05-18T00:00:00"/>
    <x v="2"/>
    <n v="46"/>
    <n v="135"/>
    <n v="117"/>
    <n v="3725"/>
    <n v="166"/>
  </r>
  <r>
    <x v="3"/>
    <x v="1"/>
    <d v="2020-05-19T00:00:00"/>
    <x v="2"/>
    <n v="41"/>
    <n v="135"/>
    <n v="117"/>
    <n v="3727"/>
    <n v="148"/>
  </r>
  <r>
    <x v="3"/>
    <x v="1"/>
    <d v="2020-05-19T00:00:00"/>
    <x v="2"/>
    <n v="43"/>
    <n v="135"/>
    <n v="117"/>
    <n v="3728"/>
    <n v="149"/>
  </r>
  <r>
    <x v="3"/>
    <x v="1"/>
    <d v="2020-05-19T00:00:00"/>
    <x v="2"/>
    <n v="33"/>
    <n v="135"/>
    <n v="117"/>
    <n v="3726"/>
    <n v="120"/>
  </r>
  <r>
    <x v="3"/>
    <x v="1"/>
    <d v="2020-05-21T00:00:00"/>
    <x v="0"/>
    <n v="40"/>
    <n v="110"/>
    <n v="108"/>
    <n v="3730"/>
    <n v="147"/>
  </r>
  <r>
    <x v="3"/>
    <x v="1"/>
    <d v="2020-05-21T00:00:00"/>
    <x v="2"/>
    <n v="29"/>
    <n v="135"/>
    <n v="117"/>
    <n v="3731"/>
    <n v="107"/>
  </r>
  <r>
    <x v="3"/>
    <x v="1"/>
    <d v="2020-05-21T00:00:00"/>
    <x v="2"/>
    <n v="34"/>
    <n v="135"/>
    <n v="117"/>
    <n v="3729"/>
    <n v="120"/>
  </r>
  <r>
    <x v="3"/>
    <x v="1"/>
    <d v="2020-05-22T00:00:00"/>
    <x v="2"/>
    <n v="27"/>
    <n v="135"/>
    <n v="117"/>
    <n v="3732"/>
    <n v="98"/>
  </r>
  <r>
    <x v="3"/>
    <x v="1"/>
    <d v="2020-05-22T00:00:00"/>
    <x v="1"/>
    <n v="44"/>
    <n v="120"/>
    <n v="110"/>
    <n v="3733"/>
    <n v="157"/>
  </r>
  <r>
    <x v="3"/>
    <x v="1"/>
    <d v="2020-05-22T00:00:00"/>
    <x v="1"/>
    <n v="36"/>
    <n v="120"/>
    <n v="110"/>
    <n v="3734"/>
    <n v="130"/>
  </r>
  <r>
    <x v="3"/>
    <x v="1"/>
    <d v="2020-05-25T00:00:00"/>
    <x v="1"/>
    <n v="59"/>
    <n v="120"/>
    <n v="110"/>
    <n v="3736"/>
    <n v="221"/>
  </r>
  <r>
    <x v="3"/>
    <x v="1"/>
    <d v="2020-05-25T00:00:00"/>
    <x v="1"/>
    <n v="56"/>
    <n v="120"/>
    <n v="110"/>
    <n v="3735"/>
    <n v="194"/>
  </r>
  <r>
    <x v="3"/>
    <x v="1"/>
    <d v="2020-05-26T00:00:00"/>
    <x v="0"/>
    <n v="36"/>
    <n v="110"/>
    <n v="108"/>
    <n v="3739"/>
    <n v="131"/>
  </r>
  <r>
    <x v="3"/>
    <x v="1"/>
    <d v="2020-05-26T00:00:00"/>
    <x v="1"/>
    <n v="37"/>
    <n v="120"/>
    <n v="110"/>
    <n v="3740"/>
    <n v="128"/>
  </r>
  <r>
    <x v="3"/>
    <x v="1"/>
    <d v="2020-05-26T00:00:00"/>
    <x v="2"/>
    <n v="28"/>
    <n v="135"/>
    <n v="117"/>
    <n v="3737"/>
    <n v="97"/>
  </r>
  <r>
    <x v="3"/>
    <x v="1"/>
    <d v="2020-05-26T00:00:00"/>
    <x v="0"/>
    <n v="36"/>
    <n v="110"/>
    <n v="108"/>
    <n v="3738"/>
    <n v="130"/>
  </r>
  <r>
    <x v="3"/>
    <x v="1"/>
    <d v="2020-05-27T00:00:00"/>
    <x v="2"/>
    <n v="49"/>
    <n v="135"/>
    <n v="117"/>
    <n v="3741"/>
    <n v="227"/>
  </r>
  <r>
    <x v="3"/>
    <x v="1"/>
    <d v="2020-05-27T00:00:00"/>
    <x v="2"/>
    <n v="48"/>
    <n v="135"/>
    <n v="117"/>
    <n v="3742"/>
    <n v="166"/>
  </r>
  <r>
    <x v="3"/>
    <x v="1"/>
    <d v="2020-05-27T00:00:00"/>
    <x v="1"/>
    <n v="44"/>
    <n v="120"/>
    <n v="110"/>
    <n v="3743"/>
    <n v="161"/>
  </r>
  <r>
    <x v="3"/>
    <x v="1"/>
    <d v="2020-05-27T00:00:00"/>
    <x v="1"/>
    <n v="52"/>
    <n v="120"/>
    <n v="110"/>
    <n v="3744"/>
    <n v="186"/>
  </r>
  <r>
    <x v="3"/>
    <x v="1"/>
    <d v="2020-05-27T00:00:00"/>
    <x v="1"/>
    <n v="34"/>
    <n v="120"/>
    <n v="110"/>
    <n v="3745"/>
    <n v="118"/>
  </r>
  <r>
    <x v="3"/>
    <x v="1"/>
    <d v="2020-05-28T00:00:00"/>
    <x v="2"/>
    <n v="39"/>
    <n v="135"/>
    <n v="117"/>
    <n v="3746"/>
    <n v="138"/>
  </r>
  <r>
    <x v="3"/>
    <x v="1"/>
    <d v="2020-05-28T00:00:00"/>
    <x v="0"/>
    <n v="46"/>
    <n v="110"/>
    <n v="108"/>
    <n v="3750"/>
    <n v="212"/>
  </r>
  <r>
    <x v="3"/>
    <x v="1"/>
    <d v="2020-05-28T00:00:00"/>
    <x v="0"/>
    <n v="34"/>
    <n v="110"/>
    <n v="108"/>
    <n v="3749"/>
    <n v="156"/>
  </r>
  <r>
    <x v="3"/>
    <x v="1"/>
    <d v="2020-05-28T00:00:00"/>
    <x v="0"/>
    <n v="37"/>
    <n v="110"/>
    <n v="108"/>
    <n v="3747"/>
    <n v="173"/>
  </r>
  <r>
    <x v="3"/>
    <x v="1"/>
    <d v="2020-05-28T00:00:00"/>
    <x v="1"/>
    <n v="36"/>
    <n v="120"/>
    <n v="110"/>
    <n v="3748"/>
    <n v="133"/>
  </r>
  <r>
    <x v="3"/>
    <x v="1"/>
    <d v="2020-05-29T00:00:00"/>
    <x v="1"/>
    <n v="39"/>
    <n v="120"/>
    <n v="110"/>
    <n v="3751"/>
    <n v="141"/>
  </r>
  <r>
    <x v="3"/>
    <x v="1"/>
    <d v="2020-05-29T00:00:00"/>
    <x v="0"/>
    <n v="29"/>
    <n v="110"/>
    <n v="108"/>
    <n v="3752"/>
    <n v="101"/>
  </r>
  <r>
    <x v="3"/>
    <x v="1"/>
    <d v="2020-06-01T00:00:00"/>
    <x v="0"/>
    <n v="37"/>
    <n v="110"/>
    <n v="108"/>
    <n v="3756"/>
    <n v="131"/>
  </r>
  <r>
    <x v="3"/>
    <x v="1"/>
    <d v="2020-06-01T00:00:00"/>
    <x v="2"/>
    <n v="37"/>
    <n v="135"/>
    <n v="117"/>
    <n v="3757"/>
    <n v="174"/>
  </r>
  <r>
    <x v="3"/>
    <x v="1"/>
    <d v="2020-06-01T00:00:00"/>
    <x v="0"/>
    <n v="33"/>
    <n v="110"/>
    <n v="108"/>
    <n v="3758"/>
    <n v="117"/>
  </r>
  <r>
    <x v="3"/>
    <x v="1"/>
    <d v="2020-06-01T00:00:00"/>
    <x v="1"/>
    <n v="49"/>
    <n v="120"/>
    <n v="110"/>
    <n v="3753"/>
    <n v="225"/>
  </r>
  <r>
    <x v="3"/>
    <x v="1"/>
    <d v="2020-06-01T00:00:00"/>
    <x v="1"/>
    <n v="35"/>
    <n v="120"/>
    <n v="110"/>
    <n v="3754"/>
    <n v="162"/>
  </r>
  <r>
    <x v="3"/>
    <x v="1"/>
    <d v="2020-06-01T00:00:00"/>
    <x v="2"/>
    <n v="48"/>
    <n v="135"/>
    <n v="117"/>
    <n v="3755"/>
    <n v="222"/>
  </r>
  <r>
    <x v="3"/>
    <x v="1"/>
    <d v="2020-06-03T00:00:00"/>
    <x v="1"/>
    <n v="60"/>
    <n v="120"/>
    <n v="110"/>
    <n v="3759"/>
    <n v="208"/>
  </r>
  <r>
    <x v="3"/>
    <x v="1"/>
    <d v="2020-06-03T00:00:00"/>
    <x v="0"/>
    <n v="39"/>
    <n v="110"/>
    <n v="108"/>
    <n v="3760"/>
    <n v="138"/>
  </r>
  <r>
    <x v="3"/>
    <x v="1"/>
    <d v="2020-06-03T00:00:00"/>
    <x v="1"/>
    <n v="49"/>
    <n v="120"/>
    <n v="110"/>
    <n v="3761"/>
    <n v="174"/>
  </r>
  <r>
    <x v="3"/>
    <x v="1"/>
    <d v="2020-06-04T00:00:00"/>
    <x v="1"/>
    <n v="53"/>
    <n v="120"/>
    <n v="110"/>
    <n v="3763"/>
    <n v="193"/>
  </r>
  <r>
    <x v="3"/>
    <x v="1"/>
    <d v="2020-06-04T00:00:00"/>
    <x v="2"/>
    <n v="42"/>
    <n v="135"/>
    <n v="117"/>
    <n v="3762"/>
    <n v="153"/>
  </r>
  <r>
    <x v="3"/>
    <x v="1"/>
    <d v="2020-06-05T00:00:00"/>
    <x v="1"/>
    <n v="59"/>
    <n v="120"/>
    <n v="110"/>
    <n v="3767"/>
    <n v="208"/>
  </r>
  <r>
    <x v="3"/>
    <x v="1"/>
    <d v="2020-06-05T00:00:00"/>
    <x v="1"/>
    <n v="40"/>
    <n v="120"/>
    <n v="110"/>
    <n v="3766"/>
    <n v="143"/>
  </r>
  <r>
    <x v="3"/>
    <x v="1"/>
    <d v="2020-06-05T00:00:00"/>
    <x v="0"/>
    <n v="33"/>
    <n v="110"/>
    <n v="108"/>
    <n v="3764"/>
    <n v="120"/>
  </r>
  <r>
    <x v="3"/>
    <x v="1"/>
    <d v="2020-06-05T00:00:00"/>
    <x v="0"/>
    <n v="35"/>
    <n v="110"/>
    <n v="108"/>
    <n v="3765"/>
    <n v="135"/>
  </r>
  <r>
    <x v="3"/>
    <x v="1"/>
    <d v="2020-06-08T00:00:00"/>
    <x v="2"/>
    <n v="29"/>
    <n v="135"/>
    <n v="117"/>
    <n v="3768"/>
    <n v="103"/>
  </r>
  <r>
    <x v="3"/>
    <x v="1"/>
    <d v="2020-06-09T00:00:00"/>
    <x v="0"/>
    <n v="31"/>
    <n v="110"/>
    <n v="108"/>
    <n v="3771"/>
    <n v="111"/>
  </r>
  <r>
    <x v="3"/>
    <x v="1"/>
    <d v="2020-06-09T00:00:00"/>
    <x v="2"/>
    <n v="49"/>
    <n v="135"/>
    <n v="117"/>
    <n v="3774"/>
    <n v="172"/>
  </r>
  <r>
    <x v="3"/>
    <x v="1"/>
    <d v="2020-06-09T00:00:00"/>
    <x v="1"/>
    <n v="50"/>
    <n v="120"/>
    <n v="110"/>
    <n v="3772"/>
    <n v="184"/>
  </r>
  <r>
    <x v="3"/>
    <x v="1"/>
    <d v="2020-06-09T00:00:00"/>
    <x v="2"/>
    <n v="26"/>
    <n v="135"/>
    <n v="117"/>
    <n v="3769"/>
    <n v="91"/>
  </r>
  <r>
    <x v="3"/>
    <x v="1"/>
    <d v="2020-06-09T00:00:00"/>
    <x v="0"/>
    <n v="45"/>
    <n v="110"/>
    <n v="108"/>
    <n v="3773"/>
    <n v="161"/>
  </r>
  <r>
    <x v="3"/>
    <x v="1"/>
    <d v="2020-06-09T00:00:00"/>
    <x v="2"/>
    <n v="25"/>
    <n v="135"/>
    <n v="117"/>
    <n v="3770"/>
    <n v="90"/>
  </r>
  <r>
    <x v="3"/>
    <x v="1"/>
    <d v="2020-06-10T00:00:00"/>
    <x v="1"/>
    <n v="38"/>
    <n v="120"/>
    <n v="110"/>
    <n v="3775"/>
    <n v="132"/>
  </r>
  <r>
    <x v="3"/>
    <x v="1"/>
    <d v="2020-06-11T00:00:00"/>
    <x v="1"/>
    <n v="41"/>
    <n v="120"/>
    <n v="110"/>
    <n v="3776"/>
    <n v="141"/>
  </r>
  <r>
    <x v="3"/>
    <x v="1"/>
    <d v="2020-06-11T00:00:00"/>
    <x v="1"/>
    <n v="37"/>
    <n v="120"/>
    <n v="110"/>
    <n v="3777"/>
    <n v="131"/>
  </r>
  <r>
    <x v="3"/>
    <x v="1"/>
    <d v="2020-06-11T00:00:00"/>
    <x v="2"/>
    <n v="27"/>
    <n v="135"/>
    <n v="117"/>
    <n v="3778"/>
    <n v="98"/>
  </r>
  <r>
    <x v="3"/>
    <x v="1"/>
    <d v="2020-06-15T00:00:00"/>
    <x v="2"/>
    <n v="46"/>
    <n v="135"/>
    <n v="117"/>
    <n v="3779"/>
    <n v="169"/>
  </r>
  <r>
    <x v="3"/>
    <x v="1"/>
    <d v="2020-06-15T00:00:00"/>
    <x v="2"/>
    <n v="35"/>
    <n v="135"/>
    <n v="117"/>
    <n v="3780"/>
    <n v="164"/>
  </r>
  <r>
    <x v="3"/>
    <x v="1"/>
    <d v="2020-06-15T00:00:00"/>
    <x v="0"/>
    <n v="34"/>
    <n v="110"/>
    <n v="108"/>
    <n v="3781"/>
    <n v="124"/>
  </r>
  <r>
    <x v="3"/>
    <x v="1"/>
    <d v="2020-06-16T00:00:00"/>
    <x v="0"/>
    <n v="40"/>
    <n v="110"/>
    <n v="108"/>
    <n v="3782"/>
    <n v="137"/>
  </r>
  <r>
    <x v="3"/>
    <x v="1"/>
    <d v="2020-06-16T00:00:00"/>
    <x v="0"/>
    <n v="32"/>
    <n v="110"/>
    <n v="108"/>
    <n v="3783"/>
    <n v="148"/>
  </r>
  <r>
    <x v="3"/>
    <x v="1"/>
    <d v="2020-06-16T00:00:00"/>
    <x v="1"/>
    <n v="49"/>
    <n v="120"/>
    <n v="110"/>
    <n v="3784"/>
    <n v="169"/>
  </r>
  <r>
    <x v="3"/>
    <x v="1"/>
    <d v="2020-06-16T00:00:00"/>
    <x v="1"/>
    <n v="57"/>
    <n v="120"/>
    <n v="110"/>
    <n v="3785"/>
    <n v="207"/>
  </r>
  <r>
    <x v="3"/>
    <x v="1"/>
    <d v="2020-06-17T00:00:00"/>
    <x v="0"/>
    <n v="29"/>
    <n v="110"/>
    <n v="108"/>
    <n v="3786"/>
    <n v="105"/>
  </r>
  <r>
    <x v="3"/>
    <x v="1"/>
    <d v="2020-06-18T00:00:00"/>
    <x v="0"/>
    <n v="32"/>
    <n v="110"/>
    <n v="108"/>
    <n v="3790"/>
    <n v="116"/>
  </r>
  <r>
    <x v="3"/>
    <x v="1"/>
    <d v="2020-06-18T00:00:00"/>
    <x v="0"/>
    <n v="31"/>
    <n v="110"/>
    <n v="108"/>
    <n v="3789"/>
    <n v="114"/>
  </r>
  <r>
    <x v="3"/>
    <x v="1"/>
    <d v="2020-06-18T00:00:00"/>
    <x v="0"/>
    <n v="49"/>
    <n v="110"/>
    <n v="108"/>
    <n v="3788"/>
    <n v="169"/>
  </r>
  <r>
    <x v="3"/>
    <x v="1"/>
    <d v="2020-06-18T00:00:00"/>
    <x v="1"/>
    <n v="39"/>
    <n v="120"/>
    <n v="110"/>
    <n v="3787"/>
    <n v="179"/>
  </r>
  <r>
    <x v="3"/>
    <x v="1"/>
    <d v="2020-06-18T00:00:00"/>
    <x v="2"/>
    <n v="32"/>
    <n v="135"/>
    <n v="117"/>
    <n v="3791"/>
    <n v="110"/>
  </r>
  <r>
    <x v="3"/>
    <x v="1"/>
    <d v="2020-06-22T00:00:00"/>
    <x v="2"/>
    <n v="28"/>
    <n v="135"/>
    <n v="117"/>
    <n v="3792"/>
    <n v="97"/>
  </r>
  <r>
    <x v="3"/>
    <x v="1"/>
    <d v="2020-06-22T00:00:00"/>
    <x v="1"/>
    <n v="43"/>
    <n v="120"/>
    <n v="110"/>
    <n v="3793"/>
    <n v="202"/>
  </r>
  <r>
    <x v="3"/>
    <x v="1"/>
    <d v="2020-06-22T00:00:00"/>
    <x v="2"/>
    <n v="34"/>
    <n v="135"/>
    <n v="117"/>
    <n v="3794"/>
    <n v="124"/>
  </r>
  <r>
    <x v="3"/>
    <x v="1"/>
    <d v="2020-06-22T00:00:00"/>
    <x v="2"/>
    <n v="38"/>
    <n v="135"/>
    <n v="117"/>
    <n v="3795"/>
    <n v="136"/>
  </r>
  <r>
    <x v="3"/>
    <x v="1"/>
    <d v="2020-06-24T00:00:00"/>
    <x v="2"/>
    <n v="50"/>
    <n v="135"/>
    <n v="117"/>
    <n v="3798"/>
    <n v="179"/>
  </r>
  <r>
    <x v="3"/>
    <x v="1"/>
    <d v="2020-06-24T00:00:00"/>
    <x v="0"/>
    <n v="36"/>
    <n v="110"/>
    <n v="108"/>
    <n v="3801"/>
    <n v="128"/>
  </r>
  <r>
    <x v="3"/>
    <x v="1"/>
    <d v="2020-06-24T00:00:00"/>
    <x v="2"/>
    <n v="48"/>
    <n v="135"/>
    <n v="117"/>
    <n v="3799"/>
    <n v="176"/>
  </r>
  <r>
    <x v="3"/>
    <x v="1"/>
    <d v="2020-06-24T00:00:00"/>
    <x v="2"/>
    <n v="24"/>
    <n v="135"/>
    <n v="117"/>
    <n v="3797"/>
    <n v="84"/>
  </r>
  <r>
    <x v="3"/>
    <x v="1"/>
    <d v="2020-06-24T00:00:00"/>
    <x v="0"/>
    <n v="35"/>
    <n v="110"/>
    <n v="108"/>
    <n v="3796"/>
    <n v="162"/>
  </r>
  <r>
    <x v="3"/>
    <x v="1"/>
    <d v="2020-06-24T00:00:00"/>
    <x v="2"/>
    <n v="49"/>
    <n v="135"/>
    <n v="117"/>
    <n v="3800"/>
    <n v="173"/>
  </r>
  <r>
    <x v="3"/>
    <x v="1"/>
    <d v="2020-06-25T00:00:00"/>
    <x v="2"/>
    <n v="49"/>
    <n v="135"/>
    <n v="117"/>
    <n v="3802"/>
    <n v="173"/>
  </r>
  <r>
    <x v="3"/>
    <x v="1"/>
    <d v="2020-06-25T00:00:00"/>
    <x v="0"/>
    <n v="32"/>
    <n v="110"/>
    <n v="108"/>
    <n v="3803"/>
    <n v="117"/>
  </r>
  <r>
    <x v="3"/>
    <x v="1"/>
    <d v="2020-06-26T00:00:00"/>
    <x v="1"/>
    <n v="52"/>
    <n v="120"/>
    <n v="110"/>
    <n v="3804"/>
    <n v="190"/>
  </r>
  <r>
    <x v="3"/>
    <x v="1"/>
    <d v="2020-06-26T00:00:00"/>
    <x v="1"/>
    <n v="34"/>
    <n v="120"/>
    <n v="110"/>
    <n v="3805"/>
    <n v="122"/>
  </r>
  <r>
    <x v="3"/>
    <x v="1"/>
    <d v="2020-06-30T00:00:00"/>
    <x v="1"/>
    <n v="48"/>
    <n v="120"/>
    <n v="110"/>
    <n v="3807"/>
    <n v="165"/>
  </r>
  <r>
    <x v="3"/>
    <x v="1"/>
    <d v="2020-06-30T00:00:00"/>
    <x v="1"/>
    <n v="37"/>
    <n v="120"/>
    <n v="110"/>
    <n v="3806"/>
    <n v="131"/>
  </r>
  <r>
    <x v="3"/>
    <x v="2"/>
    <d v="2020-07-01T00:00:00"/>
    <x v="1"/>
    <n v="31"/>
    <n v="120"/>
    <n v="110"/>
    <n v="3812"/>
    <n v="110"/>
  </r>
  <r>
    <x v="3"/>
    <x v="2"/>
    <d v="2020-07-01T00:00:00"/>
    <x v="1"/>
    <n v="34"/>
    <n v="120"/>
    <n v="110"/>
    <n v="3811"/>
    <n v="118"/>
  </r>
  <r>
    <x v="3"/>
    <x v="2"/>
    <d v="2020-07-01T00:00:00"/>
    <x v="0"/>
    <n v="48"/>
    <n v="105"/>
    <n v="108"/>
    <n v="3808"/>
    <n v="222"/>
  </r>
  <r>
    <x v="3"/>
    <x v="2"/>
    <d v="2020-07-01T00:00:00"/>
    <x v="2"/>
    <n v="41"/>
    <n v="135"/>
    <n v="117"/>
    <n v="3810"/>
    <n v="148"/>
  </r>
  <r>
    <x v="3"/>
    <x v="2"/>
    <d v="2020-07-01T00:00:00"/>
    <x v="2"/>
    <n v="39"/>
    <n v="135"/>
    <n v="117"/>
    <n v="3809"/>
    <n v="140"/>
  </r>
  <r>
    <x v="3"/>
    <x v="2"/>
    <d v="2020-07-02T00:00:00"/>
    <x v="1"/>
    <n v="55"/>
    <n v="120"/>
    <n v="110"/>
    <n v="3813"/>
    <n v="192"/>
  </r>
  <r>
    <x v="3"/>
    <x v="2"/>
    <d v="2020-07-02T00:00:00"/>
    <x v="0"/>
    <n v="37"/>
    <n v="105"/>
    <n v="108"/>
    <n v="3814"/>
    <n v="131"/>
  </r>
  <r>
    <x v="3"/>
    <x v="2"/>
    <d v="2020-07-02T00:00:00"/>
    <x v="0"/>
    <n v="49"/>
    <n v="105"/>
    <n v="108"/>
    <n v="3815"/>
    <n v="226"/>
  </r>
  <r>
    <x v="3"/>
    <x v="2"/>
    <d v="2020-07-02T00:00:00"/>
    <x v="2"/>
    <n v="31"/>
    <n v="135"/>
    <n v="117"/>
    <n v="3816"/>
    <n v="110"/>
  </r>
  <r>
    <x v="3"/>
    <x v="2"/>
    <d v="2020-07-02T00:00:00"/>
    <x v="2"/>
    <n v="41"/>
    <n v="135"/>
    <n v="117"/>
    <n v="3817"/>
    <n v="191"/>
  </r>
  <r>
    <x v="3"/>
    <x v="2"/>
    <d v="2020-07-03T00:00:00"/>
    <x v="2"/>
    <n v="34"/>
    <n v="135"/>
    <n v="117"/>
    <n v="3818"/>
    <n v="156"/>
  </r>
  <r>
    <x v="3"/>
    <x v="2"/>
    <d v="2020-07-03T00:00:00"/>
    <x v="0"/>
    <n v="41"/>
    <n v="105"/>
    <n v="108"/>
    <n v="3821"/>
    <n v="148"/>
  </r>
  <r>
    <x v="3"/>
    <x v="2"/>
    <d v="2020-07-03T00:00:00"/>
    <x v="2"/>
    <n v="28"/>
    <n v="135"/>
    <n v="117"/>
    <n v="3819"/>
    <n v="97"/>
  </r>
  <r>
    <x v="3"/>
    <x v="2"/>
    <d v="2020-07-03T00:00:00"/>
    <x v="0"/>
    <n v="50"/>
    <n v="105"/>
    <n v="108"/>
    <n v="3820"/>
    <n v="179"/>
  </r>
  <r>
    <x v="3"/>
    <x v="2"/>
    <d v="2020-07-06T00:00:00"/>
    <x v="0"/>
    <n v="38"/>
    <n v="105"/>
    <n v="108"/>
    <n v="3822"/>
    <n v="138"/>
  </r>
  <r>
    <x v="3"/>
    <x v="2"/>
    <d v="2020-07-06T00:00:00"/>
    <x v="1"/>
    <n v="51"/>
    <n v="120"/>
    <n v="110"/>
    <n v="3823"/>
    <n v="178"/>
  </r>
  <r>
    <x v="3"/>
    <x v="2"/>
    <d v="2020-07-06T00:00:00"/>
    <x v="2"/>
    <n v="25"/>
    <n v="135"/>
    <n v="117"/>
    <n v="3824"/>
    <n v="91"/>
  </r>
  <r>
    <x v="3"/>
    <x v="2"/>
    <d v="2020-07-07T00:00:00"/>
    <x v="2"/>
    <n v="33"/>
    <n v="135"/>
    <n v="117"/>
    <n v="3825"/>
    <n v="114"/>
  </r>
  <r>
    <x v="3"/>
    <x v="2"/>
    <d v="2020-07-07T00:00:00"/>
    <x v="1"/>
    <n v="45"/>
    <n v="120"/>
    <n v="110"/>
    <n v="3830"/>
    <n v="166"/>
  </r>
  <r>
    <x v="3"/>
    <x v="2"/>
    <d v="2020-07-07T00:00:00"/>
    <x v="0"/>
    <n v="34"/>
    <n v="105"/>
    <n v="108"/>
    <n v="3829"/>
    <n v="124"/>
  </r>
  <r>
    <x v="3"/>
    <x v="2"/>
    <d v="2020-07-07T00:00:00"/>
    <x v="0"/>
    <n v="27"/>
    <n v="105"/>
    <n v="108"/>
    <n v="3826"/>
    <n v="125"/>
  </r>
  <r>
    <x v="3"/>
    <x v="2"/>
    <d v="2020-07-07T00:00:00"/>
    <x v="0"/>
    <n v="45"/>
    <n v="105"/>
    <n v="108"/>
    <n v="3827"/>
    <n v="155"/>
  </r>
  <r>
    <x v="3"/>
    <x v="2"/>
    <d v="2020-07-07T00:00:00"/>
    <x v="2"/>
    <n v="30"/>
    <n v="135"/>
    <n v="117"/>
    <n v="3828"/>
    <n v="114"/>
  </r>
  <r>
    <x v="3"/>
    <x v="2"/>
    <d v="2020-07-08T00:00:00"/>
    <x v="1"/>
    <n v="47"/>
    <n v="120"/>
    <n v="110"/>
    <n v="3831"/>
    <n v="218"/>
  </r>
  <r>
    <x v="3"/>
    <x v="2"/>
    <d v="2020-07-08T00:00:00"/>
    <x v="2"/>
    <n v="41"/>
    <n v="135"/>
    <n v="117"/>
    <n v="3832"/>
    <n v="149"/>
  </r>
  <r>
    <x v="3"/>
    <x v="2"/>
    <d v="2020-07-09T00:00:00"/>
    <x v="1"/>
    <n v="40"/>
    <n v="120"/>
    <n v="110"/>
    <n v="3836"/>
    <n v="147"/>
  </r>
  <r>
    <x v="3"/>
    <x v="2"/>
    <d v="2020-07-09T00:00:00"/>
    <x v="1"/>
    <n v="31"/>
    <n v="120"/>
    <n v="110"/>
    <n v="3833"/>
    <n v="108"/>
  </r>
  <r>
    <x v="3"/>
    <x v="2"/>
    <d v="2020-07-09T00:00:00"/>
    <x v="2"/>
    <n v="20"/>
    <n v="135"/>
    <n v="117"/>
    <n v="3834"/>
    <n v="72"/>
  </r>
  <r>
    <x v="3"/>
    <x v="2"/>
    <d v="2020-07-09T00:00:00"/>
    <x v="1"/>
    <n v="49"/>
    <n v="120"/>
    <n v="110"/>
    <n v="3835"/>
    <n v="174"/>
  </r>
  <r>
    <x v="3"/>
    <x v="2"/>
    <d v="2020-07-10T00:00:00"/>
    <x v="0"/>
    <n v="26"/>
    <n v="105"/>
    <n v="108"/>
    <n v="3837"/>
    <n v="92"/>
  </r>
  <r>
    <x v="3"/>
    <x v="2"/>
    <d v="2020-07-10T00:00:00"/>
    <x v="1"/>
    <n v="42"/>
    <n v="120"/>
    <n v="110"/>
    <n v="3838"/>
    <n v="150"/>
  </r>
  <r>
    <x v="3"/>
    <x v="2"/>
    <d v="2020-07-15T00:00:00"/>
    <x v="1"/>
    <n v="34"/>
    <n v="120"/>
    <n v="110"/>
    <n v="3839"/>
    <n v="117"/>
  </r>
  <r>
    <x v="3"/>
    <x v="2"/>
    <d v="2020-07-15T00:00:00"/>
    <x v="2"/>
    <n v="28"/>
    <n v="135"/>
    <n v="117"/>
    <n v="3840"/>
    <n v="102"/>
  </r>
  <r>
    <x v="3"/>
    <x v="2"/>
    <d v="2020-07-16T00:00:00"/>
    <x v="0"/>
    <n v="39"/>
    <n v="105"/>
    <n v="108"/>
    <n v="3841"/>
    <n v="133"/>
  </r>
  <r>
    <x v="3"/>
    <x v="2"/>
    <d v="2020-07-16T00:00:00"/>
    <x v="2"/>
    <n v="23"/>
    <n v="135"/>
    <n v="117"/>
    <n v="3842"/>
    <n v="84"/>
  </r>
  <r>
    <x v="3"/>
    <x v="2"/>
    <d v="2020-07-16T00:00:00"/>
    <x v="0"/>
    <n v="30"/>
    <n v="105"/>
    <n v="108"/>
    <n v="3843"/>
    <n v="104"/>
  </r>
  <r>
    <x v="3"/>
    <x v="2"/>
    <d v="2020-07-16T00:00:00"/>
    <x v="1"/>
    <n v="30"/>
    <n v="120"/>
    <n v="110"/>
    <n v="3844"/>
    <n v="110"/>
  </r>
  <r>
    <x v="3"/>
    <x v="2"/>
    <d v="2020-07-17T00:00:00"/>
    <x v="1"/>
    <n v="56"/>
    <n v="120"/>
    <n v="110"/>
    <n v="3845"/>
    <n v="206"/>
  </r>
  <r>
    <x v="3"/>
    <x v="2"/>
    <d v="2020-07-20T00:00:00"/>
    <x v="1"/>
    <n v="55"/>
    <n v="120"/>
    <n v="110"/>
    <n v="3846"/>
    <n v="192"/>
  </r>
  <r>
    <x v="3"/>
    <x v="2"/>
    <d v="2020-07-23T00:00:00"/>
    <x v="1"/>
    <n v="36"/>
    <n v="120"/>
    <n v="110"/>
    <n v="3847"/>
    <n v="133"/>
  </r>
  <r>
    <x v="3"/>
    <x v="2"/>
    <d v="2020-07-24T00:00:00"/>
    <x v="2"/>
    <n v="45"/>
    <n v="135"/>
    <n v="117"/>
    <n v="3848"/>
    <n v="166"/>
  </r>
  <r>
    <x v="3"/>
    <x v="2"/>
    <d v="2020-07-24T00:00:00"/>
    <x v="2"/>
    <n v="24"/>
    <n v="135"/>
    <n v="117"/>
    <n v="3849"/>
    <n v="84"/>
  </r>
  <r>
    <x v="3"/>
    <x v="2"/>
    <d v="2020-07-24T00:00:00"/>
    <x v="1"/>
    <n v="49"/>
    <n v="120"/>
    <n v="110"/>
    <n v="3850"/>
    <n v="172"/>
  </r>
  <r>
    <x v="3"/>
    <x v="2"/>
    <d v="2020-07-24T00:00:00"/>
    <x v="0"/>
    <n v="29"/>
    <n v="105"/>
    <n v="108"/>
    <n v="3851"/>
    <n v="101"/>
  </r>
  <r>
    <x v="3"/>
    <x v="2"/>
    <d v="2020-07-24T00:00:00"/>
    <x v="1"/>
    <n v="39"/>
    <n v="120"/>
    <n v="110"/>
    <n v="3852"/>
    <n v="136"/>
  </r>
  <r>
    <x v="3"/>
    <x v="2"/>
    <d v="2020-07-28T00:00:00"/>
    <x v="1"/>
    <n v="42"/>
    <n v="120"/>
    <n v="110"/>
    <n v="3854"/>
    <n v="149"/>
  </r>
  <r>
    <x v="3"/>
    <x v="2"/>
    <d v="2020-07-28T00:00:00"/>
    <x v="2"/>
    <n v="36"/>
    <n v="135"/>
    <n v="117"/>
    <n v="3858"/>
    <n v="169"/>
  </r>
  <r>
    <x v="3"/>
    <x v="2"/>
    <d v="2020-07-28T00:00:00"/>
    <x v="1"/>
    <n v="34"/>
    <n v="120"/>
    <n v="110"/>
    <n v="3857"/>
    <n v="123"/>
  </r>
  <r>
    <x v="3"/>
    <x v="2"/>
    <d v="2020-07-28T00:00:00"/>
    <x v="2"/>
    <n v="43"/>
    <n v="135"/>
    <n v="117"/>
    <n v="3855"/>
    <n v="148"/>
  </r>
  <r>
    <x v="3"/>
    <x v="2"/>
    <d v="2020-07-28T00:00:00"/>
    <x v="2"/>
    <n v="30"/>
    <n v="135"/>
    <n v="117"/>
    <n v="3853"/>
    <n v="106"/>
  </r>
  <r>
    <x v="3"/>
    <x v="2"/>
    <d v="2020-07-28T00:00:00"/>
    <x v="2"/>
    <n v="43"/>
    <n v="135"/>
    <n v="117"/>
    <n v="3856"/>
    <n v="152"/>
  </r>
  <r>
    <x v="3"/>
    <x v="2"/>
    <d v="2020-07-30T00:00:00"/>
    <x v="0"/>
    <n v="43"/>
    <n v="105"/>
    <n v="108"/>
    <n v="3859"/>
    <n v="148"/>
  </r>
  <r>
    <x v="3"/>
    <x v="2"/>
    <d v="2020-07-31T00:00:00"/>
    <x v="1"/>
    <n v="38"/>
    <n v="120"/>
    <n v="110"/>
    <n v="3860"/>
    <n v="138"/>
  </r>
  <r>
    <x v="3"/>
    <x v="2"/>
    <d v="2020-08-03T00:00:00"/>
    <x v="0"/>
    <n v="29"/>
    <n v="105"/>
    <n v="108"/>
    <n v="3861"/>
    <n v="105"/>
  </r>
  <r>
    <x v="3"/>
    <x v="2"/>
    <d v="2020-08-03T00:00:00"/>
    <x v="1"/>
    <n v="30"/>
    <n v="120"/>
    <n v="110"/>
    <n v="3866"/>
    <n v="139"/>
  </r>
  <r>
    <x v="3"/>
    <x v="2"/>
    <d v="2020-08-03T00:00:00"/>
    <x v="0"/>
    <n v="36"/>
    <n v="105"/>
    <n v="108"/>
    <n v="3865"/>
    <n v="127"/>
  </r>
  <r>
    <x v="3"/>
    <x v="2"/>
    <d v="2020-08-03T00:00:00"/>
    <x v="0"/>
    <n v="36"/>
    <n v="105"/>
    <n v="108"/>
    <n v="3862"/>
    <n v="128"/>
  </r>
  <r>
    <x v="3"/>
    <x v="2"/>
    <d v="2020-08-03T00:00:00"/>
    <x v="1"/>
    <n v="41"/>
    <n v="120"/>
    <n v="110"/>
    <n v="3863"/>
    <n v="140"/>
  </r>
  <r>
    <x v="3"/>
    <x v="2"/>
    <d v="2020-08-03T00:00:00"/>
    <x v="1"/>
    <n v="50"/>
    <n v="120"/>
    <n v="110"/>
    <n v="3864"/>
    <n v="176"/>
  </r>
  <r>
    <x v="3"/>
    <x v="2"/>
    <d v="2020-08-05T00:00:00"/>
    <x v="2"/>
    <n v="35"/>
    <n v="135"/>
    <n v="117"/>
    <n v="3872"/>
    <n v="162"/>
  </r>
  <r>
    <x v="3"/>
    <x v="2"/>
    <d v="2020-08-05T00:00:00"/>
    <x v="0"/>
    <n v="46"/>
    <n v="105"/>
    <n v="108"/>
    <n v="3867"/>
    <n v="168"/>
  </r>
  <r>
    <x v="3"/>
    <x v="2"/>
    <d v="2020-08-05T00:00:00"/>
    <x v="1"/>
    <n v="52"/>
    <n v="120"/>
    <n v="110"/>
    <n v="3868"/>
    <n v="185"/>
  </r>
  <r>
    <x v="3"/>
    <x v="2"/>
    <d v="2020-08-05T00:00:00"/>
    <x v="1"/>
    <n v="48"/>
    <n v="120"/>
    <n v="110"/>
    <n v="3869"/>
    <n v="174"/>
  </r>
  <r>
    <x v="3"/>
    <x v="2"/>
    <d v="2020-08-05T00:00:00"/>
    <x v="0"/>
    <n v="50"/>
    <n v="105"/>
    <n v="108"/>
    <n v="3870"/>
    <n v="178"/>
  </r>
  <r>
    <x v="3"/>
    <x v="2"/>
    <d v="2020-08-05T00:00:00"/>
    <x v="2"/>
    <n v="38"/>
    <n v="135"/>
    <n v="117"/>
    <n v="3871"/>
    <n v="132"/>
  </r>
  <r>
    <x v="3"/>
    <x v="2"/>
    <d v="2020-08-06T00:00:00"/>
    <x v="0"/>
    <n v="49"/>
    <n v="105"/>
    <n v="108"/>
    <n v="3873"/>
    <n v="226"/>
  </r>
  <r>
    <x v="3"/>
    <x v="2"/>
    <d v="2020-08-06T00:00:00"/>
    <x v="0"/>
    <n v="43"/>
    <n v="105"/>
    <n v="108"/>
    <n v="3874"/>
    <n v="165"/>
  </r>
  <r>
    <x v="3"/>
    <x v="2"/>
    <d v="2020-08-07T00:00:00"/>
    <x v="0"/>
    <n v="25"/>
    <n v="105"/>
    <n v="108"/>
    <n v="3875"/>
    <n v="96"/>
  </r>
  <r>
    <x v="3"/>
    <x v="2"/>
    <d v="2020-08-10T00:00:00"/>
    <x v="0"/>
    <n v="25"/>
    <n v="105"/>
    <n v="108"/>
    <n v="3876"/>
    <n v="91"/>
  </r>
  <r>
    <x v="3"/>
    <x v="2"/>
    <d v="2020-08-10T00:00:00"/>
    <x v="2"/>
    <n v="29"/>
    <n v="135"/>
    <n v="117"/>
    <n v="3877"/>
    <n v="100"/>
  </r>
  <r>
    <x v="3"/>
    <x v="2"/>
    <d v="2020-08-10T00:00:00"/>
    <x v="0"/>
    <n v="36"/>
    <n v="105"/>
    <n v="108"/>
    <n v="3878"/>
    <n v="125"/>
  </r>
  <r>
    <x v="3"/>
    <x v="2"/>
    <d v="2020-08-11T00:00:00"/>
    <x v="1"/>
    <n v="40"/>
    <n v="120"/>
    <n v="110"/>
    <n v="3880"/>
    <n v="145"/>
  </r>
  <r>
    <x v="3"/>
    <x v="2"/>
    <d v="2020-08-11T00:00:00"/>
    <x v="2"/>
    <n v="44"/>
    <n v="135"/>
    <n v="117"/>
    <n v="3884"/>
    <n v="202"/>
  </r>
  <r>
    <x v="3"/>
    <x v="2"/>
    <d v="2020-08-11T00:00:00"/>
    <x v="1"/>
    <n v="33"/>
    <n v="120"/>
    <n v="110"/>
    <n v="3883"/>
    <n v="118"/>
  </r>
  <r>
    <x v="3"/>
    <x v="2"/>
    <d v="2020-08-11T00:00:00"/>
    <x v="1"/>
    <n v="36"/>
    <n v="120"/>
    <n v="110"/>
    <n v="3879"/>
    <n v="124"/>
  </r>
  <r>
    <x v="3"/>
    <x v="2"/>
    <d v="2020-08-11T00:00:00"/>
    <x v="1"/>
    <n v="34"/>
    <n v="120"/>
    <n v="110"/>
    <n v="3881"/>
    <n v="118"/>
  </r>
  <r>
    <x v="3"/>
    <x v="2"/>
    <d v="2020-08-11T00:00:00"/>
    <x v="1"/>
    <n v="41"/>
    <n v="120"/>
    <n v="110"/>
    <n v="3882"/>
    <n v="191"/>
  </r>
  <r>
    <x v="3"/>
    <x v="2"/>
    <d v="2020-08-12T00:00:00"/>
    <x v="1"/>
    <n v="42"/>
    <n v="120"/>
    <n v="110"/>
    <n v="3889"/>
    <n v="146"/>
  </r>
  <r>
    <x v="3"/>
    <x v="2"/>
    <d v="2020-08-12T00:00:00"/>
    <x v="1"/>
    <n v="50"/>
    <n v="120"/>
    <n v="110"/>
    <n v="3885"/>
    <n v="171"/>
  </r>
  <r>
    <x v="3"/>
    <x v="2"/>
    <d v="2020-08-12T00:00:00"/>
    <x v="0"/>
    <n v="40"/>
    <n v="105"/>
    <n v="108"/>
    <n v="3886"/>
    <n v="147"/>
  </r>
  <r>
    <x v="3"/>
    <x v="2"/>
    <d v="2020-08-12T00:00:00"/>
    <x v="2"/>
    <n v="32"/>
    <n v="135"/>
    <n v="117"/>
    <n v="3887"/>
    <n v="116"/>
  </r>
  <r>
    <x v="3"/>
    <x v="2"/>
    <d v="2020-08-12T00:00:00"/>
    <x v="2"/>
    <n v="29"/>
    <n v="135"/>
    <n v="117"/>
    <n v="3888"/>
    <n v="102"/>
  </r>
  <r>
    <x v="3"/>
    <x v="2"/>
    <d v="2020-08-13T00:00:00"/>
    <x v="2"/>
    <n v="45"/>
    <n v="135"/>
    <n v="117"/>
    <n v="3892"/>
    <n v="160"/>
  </r>
  <r>
    <x v="3"/>
    <x v="2"/>
    <d v="2020-08-13T00:00:00"/>
    <x v="2"/>
    <n v="28"/>
    <n v="135"/>
    <n v="117"/>
    <n v="3890"/>
    <n v="103"/>
  </r>
  <r>
    <x v="3"/>
    <x v="2"/>
    <d v="2020-08-13T00:00:00"/>
    <x v="2"/>
    <n v="38"/>
    <n v="135"/>
    <n v="117"/>
    <n v="3891"/>
    <n v="139"/>
  </r>
  <r>
    <x v="3"/>
    <x v="2"/>
    <d v="2020-08-14T00:00:00"/>
    <x v="1"/>
    <n v="33"/>
    <n v="120"/>
    <n v="110"/>
    <n v="3893"/>
    <n v="114"/>
  </r>
  <r>
    <x v="3"/>
    <x v="2"/>
    <d v="2020-08-14T00:00:00"/>
    <x v="0"/>
    <n v="31"/>
    <n v="105"/>
    <n v="108"/>
    <n v="3894"/>
    <n v="111"/>
  </r>
  <r>
    <x v="3"/>
    <x v="2"/>
    <d v="2020-08-14T00:00:00"/>
    <x v="0"/>
    <n v="34"/>
    <n v="105"/>
    <n v="108"/>
    <n v="3895"/>
    <n v="123"/>
  </r>
  <r>
    <x v="3"/>
    <x v="2"/>
    <d v="2020-08-14T00:00:00"/>
    <x v="1"/>
    <n v="55"/>
    <n v="120"/>
    <n v="110"/>
    <n v="3896"/>
    <n v="204"/>
  </r>
  <r>
    <x v="3"/>
    <x v="2"/>
    <d v="2020-08-17T00:00:00"/>
    <x v="1"/>
    <n v="37"/>
    <n v="120"/>
    <n v="110"/>
    <n v="3898"/>
    <n v="130"/>
  </r>
  <r>
    <x v="3"/>
    <x v="2"/>
    <d v="2020-08-17T00:00:00"/>
    <x v="1"/>
    <n v="44"/>
    <n v="120"/>
    <n v="110"/>
    <n v="3897"/>
    <n v="158"/>
  </r>
  <r>
    <x v="3"/>
    <x v="2"/>
    <d v="2020-08-18T00:00:00"/>
    <x v="2"/>
    <n v="30"/>
    <n v="135"/>
    <n v="117"/>
    <n v="3899"/>
    <n v="104"/>
  </r>
  <r>
    <x v="3"/>
    <x v="2"/>
    <d v="2020-08-18T00:00:00"/>
    <x v="1"/>
    <n v="52"/>
    <n v="120"/>
    <n v="110"/>
    <n v="3900"/>
    <n v="186"/>
  </r>
  <r>
    <x v="3"/>
    <x v="2"/>
    <d v="2020-08-19T00:00:00"/>
    <x v="1"/>
    <n v="33"/>
    <n v="120"/>
    <n v="110"/>
    <n v="3901"/>
    <n v="117"/>
  </r>
  <r>
    <x v="3"/>
    <x v="2"/>
    <d v="2020-08-20T00:00:00"/>
    <x v="2"/>
    <n v="35"/>
    <n v="135"/>
    <n v="117"/>
    <n v="3902"/>
    <n v="120"/>
  </r>
  <r>
    <x v="3"/>
    <x v="2"/>
    <d v="2020-08-20T00:00:00"/>
    <x v="2"/>
    <n v="39"/>
    <n v="135"/>
    <n v="117"/>
    <n v="3903"/>
    <n v="138"/>
  </r>
  <r>
    <x v="3"/>
    <x v="2"/>
    <d v="2020-08-20T00:00:00"/>
    <x v="1"/>
    <n v="35"/>
    <n v="120"/>
    <n v="110"/>
    <n v="3904"/>
    <n v="125"/>
  </r>
  <r>
    <x v="3"/>
    <x v="2"/>
    <d v="2020-08-20T00:00:00"/>
    <x v="1"/>
    <n v="47"/>
    <n v="120"/>
    <n v="110"/>
    <n v="3905"/>
    <n v="164"/>
  </r>
  <r>
    <x v="3"/>
    <x v="2"/>
    <d v="2020-08-20T00:00:00"/>
    <x v="2"/>
    <n v="30"/>
    <n v="135"/>
    <n v="117"/>
    <n v="3906"/>
    <n v="102"/>
  </r>
  <r>
    <x v="3"/>
    <x v="2"/>
    <d v="2020-08-20T00:00:00"/>
    <x v="2"/>
    <n v="28"/>
    <n v="135"/>
    <n v="117"/>
    <n v="3907"/>
    <n v="98"/>
  </r>
  <r>
    <x v="3"/>
    <x v="2"/>
    <d v="2020-08-21T00:00:00"/>
    <x v="1"/>
    <n v="55"/>
    <n v="120"/>
    <n v="110"/>
    <n v="3908"/>
    <n v="257"/>
  </r>
  <r>
    <x v="3"/>
    <x v="2"/>
    <d v="2020-08-21T00:00:00"/>
    <x v="0"/>
    <n v="43"/>
    <n v="105"/>
    <n v="108"/>
    <n v="3913"/>
    <n v="154"/>
  </r>
  <r>
    <x v="3"/>
    <x v="2"/>
    <d v="2020-08-21T00:00:00"/>
    <x v="1"/>
    <n v="36"/>
    <n v="120"/>
    <n v="110"/>
    <n v="3912"/>
    <n v="169"/>
  </r>
  <r>
    <x v="3"/>
    <x v="2"/>
    <d v="2020-08-21T00:00:00"/>
    <x v="1"/>
    <n v="51"/>
    <n v="120"/>
    <n v="110"/>
    <n v="3911"/>
    <n v="176"/>
  </r>
  <r>
    <x v="3"/>
    <x v="2"/>
    <d v="2020-08-21T00:00:00"/>
    <x v="2"/>
    <n v="28"/>
    <n v="135"/>
    <n v="117"/>
    <n v="3909"/>
    <n v="103"/>
  </r>
  <r>
    <x v="3"/>
    <x v="2"/>
    <d v="2020-08-21T00:00:00"/>
    <x v="0"/>
    <n v="28"/>
    <n v="105"/>
    <n v="108"/>
    <n v="3910"/>
    <n v="98"/>
  </r>
  <r>
    <x v="3"/>
    <x v="2"/>
    <d v="2020-08-24T00:00:00"/>
    <x v="0"/>
    <n v="48"/>
    <n v="105"/>
    <n v="108"/>
    <n v="3916"/>
    <n v="177"/>
  </r>
  <r>
    <x v="3"/>
    <x v="2"/>
    <d v="2020-08-24T00:00:00"/>
    <x v="2"/>
    <n v="20"/>
    <n v="135"/>
    <n v="117"/>
    <n v="3914"/>
    <n v="73"/>
  </r>
  <r>
    <x v="3"/>
    <x v="2"/>
    <d v="2020-08-24T00:00:00"/>
    <x v="2"/>
    <n v="41"/>
    <n v="135"/>
    <n v="117"/>
    <n v="3915"/>
    <n v="189"/>
  </r>
  <r>
    <x v="3"/>
    <x v="2"/>
    <d v="2020-08-25T00:00:00"/>
    <x v="1"/>
    <n v="40"/>
    <n v="120"/>
    <n v="110"/>
    <n v="3921"/>
    <n v="143"/>
  </r>
  <r>
    <x v="3"/>
    <x v="2"/>
    <d v="2020-08-25T00:00:00"/>
    <x v="1"/>
    <n v="33"/>
    <n v="120"/>
    <n v="110"/>
    <n v="3920"/>
    <n v="119"/>
  </r>
  <r>
    <x v="3"/>
    <x v="2"/>
    <d v="2020-08-25T00:00:00"/>
    <x v="1"/>
    <n v="56"/>
    <n v="120"/>
    <n v="110"/>
    <n v="3917"/>
    <n v="202"/>
  </r>
  <r>
    <x v="3"/>
    <x v="2"/>
    <d v="2020-08-25T00:00:00"/>
    <x v="1"/>
    <n v="34"/>
    <n v="120"/>
    <n v="110"/>
    <n v="3919"/>
    <n v="156"/>
  </r>
  <r>
    <x v="3"/>
    <x v="2"/>
    <d v="2020-08-25T00:00:00"/>
    <x v="1"/>
    <n v="44"/>
    <n v="120"/>
    <n v="110"/>
    <n v="3918"/>
    <n v="153"/>
  </r>
  <r>
    <x v="3"/>
    <x v="2"/>
    <d v="2020-08-27T00:00:00"/>
    <x v="2"/>
    <n v="25"/>
    <n v="135"/>
    <n v="117"/>
    <n v="3926"/>
    <n v="92"/>
  </r>
  <r>
    <x v="3"/>
    <x v="2"/>
    <d v="2020-08-27T00:00:00"/>
    <x v="1"/>
    <n v="49"/>
    <n v="120"/>
    <n v="110"/>
    <n v="3922"/>
    <n v="168"/>
  </r>
  <r>
    <x v="3"/>
    <x v="2"/>
    <d v="2020-08-27T00:00:00"/>
    <x v="1"/>
    <n v="34"/>
    <n v="120"/>
    <n v="110"/>
    <n v="3923"/>
    <n v="118"/>
  </r>
  <r>
    <x v="3"/>
    <x v="2"/>
    <d v="2020-08-27T00:00:00"/>
    <x v="1"/>
    <n v="53"/>
    <n v="120"/>
    <n v="110"/>
    <n v="3924"/>
    <n v="185"/>
  </r>
  <r>
    <x v="3"/>
    <x v="2"/>
    <d v="2020-08-27T00:00:00"/>
    <x v="0"/>
    <n v="41"/>
    <n v="105"/>
    <n v="108"/>
    <n v="3925"/>
    <n v="142"/>
  </r>
  <r>
    <x v="3"/>
    <x v="2"/>
    <d v="2020-08-28T00:00:00"/>
    <x v="2"/>
    <n v="30"/>
    <n v="135"/>
    <n v="117"/>
    <n v="3931"/>
    <n v="104"/>
  </r>
  <r>
    <x v="3"/>
    <x v="2"/>
    <d v="2020-08-28T00:00:00"/>
    <x v="1"/>
    <n v="51"/>
    <n v="120"/>
    <n v="110"/>
    <n v="3930"/>
    <n v="177"/>
  </r>
  <r>
    <x v="3"/>
    <x v="2"/>
    <d v="2020-08-28T00:00:00"/>
    <x v="2"/>
    <n v="21"/>
    <n v="135"/>
    <n v="117"/>
    <n v="3929"/>
    <n v="73"/>
  </r>
  <r>
    <x v="3"/>
    <x v="2"/>
    <d v="2020-08-28T00:00:00"/>
    <x v="2"/>
    <n v="32"/>
    <n v="135"/>
    <n v="117"/>
    <n v="3927"/>
    <n v="117"/>
  </r>
  <r>
    <x v="3"/>
    <x v="2"/>
    <d v="2020-08-28T00:00:00"/>
    <x v="0"/>
    <n v="33"/>
    <n v="105"/>
    <n v="108"/>
    <n v="3928"/>
    <n v="113"/>
  </r>
  <r>
    <x v="3"/>
    <x v="2"/>
    <d v="2020-08-31T00:00:00"/>
    <x v="1"/>
    <n v="53"/>
    <n v="120"/>
    <n v="110"/>
    <n v="3932"/>
    <n v="191"/>
  </r>
  <r>
    <x v="3"/>
    <x v="2"/>
    <d v="2020-09-01T00:00:00"/>
    <x v="0"/>
    <n v="35"/>
    <n v="105"/>
    <n v="108"/>
    <n v="3934"/>
    <n v="123"/>
  </r>
  <r>
    <x v="3"/>
    <x v="2"/>
    <d v="2020-09-01T00:00:00"/>
    <x v="2"/>
    <n v="29"/>
    <n v="135"/>
    <n v="117"/>
    <n v="3937"/>
    <n v="102"/>
  </r>
  <r>
    <x v="3"/>
    <x v="2"/>
    <d v="2020-09-01T00:00:00"/>
    <x v="0"/>
    <n v="25"/>
    <n v="105"/>
    <n v="108"/>
    <n v="3935"/>
    <n v="91"/>
  </r>
  <r>
    <x v="3"/>
    <x v="2"/>
    <d v="2020-09-01T00:00:00"/>
    <x v="2"/>
    <n v="20"/>
    <n v="135"/>
    <n v="117"/>
    <n v="3933"/>
    <n v="70"/>
  </r>
  <r>
    <x v="3"/>
    <x v="2"/>
    <d v="2020-09-01T00:00:00"/>
    <x v="0"/>
    <n v="51"/>
    <n v="105"/>
    <n v="108"/>
    <n v="3936"/>
    <n v="187"/>
  </r>
  <r>
    <x v="3"/>
    <x v="2"/>
    <d v="2020-09-02T00:00:00"/>
    <x v="1"/>
    <n v="48"/>
    <n v="120"/>
    <n v="110"/>
    <n v="3938"/>
    <n v="177"/>
  </r>
  <r>
    <x v="3"/>
    <x v="2"/>
    <d v="2020-09-02T00:00:00"/>
    <x v="2"/>
    <n v="39"/>
    <n v="135"/>
    <n v="117"/>
    <n v="3939"/>
    <n v="180"/>
  </r>
  <r>
    <x v="3"/>
    <x v="2"/>
    <d v="2020-09-02T00:00:00"/>
    <x v="1"/>
    <n v="37"/>
    <n v="120"/>
    <n v="110"/>
    <n v="3940"/>
    <n v="132"/>
  </r>
  <r>
    <x v="3"/>
    <x v="2"/>
    <d v="2020-09-03T00:00:00"/>
    <x v="1"/>
    <n v="56"/>
    <n v="120"/>
    <n v="110"/>
    <n v="3943"/>
    <n v="204"/>
  </r>
  <r>
    <x v="3"/>
    <x v="2"/>
    <d v="2020-09-03T00:00:00"/>
    <x v="0"/>
    <n v="25"/>
    <n v="105"/>
    <n v="108"/>
    <n v="3944"/>
    <n v="88"/>
  </r>
  <r>
    <x v="3"/>
    <x v="2"/>
    <d v="2020-09-03T00:00:00"/>
    <x v="0"/>
    <n v="39"/>
    <n v="105"/>
    <n v="108"/>
    <n v="3942"/>
    <n v="134"/>
  </r>
  <r>
    <x v="3"/>
    <x v="2"/>
    <d v="2020-09-03T00:00:00"/>
    <x v="2"/>
    <n v="28"/>
    <n v="135"/>
    <n v="117"/>
    <n v="3941"/>
    <n v="98"/>
  </r>
  <r>
    <x v="3"/>
    <x v="2"/>
    <d v="2020-09-03T00:00:00"/>
    <x v="1"/>
    <n v="43"/>
    <n v="120"/>
    <n v="110"/>
    <n v="3945"/>
    <n v="158"/>
  </r>
  <r>
    <x v="3"/>
    <x v="2"/>
    <d v="2020-09-04T00:00:00"/>
    <x v="1"/>
    <n v="52"/>
    <n v="120"/>
    <n v="110"/>
    <n v="3946"/>
    <n v="179"/>
  </r>
  <r>
    <x v="3"/>
    <x v="2"/>
    <d v="2020-09-04T00:00:00"/>
    <x v="0"/>
    <n v="25"/>
    <n v="105"/>
    <n v="108"/>
    <n v="3947"/>
    <n v="90"/>
  </r>
  <r>
    <x v="3"/>
    <x v="2"/>
    <d v="2020-09-04T00:00:00"/>
    <x v="0"/>
    <n v="36"/>
    <n v="105"/>
    <n v="108"/>
    <n v="3948"/>
    <n v="122"/>
  </r>
  <r>
    <x v="3"/>
    <x v="2"/>
    <d v="2020-09-04T00:00:00"/>
    <x v="1"/>
    <n v="35"/>
    <n v="120"/>
    <n v="110"/>
    <n v="3949"/>
    <n v="127"/>
  </r>
  <r>
    <x v="3"/>
    <x v="2"/>
    <d v="2020-09-04T00:00:00"/>
    <x v="1"/>
    <n v="34"/>
    <n v="120"/>
    <n v="110"/>
    <n v="3950"/>
    <n v="117"/>
  </r>
  <r>
    <x v="3"/>
    <x v="2"/>
    <d v="2020-09-04T00:00:00"/>
    <x v="1"/>
    <n v="39"/>
    <n v="120"/>
    <n v="110"/>
    <n v="3951"/>
    <n v="144"/>
  </r>
  <r>
    <x v="3"/>
    <x v="2"/>
    <d v="2020-09-07T00:00:00"/>
    <x v="2"/>
    <n v="22"/>
    <n v="135"/>
    <n v="117"/>
    <n v="3953"/>
    <n v="79"/>
  </r>
  <r>
    <x v="3"/>
    <x v="2"/>
    <d v="2020-09-07T00:00:00"/>
    <x v="0"/>
    <n v="43"/>
    <n v="105"/>
    <n v="108"/>
    <n v="3954"/>
    <n v="161"/>
  </r>
  <r>
    <x v="3"/>
    <x v="2"/>
    <d v="2020-09-07T00:00:00"/>
    <x v="2"/>
    <n v="36"/>
    <n v="135"/>
    <n v="117"/>
    <n v="3952"/>
    <n v="131"/>
  </r>
  <r>
    <x v="3"/>
    <x v="2"/>
    <d v="2020-09-08T00:00:00"/>
    <x v="2"/>
    <n v="39"/>
    <n v="135"/>
    <n v="117"/>
    <n v="3955"/>
    <n v="141"/>
  </r>
  <r>
    <x v="3"/>
    <x v="2"/>
    <d v="2020-09-09T00:00:00"/>
    <x v="2"/>
    <n v="31"/>
    <n v="135"/>
    <n v="117"/>
    <n v="3956"/>
    <n v="113"/>
  </r>
  <r>
    <x v="3"/>
    <x v="2"/>
    <d v="2020-09-09T00:00:00"/>
    <x v="1"/>
    <n v="51"/>
    <n v="120"/>
    <n v="110"/>
    <n v="3957"/>
    <n v="178"/>
  </r>
  <r>
    <x v="3"/>
    <x v="2"/>
    <d v="2020-09-16T00:00:00"/>
    <x v="2"/>
    <n v="29"/>
    <n v="135"/>
    <n v="117"/>
    <n v="3962"/>
    <n v="101"/>
  </r>
  <r>
    <x v="3"/>
    <x v="2"/>
    <d v="2020-09-16T00:00:00"/>
    <x v="2"/>
    <n v="22"/>
    <n v="135"/>
    <n v="117"/>
    <n v="3958"/>
    <n v="76"/>
  </r>
  <r>
    <x v="3"/>
    <x v="2"/>
    <d v="2020-09-16T00:00:00"/>
    <x v="2"/>
    <n v="32"/>
    <n v="135"/>
    <n v="117"/>
    <n v="3959"/>
    <n v="115"/>
  </r>
  <r>
    <x v="3"/>
    <x v="2"/>
    <d v="2020-09-16T00:00:00"/>
    <x v="0"/>
    <n v="37"/>
    <n v="105"/>
    <n v="108"/>
    <n v="3960"/>
    <n v="133"/>
  </r>
  <r>
    <x v="3"/>
    <x v="2"/>
    <d v="2020-09-16T00:00:00"/>
    <x v="0"/>
    <n v="28"/>
    <n v="105"/>
    <n v="108"/>
    <n v="3961"/>
    <n v="129"/>
  </r>
  <r>
    <x v="3"/>
    <x v="2"/>
    <d v="2020-09-17T00:00:00"/>
    <x v="0"/>
    <n v="44"/>
    <n v="105"/>
    <n v="108"/>
    <n v="3968"/>
    <n v="152"/>
  </r>
  <r>
    <x v="3"/>
    <x v="2"/>
    <d v="2020-09-17T00:00:00"/>
    <x v="2"/>
    <n v="24"/>
    <n v="135"/>
    <n v="117"/>
    <n v="3967"/>
    <n v="86"/>
  </r>
  <r>
    <x v="3"/>
    <x v="2"/>
    <d v="2020-09-17T00:00:00"/>
    <x v="2"/>
    <n v="40"/>
    <n v="135"/>
    <n v="117"/>
    <n v="3966"/>
    <n v="147"/>
  </r>
  <r>
    <x v="3"/>
    <x v="2"/>
    <d v="2020-09-17T00:00:00"/>
    <x v="0"/>
    <n v="46"/>
    <n v="105"/>
    <n v="108"/>
    <n v="3965"/>
    <n v="169"/>
  </r>
  <r>
    <x v="3"/>
    <x v="2"/>
    <d v="2020-09-17T00:00:00"/>
    <x v="1"/>
    <n v="55"/>
    <n v="120"/>
    <n v="110"/>
    <n v="3963"/>
    <n v="192"/>
  </r>
  <r>
    <x v="3"/>
    <x v="2"/>
    <d v="2020-09-17T00:00:00"/>
    <x v="0"/>
    <n v="49"/>
    <n v="105"/>
    <n v="108"/>
    <n v="3964"/>
    <n v="172"/>
  </r>
  <r>
    <x v="3"/>
    <x v="2"/>
    <d v="2020-09-18T00:00:00"/>
    <x v="1"/>
    <n v="45"/>
    <n v="120"/>
    <n v="110"/>
    <n v="3969"/>
    <n v="162"/>
  </r>
  <r>
    <x v="3"/>
    <x v="2"/>
    <d v="2020-09-21T00:00:00"/>
    <x v="0"/>
    <n v="43"/>
    <n v="105"/>
    <n v="108"/>
    <n v="3971"/>
    <n v="148"/>
  </r>
  <r>
    <x v="3"/>
    <x v="2"/>
    <d v="2020-09-21T00:00:00"/>
    <x v="2"/>
    <n v="43"/>
    <n v="135"/>
    <n v="117"/>
    <n v="3975"/>
    <n v="161"/>
  </r>
  <r>
    <x v="3"/>
    <x v="2"/>
    <d v="2020-09-21T00:00:00"/>
    <x v="0"/>
    <n v="47"/>
    <n v="105"/>
    <n v="108"/>
    <n v="3974"/>
    <n v="173"/>
  </r>
  <r>
    <x v="3"/>
    <x v="2"/>
    <d v="2020-09-21T00:00:00"/>
    <x v="2"/>
    <n v="35"/>
    <n v="135"/>
    <n v="117"/>
    <n v="3972"/>
    <n v="164"/>
  </r>
  <r>
    <x v="3"/>
    <x v="2"/>
    <d v="2020-09-21T00:00:00"/>
    <x v="0"/>
    <n v="25"/>
    <n v="105"/>
    <n v="108"/>
    <n v="3970"/>
    <n v="91"/>
  </r>
  <r>
    <x v="3"/>
    <x v="2"/>
    <d v="2020-09-21T00:00:00"/>
    <x v="1"/>
    <n v="34"/>
    <n v="120"/>
    <n v="110"/>
    <n v="3973"/>
    <n v="120"/>
  </r>
  <r>
    <x v="3"/>
    <x v="2"/>
    <d v="2020-09-22T00:00:00"/>
    <x v="2"/>
    <n v="26"/>
    <n v="135"/>
    <n v="117"/>
    <n v="3981"/>
    <n v="95"/>
  </r>
  <r>
    <x v="3"/>
    <x v="2"/>
    <d v="2020-09-22T00:00:00"/>
    <x v="1"/>
    <n v="49"/>
    <n v="120"/>
    <n v="110"/>
    <n v="3976"/>
    <n v="176"/>
  </r>
  <r>
    <x v="3"/>
    <x v="2"/>
    <d v="2020-09-22T00:00:00"/>
    <x v="1"/>
    <n v="49"/>
    <n v="120"/>
    <n v="110"/>
    <n v="3977"/>
    <n v="180"/>
  </r>
  <r>
    <x v="3"/>
    <x v="2"/>
    <d v="2020-09-22T00:00:00"/>
    <x v="0"/>
    <n v="29"/>
    <n v="105"/>
    <n v="108"/>
    <n v="3978"/>
    <n v="102"/>
  </r>
  <r>
    <x v="3"/>
    <x v="2"/>
    <d v="2020-09-22T00:00:00"/>
    <x v="0"/>
    <n v="29"/>
    <n v="105"/>
    <n v="108"/>
    <n v="3979"/>
    <n v="107"/>
  </r>
  <r>
    <x v="3"/>
    <x v="2"/>
    <d v="2020-09-22T00:00:00"/>
    <x v="0"/>
    <n v="43"/>
    <n v="105"/>
    <n v="108"/>
    <n v="3980"/>
    <n v="158"/>
  </r>
  <r>
    <x v="3"/>
    <x v="2"/>
    <d v="2020-09-23T00:00:00"/>
    <x v="0"/>
    <n v="43"/>
    <n v="105"/>
    <n v="108"/>
    <n v="3984"/>
    <n v="201"/>
  </r>
  <r>
    <x v="3"/>
    <x v="2"/>
    <d v="2020-09-23T00:00:00"/>
    <x v="0"/>
    <n v="32"/>
    <n v="105"/>
    <n v="108"/>
    <n v="3982"/>
    <n v="115"/>
  </r>
  <r>
    <x v="3"/>
    <x v="2"/>
    <d v="2020-09-23T00:00:00"/>
    <x v="2"/>
    <n v="27"/>
    <n v="135"/>
    <n v="117"/>
    <n v="3983"/>
    <n v="94"/>
  </r>
  <r>
    <x v="3"/>
    <x v="2"/>
    <d v="2020-09-24T00:00:00"/>
    <x v="0"/>
    <n v="33"/>
    <n v="105"/>
    <n v="108"/>
    <n v="3985"/>
    <n v="119"/>
  </r>
  <r>
    <x v="3"/>
    <x v="2"/>
    <d v="2020-09-24T00:00:00"/>
    <x v="2"/>
    <n v="26"/>
    <n v="135"/>
    <n v="117"/>
    <n v="3986"/>
    <n v="120"/>
  </r>
  <r>
    <x v="3"/>
    <x v="2"/>
    <d v="2020-09-24T00:00:00"/>
    <x v="1"/>
    <n v="31"/>
    <n v="120"/>
    <n v="110"/>
    <n v="3987"/>
    <n v="114"/>
  </r>
  <r>
    <x v="3"/>
    <x v="2"/>
    <d v="2020-09-24T00:00:00"/>
    <x v="1"/>
    <n v="34"/>
    <n v="120"/>
    <n v="110"/>
    <n v="3988"/>
    <n v="121"/>
  </r>
  <r>
    <x v="3"/>
    <x v="2"/>
    <d v="2020-09-24T00:00:00"/>
    <x v="0"/>
    <n v="48"/>
    <n v="105"/>
    <n v="108"/>
    <n v="3989"/>
    <n v="176"/>
  </r>
  <r>
    <x v="3"/>
    <x v="2"/>
    <d v="2020-09-25T00:00:00"/>
    <x v="2"/>
    <n v="46"/>
    <n v="135"/>
    <n v="117"/>
    <n v="3990"/>
    <n v="165"/>
  </r>
  <r>
    <x v="3"/>
    <x v="2"/>
    <d v="2020-09-25T00:00:00"/>
    <x v="1"/>
    <n v="51"/>
    <n v="120"/>
    <n v="110"/>
    <n v="3993"/>
    <n v="177"/>
  </r>
  <r>
    <x v="3"/>
    <x v="2"/>
    <d v="2020-09-25T00:00:00"/>
    <x v="2"/>
    <n v="30"/>
    <n v="135"/>
    <n v="117"/>
    <n v="3992"/>
    <n v="140"/>
  </r>
  <r>
    <x v="3"/>
    <x v="2"/>
    <d v="2020-09-25T00:00:00"/>
    <x v="2"/>
    <n v="37"/>
    <n v="135"/>
    <n v="117"/>
    <n v="3991"/>
    <n v="142"/>
  </r>
  <r>
    <x v="3"/>
    <x v="2"/>
    <d v="2020-09-28T00:00:00"/>
    <x v="2"/>
    <n v="23"/>
    <n v="135"/>
    <n v="117"/>
    <n v="3994"/>
    <n v="85"/>
  </r>
  <r>
    <x v="3"/>
    <x v="2"/>
    <d v="2020-09-28T00:00:00"/>
    <x v="2"/>
    <n v="25"/>
    <n v="135"/>
    <n v="117"/>
    <n v="3995"/>
    <n v="86"/>
  </r>
  <r>
    <x v="3"/>
    <x v="2"/>
    <d v="2020-09-29T00:00:00"/>
    <x v="0"/>
    <n v="25"/>
    <n v="105"/>
    <n v="108"/>
    <n v="3996"/>
    <n v="117"/>
  </r>
  <r>
    <x v="3"/>
    <x v="3"/>
    <d v="2020-10-01T00:00:00"/>
    <x v="1"/>
    <n v="27"/>
    <n v="120"/>
    <n v="110"/>
    <n v="4000"/>
    <n v="99"/>
  </r>
  <r>
    <x v="3"/>
    <x v="3"/>
    <d v="2020-10-01T00:00:00"/>
    <x v="0"/>
    <n v="27"/>
    <n v="105"/>
    <n v="108"/>
    <n v="3997"/>
    <n v="99"/>
  </r>
  <r>
    <x v="3"/>
    <x v="3"/>
    <d v="2020-10-01T00:00:00"/>
    <x v="2"/>
    <n v="41"/>
    <n v="135"/>
    <n v="117"/>
    <n v="3998"/>
    <n v="144"/>
  </r>
  <r>
    <x v="3"/>
    <x v="3"/>
    <d v="2020-10-01T00:00:00"/>
    <x v="0"/>
    <n v="22"/>
    <n v="105"/>
    <n v="108"/>
    <n v="3999"/>
    <n v="76"/>
  </r>
  <r>
    <x v="3"/>
    <x v="3"/>
    <d v="2020-10-02T00:00:00"/>
    <x v="0"/>
    <n v="42"/>
    <n v="105"/>
    <n v="108"/>
    <n v="4001"/>
    <n v="194"/>
  </r>
  <r>
    <x v="3"/>
    <x v="3"/>
    <d v="2020-10-05T00:00:00"/>
    <x v="0"/>
    <n v="38"/>
    <n v="105"/>
    <n v="108"/>
    <n v="4003"/>
    <n v="136"/>
  </r>
  <r>
    <x v="3"/>
    <x v="3"/>
    <d v="2020-10-05T00:00:00"/>
    <x v="0"/>
    <n v="33"/>
    <n v="105"/>
    <n v="108"/>
    <n v="4004"/>
    <n v="114"/>
  </r>
  <r>
    <x v="3"/>
    <x v="3"/>
    <d v="2020-10-05T00:00:00"/>
    <x v="2"/>
    <n v="29"/>
    <n v="135"/>
    <n v="117"/>
    <n v="4005"/>
    <n v="106"/>
  </r>
  <r>
    <x v="3"/>
    <x v="3"/>
    <d v="2020-10-05T00:00:00"/>
    <x v="1"/>
    <n v="37"/>
    <n v="120"/>
    <n v="110"/>
    <n v="4006"/>
    <n v="132"/>
  </r>
  <r>
    <x v="3"/>
    <x v="3"/>
    <d v="2020-10-05T00:00:00"/>
    <x v="1"/>
    <n v="28"/>
    <n v="120"/>
    <n v="110"/>
    <n v="4002"/>
    <n v="98"/>
  </r>
  <r>
    <x v="3"/>
    <x v="3"/>
    <d v="2020-10-06T00:00:00"/>
    <x v="1"/>
    <n v="27"/>
    <n v="120"/>
    <n v="110"/>
    <n v="4007"/>
    <n v="96"/>
  </r>
  <r>
    <x v="3"/>
    <x v="3"/>
    <d v="2020-10-06T00:00:00"/>
    <x v="0"/>
    <n v="45"/>
    <n v="105"/>
    <n v="108"/>
    <n v="4012"/>
    <n v="158"/>
  </r>
  <r>
    <x v="3"/>
    <x v="3"/>
    <d v="2020-10-06T00:00:00"/>
    <x v="1"/>
    <n v="46"/>
    <n v="120"/>
    <n v="110"/>
    <n v="4011"/>
    <n v="169"/>
  </r>
  <r>
    <x v="3"/>
    <x v="3"/>
    <d v="2020-10-06T00:00:00"/>
    <x v="1"/>
    <n v="32"/>
    <n v="120"/>
    <n v="110"/>
    <n v="4008"/>
    <n v="111"/>
  </r>
  <r>
    <x v="3"/>
    <x v="3"/>
    <d v="2020-10-06T00:00:00"/>
    <x v="2"/>
    <n v="17"/>
    <n v="135"/>
    <n v="117"/>
    <n v="4009"/>
    <n v="61"/>
  </r>
  <r>
    <x v="3"/>
    <x v="3"/>
    <d v="2020-10-06T00:00:00"/>
    <x v="0"/>
    <n v="33"/>
    <n v="105"/>
    <n v="108"/>
    <n v="4010"/>
    <n v="118"/>
  </r>
  <r>
    <x v="3"/>
    <x v="3"/>
    <d v="2020-10-07T00:00:00"/>
    <x v="2"/>
    <n v="36"/>
    <n v="135"/>
    <n v="117"/>
    <n v="4013"/>
    <n v="133"/>
  </r>
  <r>
    <x v="3"/>
    <x v="3"/>
    <d v="2020-10-08T00:00:00"/>
    <x v="2"/>
    <n v="23"/>
    <n v="135"/>
    <n v="117"/>
    <n v="4017"/>
    <n v="81"/>
  </r>
  <r>
    <x v="3"/>
    <x v="3"/>
    <d v="2020-10-08T00:00:00"/>
    <x v="2"/>
    <n v="31"/>
    <n v="135"/>
    <n v="117"/>
    <n v="4014"/>
    <n v="110"/>
  </r>
  <r>
    <x v="3"/>
    <x v="3"/>
    <d v="2020-10-08T00:00:00"/>
    <x v="1"/>
    <n v="32"/>
    <n v="120"/>
    <n v="110"/>
    <n v="4015"/>
    <n v="110"/>
  </r>
  <r>
    <x v="3"/>
    <x v="3"/>
    <d v="2020-10-08T00:00:00"/>
    <x v="2"/>
    <n v="24"/>
    <n v="135"/>
    <n v="117"/>
    <n v="4016"/>
    <n v="84"/>
  </r>
  <r>
    <x v="3"/>
    <x v="3"/>
    <d v="2020-10-09T00:00:00"/>
    <x v="0"/>
    <n v="47"/>
    <n v="105"/>
    <n v="108"/>
    <n v="4018"/>
    <n v="168"/>
  </r>
  <r>
    <x v="3"/>
    <x v="3"/>
    <d v="2020-10-16T00:00:00"/>
    <x v="2"/>
    <n v="16"/>
    <n v="135"/>
    <n v="117"/>
    <n v="4020"/>
    <n v="56"/>
  </r>
  <r>
    <x v="3"/>
    <x v="3"/>
    <d v="2020-10-16T00:00:00"/>
    <x v="1"/>
    <n v="30"/>
    <n v="120"/>
    <n v="110"/>
    <n v="4019"/>
    <n v="108"/>
  </r>
  <r>
    <x v="3"/>
    <x v="3"/>
    <d v="2020-10-19T00:00:00"/>
    <x v="1"/>
    <n v="47"/>
    <n v="120"/>
    <n v="110"/>
    <n v="4021"/>
    <n v="177"/>
  </r>
  <r>
    <x v="3"/>
    <x v="3"/>
    <d v="2020-10-19T00:00:00"/>
    <x v="1"/>
    <n v="37"/>
    <n v="120"/>
    <n v="110"/>
    <n v="4022"/>
    <n v="127"/>
  </r>
  <r>
    <x v="3"/>
    <x v="3"/>
    <d v="2020-10-20T00:00:00"/>
    <x v="0"/>
    <n v="31"/>
    <n v="105"/>
    <n v="108"/>
    <n v="4023"/>
    <n v="110"/>
  </r>
  <r>
    <x v="3"/>
    <x v="3"/>
    <d v="2020-10-20T00:00:00"/>
    <x v="0"/>
    <n v="29"/>
    <n v="105"/>
    <n v="108"/>
    <n v="4024"/>
    <n v="100"/>
  </r>
  <r>
    <x v="3"/>
    <x v="3"/>
    <d v="2020-10-21T00:00:00"/>
    <x v="1"/>
    <n v="28"/>
    <n v="120"/>
    <n v="110"/>
    <n v="4027"/>
    <n v="99"/>
  </r>
  <r>
    <x v="3"/>
    <x v="3"/>
    <d v="2020-10-21T00:00:00"/>
    <x v="0"/>
    <n v="41"/>
    <n v="105"/>
    <n v="108"/>
    <n v="4026"/>
    <n v="140"/>
  </r>
  <r>
    <x v="3"/>
    <x v="3"/>
    <d v="2020-10-21T00:00:00"/>
    <x v="2"/>
    <n v="25"/>
    <n v="135"/>
    <n v="117"/>
    <n v="4025"/>
    <n v="89"/>
  </r>
  <r>
    <x v="3"/>
    <x v="3"/>
    <d v="2020-10-21T00:00:00"/>
    <x v="2"/>
    <n v="32"/>
    <n v="135"/>
    <n v="117"/>
    <n v="4028"/>
    <n v="117"/>
  </r>
  <r>
    <x v="3"/>
    <x v="3"/>
    <d v="2020-10-22T00:00:00"/>
    <x v="2"/>
    <n v="42"/>
    <n v="135"/>
    <n v="117"/>
    <n v="4029"/>
    <n v="153"/>
  </r>
  <r>
    <x v="3"/>
    <x v="3"/>
    <d v="2020-10-22T00:00:00"/>
    <x v="2"/>
    <n v="39"/>
    <n v="135"/>
    <n v="117"/>
    <n v="4030"/>
    <n v="140"/>
  </r>
  <r>
    <x v="3"/>
    <x v="3"/>
    <d v="2020-10-23T00:00:00"/>
    <x v="1"/>
    <n v="34"/>
    <n v="120"/>
    <n v="110"/>
    <n v="4035"/>
    <n v="118"/>
  </r>
  <r>
    <x v="3"/>
    <x v="3"/>
    <d v="2020-10-23T00:00:00"/>
    <x v="0"/>
    <n v="34"/>
    <n v="105"/>
    <n v="108"/>
    <n v="4036"/>
    <n v="119"/>
  </r>
  <r>
    <x v="3"/>
    <x v="3"/>
    <d v="2020-10-23T00:00:00"/>
    <x v="1"/>
    <n v="48"/>
    <n v="120"/>
    <n v="110"/>
    <n v="4034"/>
    <n v="181"/>
  </r>
  <r>
    <x v="3"/>
    <x v="3"/>
    <d v="2020-10-23T00:00:00"/>
    <x v="2"/>
    <n v="34"/>
    <n v="135"/>
    <n v="117"/>
    <n v="4033"/>
    <n v="118"/>
  </r>
  <r>
    <x v="3"/>
    <x v="3"/>
    <d v="2020-10-23T00:00:00"/>
    <x v="1"/>
    <n v="34"/>
    <n v="120"/>
    <n v="110"/>
    <n v="4032"/>
    <n v="122"/>
  </r>
  <r>
    <x v="3"/>
    <x v="3"/>
    <d v="2020-10-23T00:00:00"/>
    <x v="1"/>
    <n v="32"/>
    <n v="120"/>
    <n v="110"/>
    <n v="4031"/>
    <n v="115"/>
  </r>
  <r>
    <x v="3"/>
    <x v="3"/>
    <d v="2020-10-26T00:00:00"/>
    <x v="1"/>
    <n v="29"/>
    <n v="120"/>
    <n v="110"/>
    <n v="4038"/>
    <n v="102"/>
  </r>
  <r>
    <x v="3"/>
    <x v="3"/>
    <d v="2020-10-26T00:00:00"/>
    <x v="0"/>
    <n v="34"/>
    <n v="105"/>
    <n v="108"/>
    <n v="4039"/>
    <n v="117"/>
  </r>
  <r>
    <x v="3"/>
    <x v="3"/>
    <d v="2020-10-26T00:00:00"/>
    <x v="0"/>
    <n v="46"/>
    <n v="105"/>
    <n v="108"/>
    <n v="4040"/>
    <n v="160"/>
  </r>
  <r>
    <x v="3"/>
    <x v="3"/>
    <d v="2020-10-26T00:00:00"/>
    <x v="2"/>
    <n v="29"/>
    <n v="135"/>
    <n v="117"/>
    <n v="4041"/>
    <n v="101"/>
  </r>
  <r>
    <x v="3"/>
    <x v="3"/>
    <d v="2020-10-26T00:00:00"/>
    <x v="1"/>
    <n v="34"/>
    <n v="120"/>
    <n v="110"/>
    <n v="4037"/>
    <n v="117"/>
  </r>
  <r>
    <x v="3"/>
    <x v="3"/>
    <d v="2020-10-27T00:00:00"/>
    <x v="2"/>
    <n v="34"/>
    <n v="135"/>
    <n v="117"/>
    <n v="4042"/>
    <n v="125"/>
  </r>
  <r>
    <x v="3"/>
    <x v="3"/>
    <d v="2020-10-28T00:00:00"/>
    <x v="0"/>
    <n v="37"/>
    <n v="105"/>
    <n v="108"/>
    <n v="4045"/>
    <n v="133"/>
  </r>
  <r>
    <x v="3"/>
    <x v="3"/>
    <d v="2020-10-28T00:00:00"/>
    <x v="1"/>
    <n v="29"/>
    <n v="120"/>
    <n v="110"/>
    <n v="4046"/>
    <n v="103"/>
  </r>
  <r>
    <x v="3"/>
    <x v="3"/>
    <d v="2020-10-28T00:00:00"/>
    <x v="0"/>
    <n v="26"/>
    <n v="105"/>
    <n v="108"/>
    <n v="4043"/>
    <n v="94"/>
  </r>
  <r>
    <x v="3"/>
    <x v="3"/>
    <d v="2020-10-28T00:00:00"/>
    <x v="1"/>
    <n v="32"/>
    <n v="120"/>
    <n v="110"/>
    <n v="4044"/>
    <n v="114"/>
  </r>
  <r>
    <x v="3"/>
    <x v="3"/>
    <d v="2020-10-29T00:00:00"/>
    <x v="2"/>
    <n v="25"/>
    <n v="135"/>
    <n v="117"/>
    <n v="4047"/>
    <n v="88"/>
  </r>
  <r>
    <x v="3"/>
    <x v="3"/>
    <d v="2020-10-29T00:00:00"/>
    <x v="2"/>
    <n v="29"/>
    <n v="135"/>
    <n v="117"/>
    <n v="4048"/>
    <n v="135"/>
  </r>
  <r>
    <x v="3"/>
    <x v="3"/>
    <d v="2020-10-29T00:00:00"/>
    <x v="1"/>
    <n v="43"/>
    <n v="120"/>
    <n v="110"/>
    <n v="4049"/>
    <n v="152"/>
  </r>
  <r>
    <x v="3"/>
    <x v="3"/>
    <d v="2020-10-29T00:00:00"/>
    <x v="2"/>
    <n v="29"/>
    <n v="135"/>
    <n v="117"/>
    <n v="4050"/>
    <n v="101"/>
  </r>
  <r>
    <x v="3"/>
    <x v="3"/>
    <d v="2020-10-30T00:00:00"/>
    <x v="2"/>
    <n v="17"/>
    <n v="135"/>
    <n v="117"/>
    <n v="4054"/>
    <n v="62"/>
  </r>
  <r>
    <x v="3"/>
    <x v="3"/>
    <d v="2020-10-30T00:00:00"/>
    <x v="1"/>
    <n v="29"/>
    <n v="120"/>
    <n v="110"/>
    <n v="4055"/>
    <n v="102"/>
  </r>
  <r>
    <x v="3"/>
    <x v="3"/>
    <d v="2020-10-30T00:00:00"/>
    <x v="2"/>
    <n v="32"/>
    <n v="135"/>
    <n v="117"/>
    <n v="4053"/>
    <n v="111"/>
  </r>
  <r>
    <x v="3"/>
    <x v="3"/>
    <d v="2020-10-30T00:00:00"/>
    <x v="1"/>
    <n v="36"/>
    <n v="120"/>
    <n v="110"/>
    <n v="4052"/>
    <n v="169"/>
  </r>
  <r>
    <x v="3"/>
    <x v="3"/>
    <d v="2020-10-30T00:00:00"/>
    <x v="0"/>
    <n v="26"/>
    <n v="105"/>
    <n v="108"/>
    <n v="4051"/>
    <n v="91"/>
  </r>
  <r>
    <x v="3"/>
    <x v="3"/>
    <d v="2020-10-30T00:00:00"/>
    <x v="1"/>
    <n v="27"/>
    <n v="120"/>
    <n v="110"/>
    <n v="4056"/>
    <n v="97"/>
  </r>
  <r>
    <x v="3"/>
    <x v="3"/>
    <d v="2020-11-02T00:00:00"/>
    <x v="0"/>
    <n v="25"/>
    <n v="105"/>
    <n v="108"/>
    <n v="4062"/>
    <n v="92"/>
  </r>
  <r>
    <x v="3"/>
    <x v="3"/>
    <d v="2020-11-02T00:00:00"/>
    <x v="2"/>
    <n v="21"/>
    <n v="135"/>
    <n v="117"/>
    <n v="4057"/>
    <n v="98"/>
  </r>
  <r>
    <x v="3"/>
    <x v="3"/>
    <d v="2020-11-02T00:00:00"/>
    <x v="0"/>
    <n v="42"/>
    <n v="105"/>
    <n v="108"/>
    <n v="4058"/>
    <n v="148"/>
  </r>
  <r>
    <x v="3"/>
    <x v="3"/>
    <d v="2020-11-02T00:00:00"/>
    <x v="0"/>
    <n v="21"/>
    <n v="105"/>
    <n v="108"/>
    <n v="4059"/>
    <n v="74"/>
  </r>
  <r>
    <x v="3"/>
    <x v="3"/>
    <d v="2020-11-02T00:00:00"/>
    <x v="2"/>
    <n v="18"/>
    <n v="135"/>
    <n v="117"/>
    <n v="4062"/>
    <n v="83"/>
  </r>
  <r>
    <x v="3"/>
    <x v="3"/>
    <d v="2020-11-02T00:00:00"/>
    <x v="1"/>
    <n v="40"/>
    <n v="120"/>
    <n v="110"/>
    <n v="4061"/>
    <n v="185"/>
  </r>
  <r>
    <x v="3"/>
    <x v="3"/>
    <d v="2020-11-03T00:00:00"/>
    <x v="0"/>
    <n v="39"/>
    <n v="105"/>
    <n v="108"/>
    <n v="4066"/>
    <n v="139"/>
  </r>
  <r>
    <x v="3"/>
    <x v="3"/>
    <d v="2020-11-03T00:00:00"/>
    <x v="1"/>
    <n v="39"/>
    <n v="120"/>
    <n v="110"/>
    <n v="4067"/>
    <n v="140"/>
  </r>
  <r>
    <x v="3"/>
    <x v="3"/>
    <d v="2020-11-03T00:00:00"/>
    <x v="0"/>
    <n v="22"/>
    <n v="105"/>
    <n v="108"/>
    <n v="4068"/>
    <n v="81"/>
  </r>
  <r>
    <x v="3"/>
    <x v="3"/>
    <d v="2020-11-03T00:00:00"/>
    <x v="1"/>
    <n v="33"/>
    <n v="120"/>
    <n v="110"/>
    <n v="4063"/>
    <n v="120"/>
  </r>
  <r>
    <x v="3"/>
    <x v="3"/>
    <d v="2020-11-03T00:00:00"/>
    <x v="0"/>
    <n v="40"/>
    <n v="105"/>
    <n v="108"/>
    <n v="4064"/>
    <n v="146"/>
  </r>
  <r>
    <x v="3"/>
    <x v="3"/>
    <d v="2020-11-03T00:00:00"/>
    <x v="0"/>
    <n v="42"/>
    <n v="105"/>
    <n v="108"/>
    <n v="4065"/>
    <n v="146"/>
  </r>
  <r>
    <x v="3"/>
    <x v="3"/>
    <d v="2020-11-04T00:00:00"/>
    <x v="1"/>
    <n v="50"/>
    <n v="120"/>
    <n v="110"/>
    <n v="4069"/>
    <n v="234"/>
  </r>
  <r>
    <x v="3"/>
    <x v="3"/>
    <d v="2020-11-04T00:00:00"/>
    <x v="0"/>
    <n v="25"/>
    <n v="105"/>
    <n v="108"/>
    <n v="4070"/>
    <n v="88"/>
  </r>
  <r>
    <x v="3"/>
    <x v="3"/>
    <d v="2020-11-04T00:00:00"/>
    <x v="1"/>
    <n v="35"/>
    <n v="120"/>
    <n v="110"/>
    <n v="4071"/>
    <n v="162"/>
  </r>
  <r>
    <x v="3"/>
    <x v="3"/>
    <d v="2020-11-04T00:00:00"/>
    <x v="1"/>
    <n v="51"/>
    <n v="120"/>
    <n v="110"/>
    <n v="4072"/>
    <n v="178"/>
  </r>
  <r>
    <x v="3"/>
    <x v="3"/>
    <d v="2020-11-06T00:00:00"/>
    <x v="2"/>
    <n v="22"/>
    <n v="135"/>
    <n v="117"/>
    <n v="4073"/>
    <n v="103"/>
  </r>
  <r>
    <x v="3"/>
    <x v="3"/>
    <d v="2020-11-06T00:00:00"/>
    <x v="0"/>
    <n v="45"/>
    <n v="105"/>
    <n v="108"/>
    <n v="4074"/>
    <n v="208"/>
  </r>
  <r>
    <x v="3"/>
    <x v="3"/>
    <d v="2020-11-06T00:00:00"/>
    <x v="1"/>
    <n v="46"/>
    <n v="120"/>
    <n v="110"/>
    <n v="4075"/>
    <n v="167"/>
  </r>
  <r>
    <x v="3"/>
    <x v="3"/>
    <d v="2020-11-09T00:00:00"/>
    <x v="0"/>
    <n v="30"/>
    <n v="105"/>
    <n v="108"/>
    <n v="4076"/>
    <n v="102"/>
  </r>
  <r>
    <x v="3"/>
    <x v="3"/>
    <d v="2020-11-09T00:00:00"/>
    <x v="1"/>
    <n v="51"/>
    <n v="120"/>
    <n v="110"/>
    <n v="4077"/>
    <n v="178"/>
  </r>
  <r>
    <x v="3"/>
    <x v="3"/>
    <d v="2020-11-09T00:00:00"/>
    <x v="1"/>
    <n v="41"/>
    <n v="120"/>
    <n v="110"/>
    <n v="4078"/>
    <n v="143"/>
  </r>
  <r>
    <x v="3"/>
    <x v="3"/>
    <d v="2020-11-09T00:00:00"/>
    <x v="2"/>
    <n v="35"/>
    <n v="135"/>
    <n v="117"/>
    <n v="4079"/>
    <n v="127"/>
  </r>
  <r>
    <x v="3"/>
    <x v="3"/>
    <d v="2020-11-11T00:00:00"/>
    <x v="2"/>
    <n v="30"/>
    <n v="135"/>
    <n v="117"/>
    <n v="4081"/>
    <n v="106"/>
  </r>
  <r>
    <x v="3"/>
    <x v="3"/>
    <d v="2020-11-11T00:00:00"/>
    <x v="1"/>
    <n v="34"/>
    <n v="120"/>
    <n v="110"/>
    <n v="4080"/>
    <n v="120"/>
  </r>
  <r>
    <x v="3"/>
    <x v="3"/>
    <d v="2020-11-12T00:00:00"/>
    <x v="0"/>
    <n v="28"/>
    <n v="105"/>
    <n v="108"/>
    <n v="4082"/>
    <n v="101"/>
  </r>
  <r>
    <x v="3"/>
    <x v="3"/>
    <d v="2020-11-17T00:00:00"/>
    <x v="0"/>
    <n v="42"/>
    <n v="105"/>
    <n v="108"/>
    <n v="4083"/>
    <n v="149"/>
  </r>
  <r>
    <x v="3"/>
    <x v="3"/>
    <d v="2020-11-17T00:00:00"/>
    <x v="0"/>
    <n v="36"/>
    <n v="105"/>
    <n v="108"/>
    <n v="4084"/>
    <n v="125"/>
  </r>
  <r>
    <x v="3"/>
    <x v="3"/>
    <d v="2020-11-17T00:00:00"/>
    <x v="0"/>
    <n v="34"/>
    <n v="105"/>
    <n v="108"/>
    <n v="4085"/>
    <n v="120"/>
  </r>
  <r>
    <x v="3"/>
    <x v="3"/>
    <d v="2020-11-17T00:00:00"/>
    <x v="2"/>
    <n v="16"/>
    <n v="135"/>
    <n v="117"/>
    <n v="4086"/>
    <n v="59"/>
  </r>
  <r>
    <x v="3"/>
    <x v="3"/>
    <d v="2020-11-17T00:00:00"/>
    <x v="2"/>
    <n v="33"/>
    <n v="135"/>
    <n v="117"/>
    <n v="4087"/>
    <n v="116"/>
  </r>
  <r>
    <x v="3"/>
    <x v="3"/>
    <d v="2020-11-17T00:00:00"/>
    <x v="0"/>
    <n v="35"/>
    <n v="105"/>
    <n v="108"/>
    <n v="4088"/>
    <n v="127"/>
  </r>
  <r>
    <x v="3"/>
    <x v="3"/>
    <d v="2020-11-18T00:00:00"/>
    <x v="2"/>
    <n v="39"/>
    <n v="135"/>
    <n v="117"/>
    <n v="4091"/>
    <n v="135"/>
  </r>
  <r>
    <x v="3"/>
    <x v="3"/>
    <d v="2020-11-18T00:00:00"/>
    <x v="0"/>
    <n v="23"/>
    <n v="105"/>
    <n v="108"/>
    <n v="4092"/>
    <n v="80"/>
  </r>
  <r>
    <x v="3"/>
    <x v="3"/>
    <d v="2020-11-18T00:00:00"/>
    <x v="0"/>
    <n v="33"/>
    <n v="105"/>
    <n v="108"/>
    <n v="4090"/>
    <n v="116"/>
  </r>
  <r>
    <x v="3"/>
    <x v="3"/>
    <d v="2020-11-18T00:00:00"/>
    <x v="1"/>
    <n v="27"/>
    <n v="120"/>
    <n v="110"/>
    <n v="4089"/>
    <n v="97"/>
  </r>
  <r>
    <x v="3"/>
    <x v="3"/>
    <d v="2020-11-19T00:00:00"/>
    <x v="0"/>
    <n v="43"/>
    <n v="105"/>
    <n v="108"/>
    <n v="4094"/>
    <n v="199"/>
  </r>
  <r>
    <x v="3"/>
    <x v="3"/>
    <d v="2020-11-19T00:00:00"/>
    <x v="0"/>
    <n v="45"/>
    <n v="105"/>
    <n v="108"/>
    <n v="4095"/>
    <n v="166"/>
  </r>
  <r>
    <x v="3"/>
    <x v="3"/>
    <d v="2020-11-19T00:00:00"/>
    <x v="2"/>
    <n v="39"/>
    <n v="135"/>
    <n v="117"/>
    <n v="4096"/>
    <n v="140"/>
  </r>
  <r>
    <x v="3"/>
    <x v="3"/>
    <d v="2020-11-19T00:00:00"/>
    <x v="0"/>
    <n v="36"/>
    <n v="105"/>
    <n v="108"/>
    <n v="4097"/>
    <n v="125"/>
  </r>
  <r>
    <x v="3"/>
    <x v="3"/>
    <d v="2020-11-19T00:00:00"/>
    <x v="2"/>
    <n v="21"/>
    <n v="135"/>
    <n v="117"/>
    <n v="4098"/>
    <n v="97"/>
  </r>
  <r>
    <x v="3"/>
    <x v="3"/>
    <d v="2020-11-19T00:00:00"/>
    <x v="2"/>
    <n v="36"/>
    <n v="135"/>
    <n v="117"/>
    <n v="4093"/>
    <n v="124"/>
  </r>
  <r>
    <x v="3"/>
    <x v="3"/>
    <d v="2020-11-20T00:00:00"/>
    <x v="0"/>
    <n v="32"/>
    <n v="105"/>
    <n v="108"/>
    <n v="4099"/>
    <n v="110"/>
  </r>
  <r>
    <x v="3"/>
    <x v="3"/>
    <d v="2020-11-23T00:00:00"/>
    <x v="2"/>
    <n v="25"/>
    <n v="135"/>
    <n v="117"/>
    <n v="4103"/>
    <n v="90"/>
  </r>
  <r>
    <x v="3"/>
    <x v="3"/>
    <d v="2020-11-23T00:00:00"/>
    <x v="2"/>
    <n v="24"/>
    <n v="135"/>
    <n v="117"/>
    <n v="4105"/>
    <n v="87"/>
  </r>
  <r>
    <x v="3"/>
    <x v="3"/>
    <d v="2020-11-23T00:00:00"/>
    <x v="1"/>
    <n v="40"/>
    <n v="120"/>
    <n v="110"/>
    <n v="4104"/>
    <n v="138"/>
  </r>
  <r>
    <x v="3"/>
    <x v="3"/>
    <d v="2020-11-23T00:00:00"/>
    <x v="0"/>
    <n v="42"/>
    <n v="105"/>
    <n v="108"/>
    <n v="4100"/>
    <n v="144"/>
  </r>
  <r>
    <x v="3"/>
    <x v="3"/>
    <d v="2020-11-23T00:00:00"/>
    <x v="2"/>
    <n v="25"/>
    <n v="135"/>
    <n v="117"/>
    <n v="4101"/>
    <n v="88"/>
  </r>
  <r>
    <x v="3"/>
    <x v="3"/>
    <d v="2020-11-23T00:00:00"/>
    <x v="1"/>
    <n v="47"/>
    <n v="120"/>
    <n v="110"/>
    <n v="4102"/>
    <n v="168"/>
  </r>
  <r>
    <x v="3"/>
    <x v="3"/>
    <d v="2020-11-25T00:00:00"/>
    <x v="0"/>
    <n v="34"/>
    <n v="105"/>
    <n v="108"/>
    <n v="4106"/>
    <n v="125"/>
  </r>
  <r>
    <x v="3"/>
    <x v="3"/>
    <d v="2020-11-25T00:00:00"/>
    <x v="0"/>
    <n v="36"/>
    <n v="105"/>
    <n v="108"/>
    <n v="4107"/>
    <n v="127"/>
  </r>
  <r>
    <x v="3"/>
    <x v="3"/>
    <d v="2020-11-26T00:00:00"/>
    <x v="0"/>
    <n v="35"/>
    <n v="105"/>
    <n v="108"/>
    <n v="4110"/>
    <n v="126"/>
  </r>
  <r>
    <x v="3"/>
    <x v="3"/>
    <d v="2020-11-26T00:00:00"/>
    <x v="1"/>
    <n v="42"/>
    <n v="120"/>
    <n v="110"/>
    <n v="4113"/>
    <n v="160"/>
  </r>
  <r>
    <x v="3"/>
    <x v="3"/>
    <d v="2020-11-26T00:00:00"/>
    <x v="0"/>
    <n v="36"/>
    <n v="105"/>
    <n v="108"/>
    <n v="4111"/>
    <n v="130"/>
  </r>
  <r>
    <x v="3"/>
    <x v="3"/>
    <d v="2020-11-26T00:00:00"/>
    <x v="1"/>
    <n v="52"/>
    <n v="120"/>
    <n v="110"/>
    <n v="4109"/>
    <n v="244"/>
  </r>
  <r>
    <x v="3"/>
    <x v="3"/>
    <d v="2020-11-26T00:00:00"/>
    <x v="0"/>
    <n v="27"/>
    <n v="105"/>
    <n v="108"/>
    <n v="4108"/>
    <n v="94"/>
  </r>
  <r>
    <x v="3"/>
    <x v="3"/>
    <d v="2020-11-26T00:00:00"/>
    <x v="2"/>
    <n v="38"/>
    <n v="135"/>
    <n v="117"/>
    <n v="4112"/>
    <n v="175"/>
  </r>
  <r>
    <x v="3"/>
    <x v="3"/>
    <d v="2020-11-27T00:00:00"/>
    <x v="2"/>
    <n v="21"/>
    <n v="135"/>
    <n v="117"/>
    <n v="4114"/>
    <n v="77"/>
  </r>
  <r>
    <x v="3"/>
    <x v="3"/>
    <d v="2020-11-27T00:00:00"/>
    <x v="0"/>
    <n v="46"/>
    <n v="105"/>
    <n v="108"/>
    <n v="4115"/>
    <n v="169"/>
  </r>
  <r>
    <x v="3"/>
    <x v="3"/>
    <d v="2020-11-27T00:00:00"/>
    <x v="0"/>
    <n v="38"/>
    <n v="105"/>
    <n v="108"/>
    <n v="4116"/>
    <n v="134"/>
  </r>
  <r>
    <x v="3"/>
    <x v="3"/>
    <d v="2020-11-30T00:00:00"/>
    <x v="2"/>
    <n v="35"/>
    <n v="135"/>
    <n v="117"/>
    <n v="4119"/>
    <n v="121"/>
  </r>
  <r>
    <x v="3"/>
    <x v="3"/>
    <d v="2020-11-30T00:00:00"/>
    <x v="2"/>
    <n v="30"/>
    <n v="135"/>
    <n v="117"/>
    <n v="4118"/>
    <n v="106"/>
  </r>
  <r>
    <x v="3"/>
    <x v="3"/>
    <d v="2020-11-30T00:00:00"/>
    <x v="2"/>
    <n v="39"/>
    <n v="135"/>
    <n v="117"/>
    <n v="4117"/>
    <n v="141"/>
  </r>
  <r>
    <x v="3"/>
    <x v="3"/>
    <d v="2020-12-01T00:00:00"/>
    <x v="2"/>
    <n v="18"/>
    <n v="135"/>
    <n v="117"/>
    <n v="4121"/>
    <n v="62"/>
  </r>
  <r>
    <x v="3"/>
    <x v="3"/>
    <d v="2020-12-01T00:00:00"/>
    <x v="1"/>
    <n v="45"/>
    <n v="120"/>
    <n v="110"/>
    <n v="4122"/>
    <n v="159"/>
  </r>
  <r>
    <x v="3"/>
    <x v="3"/>
    <d v="2020-12-01T00:00:00"/>
    <x v="2"/>
    <n v="36"/>
    <n v="135"/>
    <n v="117"/>
    <n v="4123"/>
    <n v="125"/>
  </r>
  <r>
    <x v="3"/>
    <x v="3"/>
    <d v="2020-12-01T00:00:00"/>
    <x v="1"/>
    <n v="46"/>
    <n v="120"/>
    <n v="110"/>
    <n v="4124"/>
    <n v="213"/>
  </r>
  <r>
    <x v="3"/>
    <x v="3"/>
    <d v="2020-12-01T00:00:00"/>
    <x v="0"/>
    <n v="24"/>
    <n v="105"/>
    <n v="108"/>
    <n v="4125"/>
    <n v="85"/>
  </r>
  <r>
    <x v="3"/>
    <x v="3"/>
    <d v="2020-12-01T00:00:00"/>
    <x v="2"/>
    <n v="18"/>
    <n v="135"/>
    <n v="117"/>
    <n v="4120"/>
    <n v="85"/>
  </r>
  <r>
    <x v="3"/>
    <x v="3"/>
    <d v="2020-12-02T00:00:00"/>
    <x v="0"/>
    <n v="34"/>
    <n v="105"/>
    <n v="108"/>
    <n v="4127"/>
    <n v="118"/>
  </r>
  <r>
    <x v="3"/>
    <x v="3"/>
    <d v="2020-12-02T00:00:00"/>
    <x v="1"/>
    <n v="39"/>
    <n v="120"/>
    <n v="110"/>
    <n v="4128"/>
    <n v="143"/>
  </r>
  <r>
    <x v="3"/>
    <x v="3"/>
    <d v="2020-12-02T00:00:00"/>
    <x v="0"/>
    <n v="32"/>
    <n v="105"/>
    <n v="108"/>
    <n v="4126"/>
    <n v="117"/>
  </r>
  <r>
    <x v="3"/>
    <x v="3"/>
    <d v="2020-12-03T00:00:00"/>
    <x v="2"/>
    <n v="29"/>
    <n v="135"/>
    <n v="117"/>
    <n v="4130"/>
    <n v="102"/>
  </r>
  <r>
    <x v="3"/>
    <x v="3"/>
    <d v="2020-12-03T00:00:00"/>
    <x v="0"/>
    <n v="38"/>
    <n v="105"/>
    <n v="108"/>
    <n v="4131"/>
    <n v="131"/>
  </r>
  <r>
    <x v="3"/>
    <x v="3"/>
    <d v="2020-12-03T00:00:00"/>
    <x v="0"/>
    <n v="43"/>
    <n v="105"/>
    <n v="108"/>
    <n v="4132"/>
    <n v="150"/>
  </r>
  <r>
    <x v="3"/>
    <x v="3"/>
    <d v="2020-12-03T00:00:00"/>
    <x v="1"/>
    <n v="50"/>
    <n v="120"/>
    <n v="110"/>
    <n v="4133"/>
    <n v="175"/>
  </r>
  <r>
    <x v="3"/>
    <x v="3"/>
    <d v="2020-12-03T00:00:00"/>
    <x v="2"/>
    <n v="35"/>
    <n v="135"/>
    <n v="117"/>
    <n v="4134"/>
    <n v="122"/>
  </r>
  <r>
    <x v="3"/>
    <x v="3"/>
    <d v="2020-12-03T00:00:00"/>
    <x v="0"/>
    <n v="43"/>
    <n v="105"/>
    <n v="108"/>
    <n v="4129"/>
    <n v="158"/>
  </r>
  <r>
    <x v="3"/>
    <x v="3"/>
    <d v="2020-12-04T00:00:00"/>
    <x v="1"/>
    <n v="40"/>
    <n v="120"/>
    <n v="110"/>
    <n v="4136"/>
    <n v="146"/>
  </r>
  <r>
    <x v="3"/>
    <x v="3"/>
    <d v="2020-12-04T00:00:00"/>
    <x v="2"/>
    <n v="23"/>
    <n v="135"/>
    <n v="117"/>
    <n v="4137"/>
    <n v="82"/>
  </r>
  <r>
    <x v="3"/>
    <x v="3"/>
    <d v="2020-12-04T00:00:00"/>
    <x v="0"/>
    <n v="47"/>
    <n v="105"/>
    <n v="108"/>
    <n v="4135"/>
    <n v="220"/>
  </r>
  <r>
    <x v="3"/>
    <x v="3"/>
    <d v="2020-12-08T00:00:00"/>
    <x v="0"/>
    <n v="43"/>
    <n v="105"/>
    <n v="108"/>
    <n v="4139"/>
    <n v="198"/>
  </r>
  <r>
    <x v="3"/>
    <x v="3"/>
    <d v="2020-12-08T00:00:00"/>
    <x v="1"/>
    <n v="44"/>
    <n v="120"/>
    <n v="110"/>
    <n v="4140"/>
    <n v="157"/>
  </r>
  <r>
    <x v="3"/>
    <x v="3"/>
    <d v="2020-12-08T00:00:00"/>
    <x v="1"/>
    <n v="52"/>
    <n v="120"/>
    <n v="110"/>
    <n v="4141"/>
    <n v="181"/>
  </r>
  <r>
    <x v="3"/>
    <x v="3"/>
    <d v="2020-12-08T00:00:00"/>
    <x v="2"/>
    <n v="26"/>
    <n v="135"/>
    <n v="117"/>
    <n v="4142"/>
    <n v="93"/>
  </r>
  <r>
    <x v="3"/>
    <x v="3"/>
    <d v="2020-12-08T00:00:00"/>
    <x v="2"/>
    <n v="40"/>
    <n v="135"/>
    <n v="117"/>
    <n v="4143"/>
    <n v="187"/>
  </r>
  <r>
    <x v="3"/>
    <x v="3"/>
    <d v="2020-12-08T00:00:00"/>
    <x v="1"/>
    <n v="37"/>
    <n v="120"/>
    <n v="110"/>
    <n v="4138"/>
    <n v="133"/>
  </r>
  <r>
    <x v="3"/>
    <x v="3"/>
    <d v="2020-12-09T00:00:00"/>
    <x v="1"/>
    <n v="30"/>
    <n v="120"/>
    <n v="110"/>
    <n v="4144"/>
    <n v="110"/>
  </r>
  <r>
    <x v="3"/>
    <x v="3"/>
    <d v="2020-12-10T00:00:00"/>
    <x v="0"/>
    <n v="29"/>
    <n v="105"/>
    <n v="108"/>
    <n v="4145"/>
    <n v="106"/>
  </r>
  <r>
    <x v="3"/>
    <x v="3"/>
    <d v="2020-12-10T00:00:00"/>
    <x v="1"/>
    <n v="30"/>
    <n v="120"/>
    <n v="110"/>
    <n v="4148"/>
    <n v="140"/>
  </r>
  <r>
    <x v="3"/>
    <x v="3"/>
    <d v="2020-12-10T00:00:00"/>
    <x v="1"/>
    <n v="30"/>
    <n v="120"/>
    <n v="110"/>
    <n v="4146"/>
    <n v="109"/>
  </r>
  <r>
    <x v="3"/>
    <x v="3"/>
    <d v="2020-12-10T00:00:00"/>
    <x v="0"/>
    <n v="29"/>
    <n v="105"/>
    <n v="108"/>
    <n v="4147"/>
    <n v="110"/>
  </r>
  <r>
    <x v="3"/>
    <x v="3"/>
    <d v="2020-12-11T00:00:00"/>
    <x v="2"/>
    <n v="39"/>
    <n v="135"/>
    <n v="117"/>
    <n v="4149"/>
    <n v="138"/>
  </r>
  <r>
    <x v="3"/>
    <x v="3"/>
    <d v="2020-12-11T00:00:00"/>
    <x v="0"/>
    <n v="32"/>
    <n v="105"/>
    <n v="108"/>
    <n v="4150"/>
    <n v="117"/>
  </r>
  <r>
    <x v="3"/>
    <x v="3"/>
    <d v="2020-12-11T00:00:00"/>
    <x v="2"/>
    <n v="21"/>
    <n v="135"/>
    <n v="117"/>
    <n v="4151"/>
    <n v="76"/>
  </r>
  <r>
    <x v="3"/>
    <x v="3"/>
    <d v="2020-12-14T00:00:00"/>
    <x v="2"/>
    <n v="33"/>
    <n v="135"/>
    <n v="117"/>
    <n v="4152"/>
    <n v="119"/>
  </r>
  <r>
    <x v="3"/>
    <x v="3"/>
    <d v="2020-12-16T00:00:00"/>
    <x v="0"/>
    <n v="22"/>
    <n v="105"/>
    <n v="108"/>
    <n v="4153"/>
    <n v="76"/>
  </r>
  <r>
    <x v="3"/>
    <x v="3"/>
    <d v="2020-12-16T00:00:00"/>
    <x v="1"/>
    <n v="34"/>
    <n v="120"/>
    <n v="110"/>
    <n v="4156"/>
    <n v="121"/>
  </r>
  <r>
    <x v="3"/>
    <x v="3"/>
    <d v="2020-12-16T00:00:00"/>
    <x v="2"/>
    <n v="24"/>
    <n v="135"/>
    <n v="117"/>
    <n v="4157"/>
    <n v="86"/>
  </r>
  <r>
    <x v="3"/>
    <x v="3"/>
    <d v="2020-12-16T00:00:00"/>
    <x v="2"/>
    <n v="23"/>
    <n v="135"/>
    <n v="117"/>
    <n v="4154"/>
    <n v="82"/>
  </r>
  <r>
    <x v="3"/>
    <x v="3"/>
    <d v="2020-12-16T00:00:00"/>
    <x v="2"/>
    <n v="36"/>
    <n v="135"/>
    <n v="117"/>
    <n v="4155"/>
    <n v="124"/>
  </r>
  <r>
    <x v="3"/>
    <x v="3"/>
    <d v="2020-12-17T00:00:00"/>
    <x v="2"/>
    <n v="18"/>
    <n v="135"/>
    <n v="117"/>
    <n v="4158"/>
    <n v="83"/>
  </r>
  <r>
    <x v="3"/>
    <x v="3"/>
    <d v="2020-12-17T00:00:00"/>
    <x v="2"/>
    <n v="33"/>
    <n v="135"/>
    <n v="117"/>
    <n v="4159"/>
    <n v="115"/>
  </r>
  <r>
    <x v="3"/>
    <x v="3"/>
    <d v="2020-12-18T00:00:00"/>
    <x v="2"/>
    <n v="18"/>
    <n v="135"/>
    <n v="117"/>
    <n v="4160"/>
    <n v="65"/>
  </r>
  <r>
    <x v="3"/>
    <x v="3"/>
    <d v="2020-12-18T00:00:00"/>
    <x v="2"/>
    <n v="35"/>
    <n v="135"/>
    <n v="117"/>
    <n v="4161"/>
    <n v="163"/>
  </r>
  <r>
    <x v="3"/>
    <x v="3"/>
    <d v="2020-12-18T00:00:00"/>
    <x v="0"/>
    <n v="44"/>
    <n v="105"/>
    <n v="108"/>
    <n v="4162"/>
    <n v="158"/>
  </r>
  <r>
    <x v="3"/>
    <x v="3"/>
    <d v="2020-12-18T00:00:00"/>
    <x v="2"/>
    <n v="19"/>
    <n v="135"/>
    <n v="117"/>
    <n v="4163"/>
    <n v="68"/>
  </r>
  <r>
    <x v="3"/>
    <x v="3"/>
    <d v="2020-12-21T00:00:00"/>
    <x v="0"/>
    <n v="22"/>
    <n v="105"/>
    <n v="108"/>
    <n v="4164"/>
    <n v="78"/>
  </r>
  <r>
    <x v="3"/>
    <x v="3"/>
    <d v="2020-12-21T00:00:00"/>
    <x v="0"/>
    <n v="29"/>
    <n v="105"/>
    <n v="108"/>
    <n v="4168"/>
    <n v="110"/>
  </r>
  <r>
    <x v="3"/>
    <x v="3"/>
    <d v="2020-12-21T00:00:00"/>
    <x v="1"/>
    <n v="39"/>
    <n v="120"/>
    <n v="110"/>
    <n v="4167"/>
    <n v="144"/>
  </r>
  <r>
    <x v="3"/>
    <x v="3"/>
    <d v="2020-12-21T00:00:00"/>
    <x v="1"/>
    <n v="32"/>
    <n v="120"/>
    <n v="110"/>
    <n v="4165"/>
    <n v="116"/>
  </r>
  <r>
    <x v="3"/>
    <x v="3"/>
    <d v="2020-12-21T00:00:00"/>
    <x v="2"/>
    <n v="27"/>
    <n v="135"/>
    <n v="117"/>
    <n v="4166"/>
    <n v="99"/>
  </r>
  <r>
    <x v="3"/>
    <x v="3"/>
    <d v="2020-12-22T00:00:00"/>
    <x v="1"/>
    <n v="51"/>
    <n v="120"/>
    <n v="110"/>
    <n v="4169"/>
    <n v="176"/>
  </r>
  <r>
    <x v="3"/>
    <x v="3"/>
    <d v="2020-12-24T00:00:00"/>
    <x v="0"/>
    <n v="36"/>
    <n v="105"/>
    <n v="108"/>
    <n v="4172"/>
    <n v="125"/>
  </r>
  <r>
    <x v="3"/>
    <x v="3"/>
    <d v="2020-12-24T00:00:00"/>
    <x v="2"/>
    <n v="16"/>
    <n v="135"/>
    <n v="117"/>
    <n v="4170"/>
    <n v="75"/>
  </r>
  <r>
    <x v="3"/>
    <x v="3"/>
    <d v="2020-12-24T00:00:00"/>
    <x v="1"/>
    <n v="28"/>
    <n v="120"/>
    <n v="110"/>
    <n v="4171"/>
    <n v="101"/>
  </r>
  <r>
    <x v="3"/>
    <x v="3"/>
    <d v="2020-12-25T00:00:00"/>
    <x v="1"/>
    <n v="51"/>
    <n v="120"/>
    <n v="110"/>
    <n v="4175"/>
    <n v="175"/>
  </r>
  <r>
    <x v="3"/>
    <x v="3"/>
    <d v="2020-12-25T00:00:00"/>
    <x v="0"/>
    <n v="37"/>
    <n v="105"/>
    <n v="108"/>
    <n v="4173"/>
    <n v="128"/>
  </r>
  <r>
    <x v="3"/>
    <x v="3"/>
    <d v="2020-12-25T00:00:00"/>
    <x v="1"/>
    <n v="28"/>
    <n v="120"/>
    <n v="110"/>
    <n v="4175"/>
    <n v="96"/>
  </r>
  <r>
    <x v="3"/>
    <x v="3"/>
    <d v="2020-12-28T00:00:00"/>
    <x v="2"/>
    <n v="41"/>
    <n v="135"/>
    <n v="117"/>
    <n v="4176"/>
    <n v="151"/>
  </r>
  <r>
    <x v="3"/>
    <x v="3"/>
    <d v="2020-12-29T00:00:00"/>
    <x v="1"/>
    <n v="36"/>
    <n v="120"/>
    <n v="110"/>
    <n v="4177"/>
    <n v="128"/>
  </r>
  <r>
    <x v="3"/>
    <x v="3"/>
    <d v="2020-12-29T00:00:00"/>
    <x v="0"/>
    <n v="35"/>
    <n v="105"/>
    <n v="108"/>
    <n v="4178"/>
    <n v="124"/>
  </r>
  <r>
    <x v="3"/>
    <x v="3"/>
    <d v="2020-12-29T00:00:00"/>
    <x v="1"/>
    <n v="48"/>
    <n v="120"/>
    <n v="110"/>
    <n v="4179"/>
    <n v="174"/>
  </r>
  <r>
    <x v="3"/>
    <x v="3"/>
    <d v="2020-12-29T00:00:00"/>
    <x v="2"/>
    <n v="16"/>
    <n v="135"/>
    <n v="117"/>
    <n v="4180"/>
    <n v="57"/>
  </r>
  <r>
    <x v="3"/>
    <x v="3"/>
    <d v="2020-12-30T00:00:00"/>
    <x v="0"/>
    <n v="38"/>
    <n v="105"/>
    <n v="108"/>
    <n v="4181"/>
    <n v="140"/>
  </r>
  <r>
    <x v="3"/>
    <x v="3"/>
    <d v="2020-12-30T00:00:00"/>
    <x v="2"/>
    <n v="40"/>
    <n v="135"/>
    <n v="117"/>
    <n v="4184"/>
    <n v="143"/>
  </r>
  <r>
    <x v="3"/>
    <x v="3"/>
    <d v="2020-12-30T00:00:00"/>
    <x v="2"/>
    <n v="27"/>
    <n v="135"/>
    <n v="117"/>
    <n v="4182"/>
    <n v="93"/>
  </r>
  <r>
    <x v="3"/>
    <x v="3"/>
    <d v="2020-12-30T00:00:00"/>
    <x v="1"/>
    <n v="40"/>
    <n v="120"/>
    <n v="110"/>
    <n v="4183"/>
    <n v="138"/>
  </r>
  <r>
    <x v="4"/>
    <x v="0"/>
    <d v="2021-01-01T00:00:00"/>
    <x v="0"/>
    <n v="49"/>
    <n v="105"/>
    <n v="108"/>
    <n v="4185"/>
    <n v="179"/>
  </r>
  <r>
    <x v="4"/>
    <x v="0"/>
    <d v="2021-01-01T00:00:00"/>
    <x v="2"/>
    <n v="53"/>
    <n v="135"/>
    <n v="117"/>
    <n v="4186"/>
    <n v="187"/>
  </r>
  <r>
    <x v="4"/>
    <x v="0"/>
    <d v="2021-01-01T00:00:00"/>
    <x v="0"/>
    <n v="45"/>
    <n v="105"/>
    <n v="108"/>
    <n v="4187"/>
    <n v="157"/>
  </r>
  <r>
    <x v="4"/>
    <x v="0"/>
    <d v="2021-01-01T00:00:00"/>
    <x v="2"/>
    <n v="36"/>
    <n v="135"/>
    <n v="117"/>
    <n v="4188"/>
    <n v="132"/>
  </r>
  <r>
    <x v="4"/>
    <x v="0"/>
    <d v="2021-01-05T00:00:00"/>
    <x v="1"/>
    <n v="37"/>
    <n v="110"/>
    <n v="110"/>
    <n v="4190"/>
    <n v="128"/>
  </r>
  <r>
    <x v="4"/>
    <x v="0"/>
    <d v="2021-01-05T00:00:00"/>
    <x v="1"/>
    <n v="43"/>
    <n v="110"/>
    <n v="110"/>
    <n v="4193"/>
    <n v="150"/>
  </r>
  <r>
    <x v="4"/>
    <x v="0"/>
    <d v="2021-01-05T00:00:00"/>
    <x v="1"/>
    <n v="59"/>
    <n v="110"/>
    <n v="110"/>
    <n v="4192"/>
    <n v="220"/>
  </r>
  <r>
    <x v="4"/>
    <x v="0"/>
    <d v="2021-01-05T00:00:00"/>
    <x v="2"/>
    <n v="36"/>
    <n v="135"/>
    <n v="117"/>
    <n v="4189"/>
    <n v="127"/>
  </r>
  <r>
    <x v="4"/>
    <x v="0"/>
    <d v="2021-01-05T00:00:00"/>
    <x v="0"/>
    <n v="37"/>
    <n v="105"/>
    <n v="108"/>
    <n v="4191"/>
    <n v="129"/>
  </r>
  <r>
    <x v="4"/>
    <x v="0"/>
    <d v="2021-01-07T00:00:00"/>
    <x v="1"/>
    <n v="49"/>
    <n v="110"/>
    <n v="110"/>
    <n v="4194"/>
    <n v="176"/>
  </r>
  <r>
    <x v="4"/>
    <x v="0"/>
    <d v="2021-01-08T00:00:00"/>
    <x v="1"/>
    <n v="37"/>
    <n v="110"/>
    <n v="110"/>
    <n v="4195"/>
    <n v="130"/>
  </r>
  <r>
    <x v="4"/>
    <x v="0"/>
    <d v="2021-01-11T00:00:00"/>
    <x v="1"/>
    <n v="37"/>
    <n v="110"/>
    <n v="110"/>
    <n v="4198"/>
    <n v="136"/>
  </r>
  <r>
    <x v="4"/>
    <x v="0"/>
    <d v="2021-01-11T00:00:00"/>
    <x v="0"/>
    <n v="42"/>
    <n v="105"/>
    <n v="108"/>
    <n v="4196"/>
    <n v="144"/>
  </r>
  <r>
    <x v="4"/>
    <x v="0"/>
    <d v="2021-01-11T00:00:00"/>
    <x v="0"/>
    <n v="57"/>
    <n v="105"/>
    <n v="108"/>
    <n v="4197"/>
    <n v="200"/>
  </r>
  <r>
    <x v="4"/>
    <x v="0"/>
    <d v="2021-01-12T00:00:00"/>
    <x v="2"/>
    <n v="37"/>
    <n v="135"/>
    <n v="117"/>
    <n v="4201"/>
    <n v="132"/>
  </r>
  <r>
    <x v="4"/>
    <x v="0"/>
    <d v="2021-01-12T00:00:00"/>
    <x v="0"/>
    <n v="49"/>
    <n v="105"/>
    <n v="108"/>
    <n v="4199"/>
    <n v="180"/>
  </r>
  <r>
    <x v="4"/>
    <x v="0"/>
    <d v="2021-01-12T00:00:00"/>
    <x v="2"/>
    <n v="32"/>
    <n v="135"/>
    <n v="117"/>
    <n v="4200"/>
    <n v="112"/>
  </r>
  <r>
    <x v="4"/>
    <x v="0"/>
    <d v="2021-01-18T00:00:00"/>
    <x v="1"/>
    <n v="61"/>
    <n v="110"/>
    <n v="110"/>
    <n v="4202"/>
    <n v="224"/>
  </r>
  <r>
    <x v="4"/>
    <x v="0"/>
    <d v="2021-01-18T00:00:00"/>
    <x v="1"/>
    <n v="57"/>
    <n v="110"/>
    <n v="110"/>
    <n v="4203"/>
    <n v="208"/>
  </r>
  <r>
    <x v="4"/>
    <x v="0"/>
    <d v="2021-01-20T00:00:00"/>
    <x v="2"/>
    <n v="40"/>
    <n v="135"/>
    <n v="117"/>
    <n v="4204"/>
    <n v="141"/>
  </r>
  <r>
    <x v="4"/>
    <x v="0"/>
    <d v="2021-01-20T00:00:00"/>
    <x v="0"/>
    <n v="48"/>
    <n v="105"/>
    <n v="108"/>
    <n v="4205"/>
    <n v="169"/>
  </r>
  <r>
    <x v="4"/>
    <x v="0"/>
    <d v="2021-01-21T00:00:00"/>
    <x v="1"/>
    <n v="39"/>
    <n v="110"/>
    <n v="110"/>
    <n v="4208"/>
    <n v="141"/>
  </r>
  <r>
    <x v="4"/>
    <x v="0"/>
    <d v="2021-01-21T00:00:00"/>
    <x v="0"/>
    <n v="53"/>
    <n v="105"/>
    <n v="108"/>
    <n v="4209"/>
    <n v="247"/>
  </r>
  <r>
    <x v="4"/>
    <x v="0"/>
    <d v="2021-01-21T00:00:00"/>
    <x v="1"/>
    <n v="50"/>
    <n v="110"/>
    <n v="110"/>
    <n v="4206"/>
    <n v="176"/>
  </r>
  <r>
    <x v="4"/>
    <x v="0"/>
    <d v="2021-01-21T00:00:00"/>
    <x v="1"/>
    <n v="43"/>
    <n v="110"/>
    <n v="110"/>
    <n v="4207"/>
    <n v="199"/>
  </r>
  <r>
    <x v="4"/>
    <x v="0"/>
    <d v="2021-01-21T00:00:00"/>
    <x v="0"/>
    <n v="43"/>
    <n v="105"/>
    <n v="108"/>
    <n v="4210"/>
    <n v="155"/>
  </r>
  <r>
    <x v="4"/>
    <x v="0"/>
    <d v="2021-01-22T00:00:00"/>
    <x v="2"/>
    <n v="38"/>
    <n v="135"/>
    <n v="117"/>
    <n v="4211"/>
    <n v="134"/>
  </r>
  <r>
    <x v="4"/>
    <x v="0"/>
    <d v="2021-01-25T00:00:00"/>
    <x v="2"/>
    <n v="44"/>
    <n v="135"/>
    <n v="117"/>
    <n v="4216"/>
    <n v="159"/>
  </r>
  <r>
    <x v="4"/>
    <x v="0"/>
    <d v="2021-01-25T00:00:00"/>
    <x v="2"/>
    <n v="31"/>
    <n v="135"/>
    <n v="117"/>
    <n v="4212"/>
    <n v="112"/>
  </r>
  <r>
    <x v="4"/>
    <x v="0"/>
    <d v="2021-01-25T00:00:00"/>
    <x v="2"/>
    <n v="53"/>
    <n v="135"/>
    <n v="117"/>
    <n v="4213"/>
    <n v="187"/>
  </r>
  <r>
    <x v="4"/>
    <x v="0"/>
    <d v="2021-01-25T00:00:00"/>
    <x v="0"/>
    <n v="55"/>
    <n v="105"/>
    <n v="108"/>
    <n v="4214"/>
    <n v="202"/>
  </r>
  <r>
    <x v="4"/>
    <x v="0"/>
    <d v="2021-01-25T00:00:00"/>
    <x v="1"/>
    <n v="62"/>
    <n v="110"/>
    <n v="110"/>
    <n v="4215"/>
    <n v="215"/>
  </r>
  <r>
    <x v="4"/>
    <x v="0"/>
    <d v="2021-01-28T00:00:00"/>
    <x v="1"/>
    <n v="58"/>
    <n v="110"/>
    <n v="110"/>
    <n v="4219"/>
    <n v="212"/>
  </r>
  <r>
    <x v="4"/>
    <x v="0"/>
    <d v="2021-01-28T00:00:00"/>
    <x v="0"/>
    <n v="37"/>
    <n v="105"/>
    <n v="108"/>
    <n v="4217"/>
    <n v="136"/>
  </r>
  <r>
    <x v="4"/>
    <x v="0"/>
    <d v="2021-01-28T00:00:00"/>
    <x v="1"/>
    <n v="45"/>
    <n v="110"/>
    <n v="110"/>
    <n v="4218"/>
    <n v="158"/>
  </r>
  <r>
    <x v="4"/>
    <x v="0"/>
    <d v="2021-01-29T00:00:00"/>
    <x v="2"/>
    <n v="40"/>
    <n v="135"/>
    <n v="117"/>
    <n v="4220"/>
    <n v="139"/>
  </r>
  <r>
    <x v="4"/>
    <x v="0"/>
    <d v="2021-02-01T00:00:00"/>
    <x v="2"/>
    <n v="33"/>
    <n v="135"/>
    <n v="117"/>
    <n v="4221"/>
    <n v="114"/>
  </r>
  <r>
    <x v="4"/>
    <x v="0"/>
    <d v="2021-02-01T00:00:00"/>
    <x v="0"/>
    <n v="57"/>
    <n v="105"/>
    <n v="108"/>
    <n v="4222"/>
    <n v="206"/>
  </r>
  <r>
    <x v="4"/>
    <x v="0"/>
    <d v="2021-02-01T00:00:00"/>
    <x v="1"/>
    <n v="48"/>
    <n v="110"/>
    <n v="110"/>
    <n v="4223"/>
    <n v="166"/>
  </r>
  <r>
    <x v="4"/>
    <x v="0"/>
    <d v="2021-02-01T00:00:00"/>
    <x v="1"/>
    <n v="61"/>
    <n v="110"/>
    <n v="110"/>
    <n v="4224"/>
    <n v="216"/>
  </r>
  <r>
    <x v="4"/>
    <x v="0"/>
    <d v="2021-02-02T00:00:00"/>
    <x v="2"/>
    <n v="48"/>
    <n v="135"/>
    <n v="117"/>
    <n v="4228"/>
    <n v="222"/>
  </r>
  <r>
    <x v="4"/>
    <x v="0"/>
    <d v="2021-02-02T00:00:00"/>
    <x v="2"/>
    <n v="35"/>
    <n v="135"/>
    <n v="117"/>
    <n v="4227"/>
    <n v="130"/>
  </r>
  <r>
    <x v="4"/>
    <x v="0"/>
    <d v="2021-02-02T00:00:00"/>
    <x v="2"/>
    <n v="37"/>
    <n v="135"/>
    <n v="117"/>
    <n v="4226"/>
    <n v="131"/>
  </r>
  <r>
    <x v="4"/>
    <x v="0"/>
    <d v="2021-02-02T00:00:00"/>
    <x v="0"/>
    <n v="41"/>
    <n v="105"/>
    <n v="108"/>
    <n v="4225"/>
    <n v="150"/>
  </r>
  <r>
    <x v="4"/>
    <x v="0"/>
    <d v="2021-02-09T00:00:00"/>
    <x v="2"/>
    <n v="48"/>
    <n v="135"/>
    <n v="117"/>
    <n v="4230"/>
    <n v="174"/>
  </r>
  <r>
    <x v="4"/>
    <x v="0"/>
    <d v="2021-02-09T00:00:00"/>
    <x v="0"/>
    <n v="58"/>
    <n v="105"/>
    <n v="108"/>
    <n v="4231"/>
    <n v="212"/>
  </r>
  <r>
    <x v="4"/>
    <x v="0"/>
    <d v="2021-02-09T00:00:00"/>
    <x v="1"/>
    <n v="60"/>
    <n v="110"/>
    <n v="110"/>
    <n v="4229"/>
    <n v="209"/>
  </r>
  <r>
    <x v="4"/>
    <x v="0"/>
    <d v="2021-02-11T00:00:00"/>
    <x v="1"/>
    <n v="40"/>
    <n v="110"/>
    <n v="110"/>
    <n v="4232"/>
    <n v="139"/>
  </r>
  <r>
    <x v="4"/>
    <x v="0"/>
    <d v="2021-02-11T00:00:00"/>
    <x v="1"/>
    <n v="61"/>
    <n v="110"/>
    <n v="110"/>
    <n v="4233"/>
    <n v="226"/>
  </r>
  <r>
    <x v="4"/>
    <x v="0"/>
    <d v="2021-02-12T00:00:00"/>
    <x v="0"/>
    <n v="36"/>
    <n v="105"/>
    <n v="108"/>
    <n v="4235"/>
    <n v="124"/>
  </r>
  <r>
    <x v="4"/>
    <x v="0"/>
    <d v="2021-02-12T00:00:00"/>
    <x v="0"/>
    <n v="44"/>
    <n v="105"/>
    <n v="108"/>
    <n v="4236"/>
    <n v="153"/>
  </r>
  <r>
    <x v="4"/>
    <x v="0"/>
    <d v="2021-02-12T00:00:00"/>
    <x v="2"/>
    <n v="30"/>
    <n v="135"/>
    <n v="117"/>
    <n v="4234"/>
    <n v="109"/>
  </r>
  <r>
    <x v="4"/>
    <x v="0"/>
    <d v="2021-02-12T00:00:00"/>
    <x v="0"/>
    <n v="44"/>
    <n v="105"/>
    <n v="108"/>
    <n v="4237"/>
    <n v="160"/>
  </r>
  <r>
    <x v="4"/>
    <x v="0"/>
    <d v="2021-02-15T00:00:00"/>
    <x v="1"/>
    <n v="60"/>
    <n v="110"/>
    <n v="110"/>
    <n v="4238"/>
    <n v="216"/>
  </r>
  <r>
    <x v="4"/>
    <x v="0"/>
    <d v="2021-02-15T00:00:00"/>
    <x v="1"/>
    <n v="41"/>
    <n v="110"/>
    <n v="110"/>
    <n v="4239"/>
    <n v="147"/>
  </r>
  <r>
    <x v="4"/>
    <x v="0"/>
    <d v="2021-02-15T00:00:00"/>
    <x v="1"/>
    <n v="59"/>
    <n v="110"/>
    <n v="110"/>
    <n v="4240"/>
    <n v="203"/>
  </r>
  <r>
    <x v="4"/>
    <x v="0"/>
    <d v="2021-02-15T00:00:00"/>
    <x v="0"/>
    <n v="42"/>
    <n v="105"/>
    <n v="108"/>
    <n v="4241"/>
    <n v="154"/>
  </r>
  <r>
    <x v="4"/>
    <x v="0"/>
    <d v="2021-02-15T00:00:00"/>
    <x v="1"/>
    <n v="53"/>
    <n v="110"/>
    <n v="110"/>
    <n v="4242"/>
    <n v="186"/>
  </r>
  <r>
    <x v="4"/>
    <x v="0"/>
    <d v="2021-02-19T00:00:00"/>
    <x v="0"/>
    <n v="44"/>
    <n v="105"/>
    <n v="108"/>
    <n v="4244"/>
    <n v="153"/>
  </r>
  <r>
    <x v="4"/>
    <x v="0"/>
    <d v="2021-02-19T00:00:00"/>
    <x v="0"/>
    <n v="33"/>
    <n v="105"/>
    <n v="108"/>
    <n v="4247"/>
    <n v="116"/>
  </r>
  <r>
    <x v="4"/>
    <x v="0"/>
    <d v="2021-02-19T00:00:00"/>
    <x v="0"/>
    <n v="48"/>
    <n v="105"/>
    <n v="108"/>
    <n v="4246"/>
    <n v="174"/>
  </r>
  <r>
    <x v="4"/>
    <x v="0"/>
    <d v="2021-02-19T00:00:00"/>
    <x v="2"/>
    <n v="27"/>
    <n v="135"/>
    <n v="117"/>
    <n v="4243"/>
    <n v="95"/>
  </r>
  <r>
    <x v="4"/>
    <x v="0"/>
    <d v="2021-02-19T00:00:00"/>
    <x v="1"/>
    <n v="63"/>
    <n v="110"/>
    <n v="110"/>
    <n v="4245"/>
    <n v="230"/>
  </r>
  <r>
    <x v="4"/>
    <x v="0"/>
    <d v="2021-02-22T00:00:00"/>
    <x v="1"/>
    <n v="37"/>
    <n v="110"/>
    <n v="110"/>
    <n v="4248"/>
    <n v="173"/>
  </r>
  <r>
    <x v="4"/>
    <x v="0"/>
    <d v="2021-02-25T00:00:00"/>
    <x v="0"/>
    <n v="41"/>
    <n v="105"/>
    <n v="108"/>
    <n v="4249"/>
    <n v="149"/>
  </r>
  <r>
    <x v="4"/>
    <x v="0"/>
    <d v="2021-03-04T00:00:00"/>
    <x v="0"/>
    <n v="49"/>
    <n v="105"/>
    <n v="108"/>
    <n v="4250"/>
    <n v="180"/>
  </r>
  <r>
    <x v="4"/>
    <x v="0"/>
    <d v="2021-03-04T00:00:00"/>
    <x v="2"/>
    <n v="34"/>
    <n v="135"/>
    <n v="117"/>
    <n v="4251"/>
    <n v="119"/>
  </r>
  <r>
    <x v="4"/>
    <x v="0"/>
    <d v="2021-03-05T00:00:00"/>
    <x v="0"/>
    <n v="33"/>
    <n v="105"/>
    <n v="108"/>
    <n v="4253"/>
    <n v="118"/>
  </r>
  <r>
    <x v="4"/>
    <x v="0"/>
    <d v="2021-03-05T00:00:00"/>
    <x v="1"/>
    <n v="37"/>
    <n v="110"/>
    <n v="110"/>
    <n v="4254"/>
    <n v="136"/>
  </r>
  <r>
    <x v="4"/>
    <x v="0"/>
    <d v="2021-03-05T00:00:00"/>
    <x v="0"/>
    <n v="50"/>
    <n v="105"/>
    <n v="108"/>
    <n v="4252"/>
    <n v="181"/>
  </r>
  <r>
    <x v="4"/>
    <x v="0"/>
    <d v="2021-03-09T00:00:00"/>
    <x v="2"/>
    <n v="52"/>
    <n v="135"/>
    <n v="117"/>
    <n v="4256"/>
    <n v="187"/>
  </r>
  <r>
    <x v="4"/>
    <x v="0"/>
    <d v="2021-03-09T00:00:00"/>
    <x v="1"/>
    <n v="45"/>
    <n v="110"/>
    <n v="110"/>
    <n v="4257"/>
    <n v="207"/>
  </r>
  <r>
    <x v="4"/>
    <x v="0"/>
    <d v="2021-03-09T00:00:00"/>
    <x v="1"/>
    <n v="51"/>
    <n v="110"/>
    <n v="110"/>
    <n v="4258"/>
    <n v="178"/>
  </r>
  <r>
    <x v="4"/>
    <x v="0"/>
    <d v="2021-03-09T00:00:00"/>
    <x v="2"/>
    <n v="44"/>
    <n v="135"/>
    <n v="117"/>
    <n v="4259"/>
    <n v="152"/>
  </r>
  <r>
    <x v="4"/>
    <x v="0"/>
    <d v="2021-03-09T00:00:00"/>
    <x v="2"/>
    <n v="29"/>
    <n v="135"/>
    <n v="117"/>
    <n v="4255"/>
    <n v="106"/>
  </r>
  <r>
    <x v="4"/>
    <x v="0"/>
    <d v="2021-03-12T00:00:00"/>
    <x v="0"/>
    <n v="46"/>
    <n v="105"/>
    <n v="108"/>
    <n v="4260"/>
    <n v="216"/>
  </r>
  <r>
    <x v="4"/>
    <x v="0"/>
    <d v="2021-03-12T00:00:00"/>
    <x v="0"/>
    <n v="45"/>
    <n v="105"/>
    <n v="108"/>
    <n v="4261"/>
    <n v="165"/>
  </r>
  <r>
    <x v="4"/>
    <x v="0"/>
    <d v="2021-03-17T00:00:00"/>
    <x v="1"/>
    <n v="37"/>
    <n v="110"/>
    <n v="110"/>
    <n v="4263"/>
    <n v="127"/>
  </r>
  <r>
    <x v="4"/>
    <x v="0"/>
    <d v="2021-03-17T00:00:00"/>
    <x v="0"/>
    <n v="51"/>
    <n v="105"/>
    <n v="108"/>
    <n v="4266"/>
    <n v="175"/>
  </r>
  <r>
    <x v="4"/>
    <x v="0"/>
    <d v="2021-03-17T00:00:00"/>
    <x v="0"/>
    <n v="42"/>
    <n v="105"/>
    <n v="108"/>
    <n v="4264"/>
    <n v="147"/>
  </r>
  <r>
    <x v="4"/>
    <x v="0"/>
    <d v="2021-03-17T00:00:00"/>
    <x v="1"/>
    <n v="42"/>
    <n v="110"/>
    <n v="110"/>
    <n v="4262"/>
    <n v="146"/>
  </r>
  <r>
    <x v="4"/>
    <x v="0"/>
    <d v="2021-03-17T00:00:00"/>
    <x v="1"/>
    <n v="52"/>
    <n v="110"/>
    <n v="110"/>
    <n v="4265"/>
    <n v="193"/>
  </r>
  <r>
    <x v="4"/>
    <x v="0"/>
    <d v="2021-03-18T00:00:00"/>
    <x v="1"/>
    <n v="48"/>
    <n v="110"/>
    <n v="110"/>
    <n v="4267"/>
    <n v="175"/>
  </r>
  <r>
    <x v="4"/>
    <x v="0"/>
    <d v="2021-03-18T00:00:00"/>
    <x v="1"/>
    <n v="53"/>
    <n v="110"/>
    <n v="110"/>
    <n v="4268"/>
    <n v="191"/>
  </r>
  <r>
    <x v="4"/>
    <x v="0"/>
    <d v="2021-03-19T00:00:00"/>
    <x v="1"/>
    <n v="55"/>
    <n v="110"/>
    <n v="110"/>
    <n v="4269"/>
    <n v="189"/>
  </r>
  <r>
    <x v="4"/>
    <x v="0"/>
    <d v="2021-03-24T00:00:00"/>
    <x v="1"/>
    <n v="61"/>
    <n v="110"/>
    <n v="110"/>
    <n v="4270"/>
    <n v="219"/>
  </r>
  <r>
    <x v="4"/>
    <x v="0"/>
    <d v="2021-03-25T00:00:00"/>
    <x v="0"/>
    <n v="35"/>
    <n v="105"/>
    <n v="108"/>
    <n v="4273"/>
    <n v="120"/>
  </r>
  <r>
    <x v="4"/>
    <x v="0"/>
    <d v="2021-03-25T00:00:00"/>
    <x v="0"/>
    <n v="53"/>
    <n v="105"/>
    <n v="108"/>
    <n v="4274"/>
    <n v="248"/>
  </r>
  <r>
    <x v="4"/>
    <x v="0"/>
    <d v="2021-03-25T00:00:00"/>
    <x v="1"/>
    <n v="62"/>
    <n v="110"/>
    <n v="110"/>
    <n v="4272"/>
    <n v="226"/>
  </r>
  <r>
    <x v="4"/>
    <x v="0"/>
    <d v="2021-03-25T00:00:00"/>
    <x v="0"/>
    <n v="55"/>
    <n v="105"/>
    <n v="108"/>
    <n v="4271"/>
    <n v="189"/>
  </r>
  <r>
    <x v="4"/>
    <x v="0"/>
    <d v="2021-03-25T00:00:00"/>
    <x v="1"/>
    <n v="58"/>
    <n v="110"/>
    <n v="110"/>
    <n v="4275"/>
    <n v="208"/>
  </r>
  <r>
    <x v="4"/>
    <x v="0"/>
    <d v="2021-03-26T00:00:00"/>
    <x v="1"/>
    <n v="57"/>
    <n v="110"/>
    <n v="110"/>
    <n v="4276"/>
    <n v="207"/>
  </r>
  <r>
    <x v="4"/>
    <x v="0"/>
    <d v="2021-03-26T00:00:00"/>
    <x v="0"/>
    <n v="47"/>
    <n v="105"/>
    <n v="108"/>
    <n v="4277"/>
    <n v="220"/>
  </r>
  <r>
    <x v="4"/>
    <x v="0"/>
    <d v="2021-03-26T00:00:00"/>
    <x v="0"/>
    <n v="56"/>
    <n v="105"/>
    <n v="108"/>
    <n v="4278"/>
    <n v="205"/>
  </r>
  <r>
    <x v="4"/>
    <x v="0"/>
    <d v="2021-03-29T00:00:00"/>
    <x v="0"/>
    <n v="35"/>
    <n v="105"/>
    <n v="108"/>
    <n v="4281"/>
    <n v="127"/>
  </r>
  <r>
    <x v="4"/>
    <x v="0"/>
    <d v="2021-03-29T00:00:00"/>
    <x v="2"/>
    <n v="29"/>
    <n v="135"/>
    <n v="117"/>
    <n v="4279"/>
    <n v="100"/>
  </r>
  <r>
    <x v="4"/>
    <x v="0"/>
    <d v="2021-03-29T00:00:00"/>
    <x v="0"/>
    <n v="58"/>
    <n v="105"/>
    <n v="108"/>
    <n v="4280"/>
    <n v="212"/>
  </r>
  <r>
    <x v="4"/>
    <x v="0"/>
    <d v="2021-03-30T00:00:00"/>
    <x v="0"/>
    <n v="52"/>
    <n v="105"/>
    <n v="108"/>
    <n v="4285"/>
    <n v="185"/>
  </r>
  <r>
    <x v="4"/>
    <x v="0"/>
    <d v="2021-03-30T00:00:00"/>
    <x v="1"/>
    <n v="40"/>
    <n v="110"/>
    <n v="110"/>
    <n v="4284"/>
    <n v="144"/>
  </r>
  <r>
    <x v="4"/>
    <x v="0"/>
    <d v="2021-03-30T00:00:00"/>
    <x v="1"/>
    <n v="50"/>
    <n v="110"/>
    <n v="110"/>
    <n v="4282"/>
    <n v="181"/>
  </r>
  <r>
    <x v="4"/>
    <x v="0"/>
    <d v="2021-03-30T00:00:00"/>
    <x v="2"/>
    <n v="29"/>
    <n v="135"/>
    <n v="117"/>
    <n v="4283"/>
    <n v="104"/>
  </r>
  <r>
    <x v="4"/>
    <x v="1"/>
    <d v="2021-04-01T00:00:00"/>
    <x v="0"/>
    <n v="45"/>
    <n v="105"/>
    <n v="108"/>
    <n v="4286"/>
    <n v="166"/>
  </r>
  <r>
    <x v="4"/>
    <x v="1"/>
    <d v="2021-04-01T00:00:00"/>
    <x v="2"/>
    <n v="37"/>
    <n v="135"/>
    <n v="117"/>
    <n v="4287"/>
    <n v="136"/>
  </r>
  <r>
    <x v="4"/>
    <x v="1"/>
    <d v="2021-04-01T00:00:00"/>
    <x v="0"/>
    <n v="42"/>
    <n v="105"/>
    <n v="108"/>
    <n v="4288"/>
    <n v="155"/>
  </r>
  <r>
    <x v="4"/>
    <x v="1"/>
    <d v="2021-04-01T00:00:00"/>
    <x v="0"/>
    <n v="45"/>
    <n v="105"/>
    <n v="108"/>
    <n v="4289"/>
    <n v="160"/>
  </r>
  <r>
    <x v="4"/>
    <x v="1"/>
    <d v="2021-04-01T00:00:00"/>
    <x v="1"/>
    <n v="34"/>
    <n v="110"/>
    <n v="110"/>
    <n v="4290"/>
    <n v="122"/>
  </r>
  <r>
    <x v="4"/>
    <x v="1"/>
    <d v="2021-04-02T00:00:00"/>
    <x v="2"/>
    <n v="28"/>
    <n v="135"/>
    <n v="117"/>
    <n v="4291"/>
    <n v="131"/>
  </r>
  <r>
    <x v="4"/>
    <x v="1"/>
    <d v="2021-04-05T00:00:00"/>
    <x v="1"/>
    <n v="57"/>
    <n v="110"/>
    <n v="110"/>
    <n v="4295"/>
    <n v="202"/>
  </r>
  <r>
    <x v="4"/>
    <x v="1"/>
    <d v="2021-04-05T00:00:00"/>
    <x v="0"/>
    <n v="51"/>
    <n v="105"/>
    <n v="108"/>
    <n v="4294"/>
    <n v="176"/>
  </r>
  <r>
    <x v="4"/>
    <x v="1"/>
    <d v="2021-04-05T00:00:00"/>
    <x v="1"/>
    <n v="36"/>
    <n v="110"/>
    <n v="110"/>
    <n v="4292"/>
    <n v="127"/>
  </r>
  <r>
    <x v="4"/>
    <x v="1"/>
    <d v="2021-04-05T00:00:00"/>
    <x v="0"/>
    <n v="32"/>
    <n v="105"/>
    <n v="108"/>
    <n v="4293"/>
    <n v="148"/>
  </r>
  <r>
    <x v="4"/>
    <x v="1"/>
    <d v="2021-04-06T00:00:00"/>
    <x v="0"/>
    <n v="32"/>
    <n v="105"/>
    <n v="108"/>
    <n v="4296"/>
    <n v="148"/>
  </r>
  <r>
    <x v="4"/>
    <x v="1"/>
    <d v="2021-04-06T00:00:00"/>
    <x v="1"/>
    <n v="52"/>
    <n v="110"/>
    <n v="110"/>
    <n v="4297"/>
    <n v="186"/>
  </r>
  <r>
    <x v="4"/>
    <x v="1"/>
    <d v="2021-04-06T00:00:00"/>
    <x v="1"/>
    <n v="32"/>
    <n v="110"/>
    <n v="110"/>
    <n v="4298"/>
    <n v="117"/>
  </r>
  <r>
    <x v="4"/>
    <x v="1"/>
    <d v="2021-04-08T00:00:00"/>
    <x v="0"/>
    <n v="32"/>
    <n v="105"/>
    <n v="108"/>
    <n v="4299"/>
    <n v="115"/>
  </r>
  <r>
    <x v="4"/>
    <x v="1"/>
    <d v="2021-04-08T00:00:00"/>
    <x v="2"/>
    <n v="34"/>
    <n v="135"/>
    <n v="117"/>
    <n v="4302"/>
    <n v="122"/>
  </r>
  <r>
    <x v="4"/>
    <x v="1"/>
    <d v="2021-04-08T00:00:00"/>
    <x v="2"/>
    <n v="22"/>
    <n v="135"/>
    <n v="117"/>
    <n v="4301"/>
    <n v="76"/>
  </r>
  <r>
    <x v="4"/>
    <x v="1"/>
    <d v="2021-04-08T00:00:00"/>
    <x v="2"/>
    <n v="47"/>
    <n v="135"/>
    <n v="117"/>
    <n v="4300"/>
    <n v="167"/>
  </r>
  <r>
    <x v="4"/>
    <x v="1"/>
    <d v="2021-04-09T00:00:00"/>
    <x v="0"/>
    <n v="50"/>
    <n v="105"/>
    <n v="108"/>
    <n v="4303"/>
    <n v="174"/>
  </r>
  <r>
    <x v="4"/>
    <x v="1"/>
    <d v="2021-04-09T00:00:00"/>
    <x v="1"/>
    <n v="39"/>
    <n v="110"/>
    <n v="110"/>
    <n v="4304"/>
    <n v="137"/>
  </r>
  <r>
    <x v="4"/>
    <x v="1"/>
    <d v="2021-04-12T00:00:00"/>
    <x v="0"/>
    <n v="52"/>
    <n v="105"/>
    <n v="108"/>
    <n v="4305"/>
    <n v="186"/>
  </r>
  <r>
    <x v="4"/>
    <x v="1"/>
    <d v="2021-04-13T00:00:00"/>
    <x v="1"/>
    <n v="55"/>
    <n v="110"/>
    <n v="110"/>
    <n v="4308"/>
    <n v="253"/>
  </r>
  <r>
    <x v="4"/>
    <x v="1"/>
    <d v="2021-04-13T00:00:00"/>
    <x v="2"/>
    <n v="35"/>
    <n v="135"/>
    <n v="117"/>
    <n v="4306"/>
    <n v="122"/>
  </r>
  <r>
    <x v="4"/>
    <x v="1"/>
    <d v="2021-04-13T00:00:00"/>
    <x v="1"/>
    <n v="39"/>
    <n v="110"/>
    <n v="110"/>
    <n v="4307"/>
    <n v="140"/>
  </r>
  <r>
    <x v="4"/>
    <x v="1"/>
    <d v="2021-04-14T00:00:00"/>
    <x v="2"/>
    <n v="42"/>
    <n v="135"/>
    <n v="117"/>
    <n v="4309"/>
    <n v="150"/>
  </r>
  <r>
    <x v="4"/>
    <x v="1"/>
    <d v="2021-04-15T00:00:00"/>
    <x v="0"/>
    <n v="52"/>
    <n v="105"/>
    <n v="108"/>
    <n v="4311"/>
    <n v="187"/>
  </r>
  <r>
    <x v="4"/>
    <x v="1"/>
    <d v="2021-04-15T00:00:00"/>
    <x v="2"/>
    <n v="41"/>
    <n v="135"/>
    <n v="117"/>
    <n v="4312"/>
    <n v="144"/>
  </r>
  <r>
    <x v="4"/>
    <x v="1"/>
    <d v="2021-04-15T00:00:00"/>
    <x v="2"/>
    <n v="35"/>
    <n v="135"/>
    <n v="117"/>
    <n v="4310"/>
    <n v="129"/>
  </r>
  <r>
    <x v="4"/>
    <x v="1"/>
    <d v="2021-04-16T00:00:00"/>
    <x v="1"/>
    <n v="40"/>
    <n v="110"/>
    <n v="110"/>
    <n v="4313"/>
    <n v="139"/>
  </r>
  <r>
    <x v="4"/>
    <x v="1"/>
    <d v="2021-04-16T00:00:00"/>
    <x v="1"/>
    <n v="40"/>
    <n v="110"/>
    <n v="110"/>
    <n v="4314"/>
    <n v="145"/>
  </r>
  <r>
    <x v="4"/>
    <x v="1"/>
    <d v="2021-04-19T00:00:00"/>
    <x v="0"/>
    <n v="45"/>
    <n v="105"/>
    <n v="108"/>
    <n v="4318"/>
    <n v="160"/>
  </r>
  <r>
    <x v="4"/>
    <x v="1"/>
    <d v="2021-04-19T00:00:00"/>
    <x v="2"/>
    <n v="33"/>
    <n v="135"/>
    <n v="117"/>
    <n v="4317"/>
    <n v="120"/>
  </r>
  <r>
    <x v="4"/>
    <x v="1"/>
    <d v="2021-04-19T00:00:00"/>
    <x v="2"/>
    <n v="31"/>
    <n v="135"/>
    <n v="117"/>
    <n v="4316"/>
    <n v="112"/>
  </r>
  <r>
    <x v="4"/>
    <x v="1"/>
    <d v="2021-04-19T00:00:00"/>
    <x v="2"/>
    <n v="37"/>
    <n v="135"/>
    <n v="117"/>
    <n v="4315"/>
    <n v="136"/>
  </r>
  <r>
    <x v="4"/>
    <x v="1"/>
    <d v="2021-04-19T00:00:00"/>
    <x v="0"/>
    <n v="38"/>
    <n v="105"/>
    <n v="108"/>
    <n v="4319"/>
    <n v="134"/>
  </r>
  <r>
    <x v="4"/>
    <x v="1"/>
    <d v="2021-04-20T00:00:00"/>
    <x v="1"/>
    <n v="48"/>
    <n v="110"/>
    <n v="110"/>
    <n v="4320"/>
    <n v="173"/>
  </r>
  <r>
    <x v="4"/>
    <x v="1"/>
    <d v="2021-04-20T00:00:00"/>
    <x v="1"/>
    <n v="38"/>
    <n v="110"/>
    <n v="110"/>
    <n v="4321"/>
    <n v="136"/>
  </r>
  <r>
    <x v="4"/>
    <x v="1"/>
    <d v="2021-04-20T00:00:00"/>
    <x v="0"/>
    <n v="38"/>
    <n v="105"/>
    <n v="108"/>
    <n v="4322"/>
    <n v="134"/>
  </r>
  <r>
    <x v="4"/>
    <x v="1"/>
    <d v="2021-04-21T00:00:00"/>
    <x v="0"/>
    <n v="40"/>
    <n v="105"/>
    <n v="108"/>
    <n v="4323"/>
    <n v="146"/>
  </r>
  <r>
    <x v="4"/>
    <x v="1"/>
    <d v="2021-04-21T00:00:00"/>
    <x v="2"/>
    <n v="27"/>
    <n v="135"/>
    <n v="117"/>
    <n v="4324"/>
    <n v="94"/>
  </r>
  <r>
    <x v="4"/>
    <x v="1"/>
    <d v="2021-04-22T00:00:00"/>
    <x v="1"/>
    <n v="47"/>
    <n v="110"/>
    <n v="110"/>
    <n v="4325"/>
    <n v="161"/>
  </r>
  <r>
    <x v="4"/>
    <x v="1"/>
    <d v="2021-04-22T00:00:00"/>
    <x v="1"/>
    <n v="46"/>
    <n v="110"/>
    <n v="110"/>
    <n v="4326"/>
    <n v="161"/>
  </r>
  <r>
    <x v="4"/>
    <x v="1"/>
    <d v="2021-04-26T00:00:00"/>
    <x v="1"/>
    <n v="33"/>
    <n v="110"/>
    <n v="110"/>
    <n v="4327"/>
    <n v="114"/>
  </r>
  <r>
    <x v="4"/>
    <x v="1"/>
    <d v="2021-04-27T00:00:00"/>
    <x v="2"/>
    <n v="42"/>
    <n v="135"/>
    <n v="117"/>
    <n v="4328"/>
    <n v="144"/>
  </r>
  <r>
    <x v="4"/>
    <x v="1"/>
    <d v="2021-04-27T00:00:00"/>
    <x v="0"/>
    <n v="29"/>
    <n v="105"/>
    <n v="108"/>
    <n v="4329"/>
    <n v="105"/>
  </r>
  <r>
    <x v="4"/>
    <x v="1"/>
    <d v="2021-04-27T00:00:00"/>
    <x v="0"/>
    <n v="52"/>
    <n v="105"/>
    <n v="108"/>
    <n v="4330"/>
    <n v="185"/>
  </r>
  <r>
    <x v="4"/>
    <x v="1"/>
    <d v="2021-04-28T00:00:00"/>
    <x v="1"/>
    <n v="45"/>
    <n v="110"/>
    <n v="110"/>
    <n v="4331"/>
    <n v="162"/>
  </r>
  <r>
    <x v="4"/>
    <x v="1"/>
    <d v="2021-04-28T00:00:00"/>
    <x v="1"/>
    <n v="47"/>
    <n v="110"/>
    <n v="110"/>
    <n v="4332"/>
    <n v="171"/>
  </r>
  <r>
    <x v="4"/>
    <x v="1"/>
    <d v="2021-04-28T00:00:00"/>
    <x v="0"/>
    <n v="31"/>
    <n v="105"/>
    <n v="108"/>
    <n v="4333"/>
    <n v="112"/>
  </r>
  <r>
    <x v="4"/>
    <x v="1"/>
    <d v="2021-05-03T00:00:00"/>
    <x v="1"/>
    <n v="47"/>
    <n v="110"/>
    <n v="110"/>
    <n v="4336"/>
    <n v="168"/>
  </r>
  <r>
    <x v="4"/>
    <x v="1"/>
    <d v="2021-05-03T00:00:00"/>
    <x v="2"/>
    <n v="23"/>
    <n v="135"/>
    <n v="117"/>
    <n v="4337"/>
    <n v="82"/>
  </r>
  <r>
    <x v="4"/>
    <x v="1"/>
    <d v="2021-05-03T00:00:00"/>
    <x v="0"/>
    <n v="27"/>
    <n v="105"/>
    <n v="108"/>
    <n v="4334"/>
    <n v="98"/>
  </r>
  <r>
    <x v="4"/>
    <x v="1"/>
    <d v="2021-05-03T00:00:00"/>
    <x v="1"/>
    <n v="48"/>
    <n v="110"/>
    <n v="110"/>
    <n v="4338"/>
    <n v="172"/>
  </r>
  <r>
    <x v="4"/>
    <x v="1"/>
    <d v="2021-05-03T00:00:00"/>
    <x v="0"/>
    <n v="43"/>
    <n v="105"/>
    <n v="108"/>
    <n v="4335"/>
    <n v="151"/>
  </r>
  <r>
    <x v="4"/>
    <x v="1"/>
    <d v="2021-05-06T00:00:00"/>
    <x v="0"/>
    <n v="27"/>
    <n v="105"/>
    <n v="108"/>
    <n v="4339"/>
    <n v="96"/>
  </r>
  <r>
    <x v="4"/>
    <x v="1"/>
    <d v="2021-05-06T00:00:00"/>
    <x v="0"/>
    <n v="44"/>
    <n v="105"/>
    <n v="108"/>
    <n v="4340"/>
    <n v="156"/>
  </r>
  <r>
    <x v="4"/>
    <x v="1"/>
    <d v="2021-05-06T00:00:00"/>
    <x v="1"/>
    <n v="42"/>
    <n v="110"/>
    <n v="110"/>
    <n v="4341"/>
    <n v="152"/>
  </r>
  <r>
    <x v="4"/>
    <x v="1"/>
    <d v="2021-05-06T00:00:00"/>
    <x v="1"/>
    <n v="48"/>
    <n v="110"/>
    <n v="110"/>
    <n v="4342"/>
    <n v="171"/>
  </r>
  <r>
    <x v="4"/>
    <x v="1"/>
    <d v="2021-05-06T00:00:00"/>
    <x v="0"/>
    <n v="48"/>
    <n v="105"/>
    <n v="108"/>
    <n v="4343"/>
    <n v="169"/>
  </r>
  <r>
    <x v="4"/>
    <x v="1"/>
    <d v="2021-05-07T00:00:00"/>
    <x v="2"/>
    <n v="45"/>
    <n v="135"/>
    <n v="117"/>
    <n v="4344"/>
    <n v="160"/>
  </r>
  <r>
    <x v="4"/>
    <x v="1"/>
    <d v="2021-05-10T00:00:00"/>
    <x v="1"/>
    <n v="52"/>
    <n v="110"/>
    <n v="110"/>
    <n v="4349"/>
    <n v="189"/>
  </r>
  <r>
    <x v="4"/>
    <x v="1"/>
    <d v="2021-05-10T00:00:00"/>
    <x v="1"/>
    <n v="34"/>
    <n v="110"/>
    <n v="110"/>
    <n v="4348"/>
    <n v="125"/>
  </r>
  <r>
    <x v="4"/>
    <x v="1"/>
    <d v="2021-05-10T00:00:00"/>
    <x v="0"/>
    <n v="31"/>
    <n v="105"/>
    <n v="108"/>
    <n v="4347"/>
    <n v="108"/>
  </r>
  <r>
    <x v="4"/>
    <x v="1"/>
    <d v="2021-05-10T00:00:00"/>
    <x v="0"/>
    <n v="31"/>
    <n v="105"/>
    <n v="108"/>
    <n v="4345"/>
    <n v="106"/>
  </r>
  <r>
    <x v="4"/>
    <x v="1"/>
    <d v="2021-05-10T00:00:00"/>
    <x v="1"/>
    <n v="38"/>
    <n v="110"/>
    <n v="110"/>
    <n v="4346"/>
    <n v="137"/>
  </r>
  <r>
    <x v="4"/>
    <x v="1"/>
    <d v="2021-05-11T00:00:00"/>
    <x v="2"/>
    <n v="22"/>
    <n v="135"/>
    <n v="117"/>
    <n v="4350"/>
    <n v="81"/>
  </r>
  <r>
    <x v="4"/>
    <x v="1"/>
    <d v="2021-05-11T00:00:00"/>
    <x v="2"/>
    <n v="44"/>
    <n v="135"/>
    <n v="117"/>
    <n v="4351"/>
    <n v="159"/>
  </r>
  <r>
    <x v="4"/>
    <x v="1"/>
    <d v="2021-05-11T00:00:00"/>
    <x v="1"/>
    <n v="39"/>
    <n v="110"/>
    <n v="110"/>
    <n v="4352"/>
    <n v="136"/>
  </r>
  <r>
    <x v="4"/>
    <x v="1"/>
    <d v="2021-05-12T00:00:00"/>
    <x v="0"/>
    <n v="51"/>
    <n v="105"/>
    <n v="108"/>
    <n v="4354"/>
    <n v="178"/>
  </r>
  <r>
    <x v="4"/>
    <x v="1"/>
    <d v="2021-05-12T00:00:00"/>
    <x v="0"/>
    <n v="43"/>
    <n v="105"/>
    <n v="108"/>
    <n v="4355"/>
    <n v="155"/>
  </r>
  <r>
    <x v="4"/>
    <x v="1"/>
    <d v="2021-05-12T00:00:00"/>
    <x v="1"/>
    <n v="57"/>
    <n v="110"/>
    <n v="110"/>
    <n v="4356"/>
    <n v="197"/>
  </r>
  <r>
    <x v="4"/>
    <x v="1"/>
    <d v="2021-05-12T00:00:00"/>
    <x v="1"/>
    <n v="40"/>
    <n v="110"/>
    <n v="110"/>
    <n v="4353"/>
    <n v="147"/>
  </r>
  <r>
    <x v="4"/>
    <x v="1"/>
    <d v="2021-05-18T00:00:00"/>
    <x v="1"/>
    <n v="46"/>
    <n v="110"/>
    <n v="110"/>
    <n v="4357"/>
    <n v="159"/>
  </r>
  <r>
    <x v="4"/>
    <x v="1"/>
    <d v="2021-05-19T00:00:00"/>
    <x v="0"/>
    <n v="41"/>
    <n v="105"/>
    <n v="108"/>
    <n v="4358"/>
    <n v="150"/>
  </r>
  <r>
    <x v="4"/>
    <x v="1"/>
    <d v="2021-05-19T00:00:00"/>
    <x v="0"/>
    <n v="43"/>
    <n v="105"/>
    <n v="108"/>
    <n v="4359"/>
    <n v="156"/>
  </r>
  <r>
    <x v="4"/>
    <x v="1"/>
    <d v="2021-05-19T00:00:00"/>
    <x v="1"/>
    <n v="57"/>
    <n v="110"/>
    <n v="110"/>
    <n v="4360"/>
    <n v="216"/>
  </r>
  <r>
    <x v="4"/>
    <x v="1"/>
    <d v="2021-05-19T00:00:00"/>
    <x v="1"/>
    <n v="33"/>
    <n v="110"/>
    <n v="110"/>
    <n v="4361"/>
    <n v="117"/>
  </r>
  <r>
    <x v="4"/>
    <x v="1"/>
    <d v="2021-05-21T00:00:00"/>
    <x v="0"/>
    <n v="43"/>
    <n v="105"/>
    <n v="108"/>
    <n v="4363"/>
    <n v="151"/>
  </r>
  <r>
    <x v="4"/>
    <x v="1"/>
    <d v="2021-05-21T00:00:00"/>
    <x v="2"/>
    <n v="36"/>
    <n v="135"/>
    <n v="117"/>
    <n v="4364"/>
    <n v="132"/>
  </r>
  <r>
    <x v="4"/>
    <x v="1"/>
    <d v="2021-05-21T00:00:00"/>
    <x v="1"/>
    <n v="45"/>
    <n v="110"/>
    <n v="110"/>
    <n v="4362"/>
    <n v="159"/>
  </r>
  <r>
    <x v="4"/>
    <x v="1"/>
    <d v="2021-05-25T00:00:00"/>
    <x v="1"/>
    <n v="33"/>
    <n v="110"/>
    <n v="110"/>
    <n v="4366"/>
    <n v="120"/>
  </r>
  <r>
    <x v="4"/>
    <x v="1"/>
    <d v="2021-05-25T00:00:00"/>
    <x v="1"/>
    <n v="35"/>
    <n v="110"/>
    <n v="110"/>
    <n v="4367"/>
    <n v="164"/>
  </r>
  <r>
    <x v="4"/>
    <x v="1"/>
    <d v="2021-05-25T00:00:00"/>
    <x v="0"/>
    <n v="53"/>
    <n v="105"/>
    <n v="108"/>
    <n v="4368"/>
    <n v="186"/>
  </r>
  <r>
    <x v="4"/>
    <x v="1"/>
    <d v="2021-05-25T00:00:00"/>
    <x v="1"/>
    <n v="53"/>
    <n v="110"/>
    <n v="110"/>
    <n v="4369"/>
    <n v="194"/>
  </r>
  <r>
    <x v="4"/>
    <x v="1"/>
    <d v="2021-05-25T00:00:00"/>
    <x v="2"/>
    <n v="32"/>
    <n v="135"/>
    <n v="117"/>
    <n v="4365"/>
    <n v="111"/>
  </r>
  <r>
    <x v="4"/>
    <x v="1"/>
    <d v="2021-05-26T00:00:00"/>
    <x v="2"/>
    <n v="30"/>
    <n v="135"/>
    <n v="117"/>
    <n v="4370"/>
    <n v="106"/>
  </r>
  <r>
    <x v="4"/>
    <x v="1"/>
    <d v="2021-05-26T00:00:00"/>
    <x v="0"/>
    <n v="35"/>
    <n v="105"/>
    <n v="108"/>
    <n v="4371"/>
    <n v="124"/>
  </r>
  <r>
    <x v="4"/>
    <x v="1"/>
    <d v="2021-05-27T00:00:00"/>
    <x v="0"/>
    <n v="30"/>
    <n v="105"/>
    <n v="108"/>
    <n v="4373"/>
    <n v="106"/>
  </r>
  <r>
    <x v="4"/>
    <x v="1"/>
    <d v="2021-05-27T00:00:00"/>
    <x v="1"/>
    <n v="50"/>
    <n v="110"/>
    <n v="110"/>
    <n v="4374"/>
    <n v="234"/>
  </r>
  <r>
    <x v="4"/>
    <x v="1"/>
    <d v="2021-05-27T00:00:00"/>
    <x v="0"/>
    <n v="51"/>
    <n v="105"/>
    <n v="108"/>
    <n v="4372"/>
    <n v="186"/>
  </r>
  <r>
    <x v="4"/>
    <x v="1"/>
    <d v="2021-05-27T00:00:00"/>
    <x v="1"/>
    <n v="38"/>
    <n v="110"/>
    <n v="110"/>
    <n v="4375"/>
    <n v="132"/>
  </r>
  <r>
    <x v="4"/>
    <x v="1"/>
    <d v="2021-05-28T00:00:00"/>
    <x v="1"/>
    <n v="53"/>
    <n v="110"/>
    <n v="110"/>
    <n v="4376"/>
    <n v="189"/>
  </r>
  <r>
    <x v="4"/>
    <x v="1"/>
    <d v="2021-05-28T00:00:00"/>
    <x v="1"/>
    <n v="54"/>
    <n v="110"/>
    <n v="110"/>
    <n v="4377"/>
    <n v="192"/>
  </r>
  <r>
    <x v="4"/>
    <x v="1"/>
    <d v="2021-05-28T00:00:00"/>
    <x v="2"/>
    <n v="30"/>
    <n v="135"/>
    <n v="117"/>
    <n v="4378"/>
    <n v="106"/>
  </r>
  <r>
    <x v="4"/>
    <x v="1"/>
    <d v="2021-05-28T00:00:00"/>
    <x v="1"/>
    <n v="51"/>
    <n v="110"/>
    <n v="110"/>
    <n v="4379"/>
    <n v="185"/>
  </r>
  <r>
    <x v="4"/>
    <x v="1"/>
    <d v="2021-05-28T00:00:00"/>
    <x v="2"/>
    <n v="23"/>
    <n v="135"/>
    <n v="117"/>
    <n v="4380"/>
    <n v="79"/>
  </r>
  <r>
    <x v="4"/>
    <x v="1"/>
    <d v="2021-06-01T00:00:00"/>
    <x v="2"/>
    <n v="29"/>
    <n v="135"/>
    <n v="117"/>
    <n v="4381"/>
    <n v="105"/>
  </r>
  <r>
    <x v="4"/>
    <x v="1"/>
    <d v="2021-06-02T00:00:00"/>
    <x v="0"/>
    <n v="38"/>
    <n v="105"/>
    <n v="108"/>
    <n v="4382"/>
    <n v="175"/>
  </r>
  <r>
    <x v="4"/>
    <x v="1"/>
    <d v="2021-06-04T00:00:00"/>
    <x v="2"/>
    <n v="26"/>
    <n v="135"/>
    <n v="117"/>
    <n v="4383"/>
    <n v="120"/>
  </r>
  <r>
    <x v="4"/>
    <x v="1"/>
    <d v="2021-06-04T00:00:00"/>
    <x v="1"/>
    <n v="56"/>
    <n v="110"/>
    <n v="110"/>
    <n v="4387"/>
    <n v="195"/>
  </r>
  <r>
    <x v="4"/>
    <x v="1"/>
    <d v="2021-06-04T00:00:00"/>
    <x v="0"/>
    <n v="29"/>
    <n v="105"/>
    <n v="108"/>
    <n v="4386"/>
    <n v="102"/>
  </r>
  <r>
    <x v="4"/>
    <x v="1"/>
    <d v="2021-06-04T00:00:00"/>
    <x v="2"/>
    <n v="45"/>
    <n v="135"/>
    <n v="117"/>
    <n v="4384"/>
    <n v="211"/>
  </r>
  <r>
    <x v="4"/>
    <x v="1"/>
    <d v="2021-06-04T00:00:00"/>
    <x v="1"/>
    <n v="49"/>
    <n v="110"/>
    <n v="110"/>
    <n v="4385"/>
    <n v="172"/>
  </r>
  <r>
    <x v="4"/>
    <x v="1"/>
    <d v="2021-06-07T00:00:00"/>
    <x v="0"/>
    <n v="27"/>
    <n v="105"/>
    <n v="108"/>
    <n v="4388"/>
    <n v="96"/>
  </r>
  <r>
    <x v="4"/>
    <x v="1"/>
    <d v="2021-06-07T00:00:00"/>
    <x v="2"/>
    <n v="43"/>
    <n v="135"/>
    <n v="117"/>
    <n v="4389"/>
    <n v="157"/>
  </r>
  <r>
    <x v="4"/>
    <x v="1"/>
    <d v="2021-06-07T00:00:00"/>
    <x v="2"/>
    <n v="41"/>
    <n v="135"/>
    <n v="117"/>
    <n v="4390"/>
    <n v="147"/>
  </r>
  <r>
    <x v="4"/>
    <x v="1"/>
    <d v="2021-06-08T00:00:00"/>
    <x v="1"/>
    <n v="52"/>
    <n v="110"/>
    <n v="110"/>
    <n v="4391"/>
    <n v="178"/>
  </r>
  <r>
    <x v="4"/>
    <x v="1"/>
    <d v="2021-06-08T00:00:00"/>
    <x v="1"/>
    <n v="55"/>
    <n v="110"/>
    <n v="110"/>
    <n v="4392"/>
    <n v="191"/>
  </r>
  <r>
    <x v="4"/>
    <x v="1"/>
    <d v="2021-06-10T00:00:00"/>
    <x v="2"/>
    <n v="38"/>
    <n v="135"/>
    <n v="117"/>
    <n v="4395"/>
    <n v="136"/>
  </r>
  <r>
    <x v="4"/>
    <x v="1"/>
    <d v="2021-06-10T00:00:00"/>
    <x v="1"/>
    <n v="43"/>
    <n v="110"/>
    <n v="110"/>
    <n v="4396"/>
    <n v="199"/>
  </r>
  <r>
    <x v="4"/>
    <x v="1"/>
    <d v="2021-06-10T00:00:00"/>
    <x v="0"/>
    <n v="41"/>
    <n v="105"/>
    <n v="108"/>
    <n v="4393"/>
    <n v="146"/>
  </r>
  <r>
    <x v="4"/>
    <x v="1"/>
    <d v="2021-06-10T00:00:00"/>
    <x v="0"/>
    <n v="40"/>
    <n v="105"/>
    <n v="108"/>
    <n v="4394"/>
    <n v="154"/>
  </r>
  <r>
    <x v="4"/>
    <x v="1"/>
    <d v="2021-06-16T00:00:00"/>
    <x v="1"/>
    <n v="46"/>
    <n v="110"/>
    <n v="110"/>
    <n v="4397"/>
    <n v="167"/>
  </r>
  <r>
    <x v="4"/>
    <x v="1"/>
    <d v="2021-06-16T00:00:00"/>
    <x v="1"/>
    <n v="52"/>
    <n v="110"/>
    <n v="110"/>
    <n v="4398"/>
    <n v="190"/>
  </r>
  <r>
    <x v="4"/>
    <x v="1"/>
    <d v="2021-06-16T00:00:00"/>
    <x v="1"/>
    <n v="57"/>
    <n v="110"/>
    <n v="110"/>
    <n v="4399"/>
    <n v="200"/>
  </r>
  <r>
    <x v="4"/>
    <x v="1"/>
    <d v="2021-06-16T00:00:00"/>
    <x v="2"/>
    <n v="44"/>
    <n v="135"/>
    <n v="117"/>
    <n v="4400"/>
    <n v="152"/>
  </r>
  <r>
    <x v="4"/>
    <x v="1"/>
    <d v="2021-06-16T00:00:00"/>
    <x v="0"/>
    <n v="32"/>
    <n v="105"/>
    <n v="108"/>
    <n v="4401"/>
    <n v="114"/>
  </r>
  <r>
    <x v="4"/>
    <x v="1"/>
    <d v="2021-06-17T00:00:00"/>
    <x v="2"/>
    <n v="27"/>
    <n v="135"/>
    <n v="117"/>
    <n v="4402"/>
    <n v="97"/>
  </r>
  <r>
    <x v="4"/>
    <x v="1"/>
    <d v="2021-06-17T00:00:00"/>
    <x v="0"/>
    <n v="43"/>
    <n v="105"/>
    <n v="108"/>
    <n v="4403"/>
    <n v="158"/>
  </r>
  <r>
    <x v="4"/>
    <x v="1"/>
    <d v="2021-06-18T00:00:00"/>
    <x v="2"/>
    <n v="33"/>
    <n v="135"/>
    <n v="117"/>
    <n v="4404"/>
    <n v="122"/>
  </r>
  <r>
    <x v="4"/>
    <x v="1"/>
    <d v="2021-06-21T00:00:00"/>
    <x v="1"/>
    <n v="37"/>
    <n v="110"/>
    <n v="110"/>
    <n v="4405"/>
    <n v="130"/>
  </r>
  <r>
    <x v="4"/>
    <x v="1"/>
    <d v="2021-06-21T00:00:00"/>
    <x v="2"/>
    <n v="39"/>
    <n v="135"/>
    <n v="117"/>
    <n v="4406"/>
    <n v="142"/>
  </r>
  <r>
    <x v="4"/>
    <x v="1"/>
    <d v="2021-06-21T00:00:00"/>
    <x v="2"/>
    <n v="39"/>
    <n v="135"/>
    <n v="117"/>
    <n v="4407"/>
    <n v="142"/>
  </r>
  <r>
    <x v="4"/>
    <x v="1"/>
    <d v="2021-06-22T00:00:00"/>
    <x v="0"/>
    <n v="44"/>
    <n v="105"/>
    <n v="108"/>
    <n v="4408"/>
    <n v="161"/>
  </r>
  <r>
    <x v="4"/>
    <x v="1"/>
    <d v="2021-06-22T00:00:00"/>
    <x v="1"/>
    <n v="57"/>
    <n v="110"/>
    <n v="110"/>
    <n v="4409"/>
    <n v="209"/>
  </r>
  <r>
    <x v="4"/>
    <x v="1"/>
    <d v="2021-06-24T00:00:00"/>
    <x v="2"/>
    <n v="46"/>
    <n v="135"/>
    <n v="117"/>
    <n v="4413"/>
    <n v="161"/>
  </r>
  <r>
    <x v="4"/>
    <x v="1"/>
    <d v="2021-06-24T00:00:00"/>
    <x v="0"/>
    <n v="35"/>
    <n v="105"/>
    <n v="108"/>
    <n v="4414"/>
    <n v="127"/>
  </r>
  <r>
    <x v="4"/>
    <x v="1"/>
    <d v="2021-06-24T00:00:00"/>
    <x v="0"/>
    <n v="45"/>
    <n v="105"/>
    <n v="108"/>
    <n v="4411"/>
    <n v="163"/>
  </r>
  <r>
    <x v="4"/>
    <x v="1"/>
    <d v="2021-06-24T00:00:00"/>
    <x v="1"/>
    <n v="47"/>
    <n v="110"/>
    <n v="110"/>
    <n v="4410"/>
    <n v="163"/>
  </r>
  <r>
    <x v="4"/>
    <x v="1"/>
    <d v="2021-06-24T00:00:00"/>
    <x v="2"/>
    <n v="42"/>
    <n v="135"/>
    <n v="117"/>
    <n v="4412"/>
    <n v="194"/>
  </r>
  <r>
    <x v="4"/>
    <x v="1"/>
    <d v="2021-06-25T00:00:00"/>
    <x v="0"/>
    <n v="44"/>
    <n v="105"/>
    <n v="108"/>
    <n v="4415"/>
    <n v="161"/>
  </r>
  <r>
    <x v="4"/>
    <x v="1"/>
    <d v="2021-06-25T00:00:00"/>
    <x v="1"/>
    <n v="32"/>
    <n v="110"/>
    <n v="110"/>
    <n v="4416"/>
    <n v="112"/>
  </r>
  <r>
    <x v="4"/>
    <x v="1"/>
    <d v="2021-06-28T00:00:00"/>
    <x v="2"/>
    <n v="34"/>
    <n v="135"/>
    <n v="117"/>
    <n v="4419"/>
    <n v="120"/>
  </r>
  <r>
    <x v="4"/>
    <x v="1"/>
    <d v="2021-06-28T00:00:00"/>
    <x v="1"/>
    <n v="41"/>
    <n v="110"/>
    <n v="110"/>
    <n v="4417"/>
    <n v="192"/>
  </r>
  <r>
    <x v="4"/>
    <x v="1"/>
    <d v="2021-06-28T00:00:00"/>
    <x v="0"/>
    <n v="45"/>
    <n v="105"/>
    <n v="108"/>
    <n v="4418"/>
    <n v="161"/>
  </r>
  <r>
    <x v="4"/>
    <x v="1"/>
    <d v="2021-06-29T00:00:00"/>
    <x v="0"/>
    <n v="32"/>
    <n v="105"/>
    <n v="108"/>
    <n v="4422"/>
    <n v="113"/>
  </r>
  <r>
    <x v="4"/>
    <x v="1"/>
    <d v="2021-06-29T00:00:00"/>
    <x v="2"/>
    <n v="46"/>
    <n v="135"/>
    <n v="117"/>
    <n v="4420"/>
    <n v="169"/>
  </r>
  <r>
    <x v="4"/>
    <x v="1"/>
    <d v="2021-06-29T00:00:00"/>
    <x v="2"/>
    <n v="31"/>
    <n v="135"/>
    <n v="117"/>
    <n v="4421"/>
    <n v="112"/>
  </r>
  <r>
    <x v="4"/>
    <x v="2"/>
    <d v="2021-07-05T00:00:00"/>
    <x v="2"/>
    <n v="39"/>
    <n v="135"/>
    <n v="117"/>
    <n v="4423"/>
    <n v="136"/>
  </r>
  <r>
    <x v="4"/>
    <x v="2"/>
    <d v="2021-07-05T00:00:00"/>
    <x v="1"/>
    <n v="39"/>
    <n v="110"/>
    <n v="110"/>
    <n v="4424"/>
    <n v="144"/>
  </r>
  <r>
    <x v="4"/>
    <x v="2"/>
    <d v="2021-07-05T00:00:00"/>
    <x v="0"/>
    <n v="48"/>
    <n v="105"/>
    <n v="108"/>
    <n v="4425"/>
    <n v="168"/>
  </r>
  <r>
    <x v="4"/>
    <x v="2"/>
    <d v="2021-07-06T00:00:00"/>
    <x v="2"/>
    <n v="34"/>
    <n v="135"/>
    <n v="117"/>
    <n v="4426"/>
    <n v="117"/>
  </r>
  <r>
    <x v="4"/>
    <x v="2"/>
    <d v="2021-07-06T00:00:00"/>
    <x v="1"/>
    <n v="28"/>
    <n v="110"/>
    <n v="110"/>
    <n v="4427"/>
    <n v="99"/>
  </r>
  <r>
    <x v="4"/>
    <x v="2"/>
    <d v="2021-07-07T00:00:00"/>
    <x v="2"/>
    <n v="25"/>
    <n v="135"/>
    <n v="117"/>
    <n v="4428"/>
    <n v="92"/>
  </r>
  <r>
    <x v="4"/>
    <x v="2"/>
    <d v="2021-07-12T00:00:00"/>
    <x v="2"/>
    <n v="22"/>
    <n v="135"/>
    <n v="117"/>
    <n v="4429"/>
    <n v="75"/>
  </r>
  <r>
    <x v="4"/>
    <x v="2"/>
    <d v="2021-07-13T00:00:00"/>
    <x v="1"/>
    <n v="40"/>
    <n v="110"/>
    <n v="110"/>
    <n v="4430"/>
    <n v="143"/>
  </r>
  <r>
    <x v="4"/>
    <x v="2"/>
    <d v="2021-07-14T00:00:00"/>
    <x v="1"/>
    <n v="37"/>
    <n v="110"/>
    <n v="110"/>
    <n v="4431"/>
    <n v="135"/>
  </r>
  <r>
    <x v="4"/>
    <x v="2"/>
    <d v="2021-07-14T00:00:00"/>
    <x v="1"/>
    <n v="42"/>
    <n v="110"/>
    <n v="110"/>
    <n v="4432"/>
    <n v="196"/>
  </r>
  <r>
    <x v="4"/>
    <x v="2"/>
    <d v="2021-07-15T00:00:00"/>
    <x v="0"/>
    <n v="39"/>
    <n v="105"/>
    <n v="108"/>
    <n v="4433"/>
    <n v="135"/>
  </r>
  <r>
    <x v="4"/>
    <x v="2"/>
    <d v="2021-07-15T00:00:00"/>
    <x v="0"/>
    <n v="30"/>
    <n v="105"/>
    <n v="108"/>
    <n v="4434"/>
    <n v="109"/>
  </r>
  <r>
    <x v="4"/>
    <x v="2"/>
    <d v="2021-07-15T00:00:00"/>
    <x v="0"/>
    <n v="48"/>
    <n v="105"/>
    <n v="108"/>
    <n v="4435"/>
    <n v="182"/>
  </r>
  <r>
    <x v="4"/>
    <x v="2"/>
    <d v="2021-07-15T00:00:00"/>
    <x v="0"/>
    <n v="46"/>
    <n v="105"/>
    <n v="108"/>
    <n v="4436"/>
    <n v="159"/>
  </r>
  <r>
    <x v="4"/>
    <x v="2"/>
    <d v="2021-07-21T00:00:00"/>
    <x v="0"/>
    <n v="25"/>
    <n v="105"/>
    <n v="108"/>
    <n v="4437"/>
    <n v="92"/>
  </r>
  <r>
    <x v="4"/>
    <x v="2"/>
    <d v="2021-07-21T00:00:00"/>
    <x v="0"/>
    <n v="23"/>
    <n v="105"/>
    <n v="108"/>
    <n v="4438"/>
    <n v="80"/>
  </r>
  <r>
    <x v="4"/>
    <x v="2"/>
    <d v="2021-07-23T00:00:00"/>
    <x v="0"/>
    <n v="27"/>
    <n v="105"/>
    <n v="108"/>
    <n v="4440"/>
    <n v="99"/>
  </r>
  <r>
    <x v="4"/>
    <x v="2"/>
    <d v="2021-07-23T00:00:00"/>
    <x v="1"/>
    <n v="44"/>
    <n v="110"/>
    <n v="110"/>
    <n v="4439"/>
    <n v="151"/>
  </r>
  <r>
    <x v="4"/>
    <x v="2"/>
    <d v="2021-07-26T00:00:00"/>
    <x v="0"/>
    <n v="26"/>
    <n v="105"/>
    <n v="108"/>
    <n v="4441"/>
    <n v="95"/>
  </r>
  <r>
    <x v="4"/>
    <x v="2"/>
    <d v="2021-07-26T00:00:00"/>
    <x v="1"/>
    <n v="50"/>
    <n v="110"/>
    <n v="110"/>
    <n v="4442"/>
    <n v="172"/>
  </r>
  <r>
    <x v="4"/>
    <x v="2"/>
    <d v="2021-07-27T00:00:00"/>
    <x v="2"/>
    <n v="19"/>
    <n v="135"/>
    <n v="117"/>
    <n v="4443"/>
    <n v="67"/>
  </r>
  <r>
    <x v="4"/>
    <x v="2"/>
    <d v="2021-07-27T00:00:00"/>
    <x v="2"/>
    <n v="39"/>
    <n v="135"/>
    <n v="117"/>
    <n v="4444"/>
    <n v="135"/>
  </r>
  <r>
    <x v="4"/>
    <x v="2"/>
    <d v="2021-07-28T00:00:00"/>
    <x v="1"/>
    <n v="41"/>
    <n v="110"/>
    <n v="110"/>
    <n v="4448"/>
    <n v="146"/>
  </r>
  <r>
    <x v="4"/>
    <x v="2"/>
    <d v="2021-07-28T00:00:00"/>
    <x v="0"/>
    <n v="37"/>
    <n v="105"/>
    <n v="108"/>
    <n v="4447"/>
    <n v="133"/>
  </r>
  <r>
    <x v="4"/>
    <x v="2"/>
    <d v="2021-07-28T00:00:00"/>
    <x v="0"/>
    <n v="32"/>
    <n v="105"/>
    <n v="108"/>
    <n v="4446"/>
    <n v="116"/>
  </r>
  <r>
    <x v="4"/>
    <x v="2"/>
    <d v="2021-07-28T00:00:00"/>
    <x v="0"/>
    <n v="28"/>
    <n v="105"/>
    <n v="108"/>
    <n v="4445"/>
    <n v="98"/>
  </r>
  <r>
    <x v="4"/>
    <x v="2"/>
    <d v="2021-07-29T00:00:00"/>
    <x v="2"/>
    <n v="22"/>
    <n v="135"/>
    <n v="117"/>
    <n v="4449"/>
    <n v="80"/>
  </r>
  <r>
    <x v="4"/>
    <x v="2"/>
    <d v="2021-08-04T00:00:00"/>
    <x v="2"/>
    <n v="36"/>
    <n v="135"/>
    <n v="117"/>
    <n v="4450"/>
    <n v="133"/>
  </r>
  <r>
    <x v="4"/>
    <x v="2"/>
    <d v="2021-08-04T00:00:00"/>
    <x v="0"/>
    <n v="31"/>
    <n v="105"/>
    <n v="108"/>
    <n v="4451"/>
    <n v="108"/>
  </r>
  <r>
    <x v="4"/>
    <x v="2"/>
    <d v="2021-08-04T00:00:00"/>
    <x v="2"/>
    <n v="22"/>
    <n v="135"/>
    <n v="117"/>
    <n v="4452"/>
    <n v="81"/>
  </r>
  <r>
    <x v="4"/>
    <x v="2"/>
    <d v="2021-08-06T00:00:00"/>
    <x v="2"/>
    <n v="34"/>
    <n v="135"/>
    <n v="117"/>
    <n v="4453"/>
    <n v="157"/>
  </r>
  <r>
    <x v="4"/>
    <x v="2"/>
    <d v="2021-08-06T00:00:00"/>
    <x v="0"/>
    <n v="46"/>
    <n v="105"/>
    <n v="108"/>
    <n v="4454"/>
    <n v="158"/>
  </r>
  <r>
    <x v="4"/>
    <x v="2"/>
    <d v="2021-08-06T00:00:00"/>
    <x v="0"/>
    <n v="35"/>
    <n v="105"/>
    <n v="108"/>
    <n v="4455"/>
    <n v="123"/>
  </r>
  <r>
    <x v="4"/>
    <x v="2"/>
    <d v="2021-08-09T00:00:00"/>
    <x v="2"/>
    <n v="33"/>
    <n v="135"/>
    <n v="117"/>
    <n v="4456"/>
    <n v="116"/>
  </r>
  <r>
    <x v="4"/>
    <x v="2"/>
    <d v="2021-08-09T00:00:00"/>
    <x v="2"/>
    <n v="39"/>
    <n v="135"/>
    <n v="117"/>
    <n v="4457"/>
    <n v="183"/>
  </r>
  <r>
    <x v="4"/>
    <x v="2"/>
    <d v="2021-08-09T00:00:00"/>
    <x v="1"/>
    <n v="50"/>
    <n v="110"/>
    <n v="110"/>
    <n v="4458"/>
    <n v="233"/>
  </r>
  <r>
    <x v="4"/>
    <x v="2"/>
    <d v="2021-08-10T00:00:00"/>
    <x v="1"/>
    <n v="48"/>
    <n v="110"/>
    <n v="110"/>
    <n v="4459"/>
    <n v="166"/>
  </r>
  <r>
    <x v="4"/>
    <x v="2"/>
    <d v="2021-08-10T00:00:00"/>
    <x v="0"/>
    <n v="37"/>
    <n v="105"/>
    <n v="108"/>
    <n v="4460"/>
    <n v="133"/>
  </r>
  <r>
    <x v="4"/>
    <x v="2"/>
    <d v="2021-08-10T00:00:00"/>
    <x v="2"/>
    <n v="19"/>
    <n v="135"/>
    <n v="117"/>
    <n v="4461"/>
    <n v="89"/>
  </r>
  <r>
    <x v="4"/>
    <x v="2"/>
    <d v="2021-08-10T00:00:00"/>
    <x v="2"/>
    <n v="23"/>
    <n v="135"/>
    <n v="117"/>
    <n v="4462"/>
    <n v="79"/>
  </r>
  <r>
    <x v="4"/>
    <x v="2"/>
    <d v="2021-08-10T00:00:00"/>
    <x v="1"/>
    <n v="31"/>
    <n v="110"/>
    <n v="110"/>
    <n v="4463"/>
    <n v="109"/>
  </r>
  <r>
    <x v="4"/>
    <x v="2"/>
    <d v="2021-08-11T00:00:00"/>
    <x v="0"/>
    <n v="28"/>
    <n v="105"/>
    <n v="108"/>
    <n v="4464"/>
    <n v="101"/>
  </r>
  <r>
    <x v="4"/>
    <x v="2"/>
    <d v="2021-08-13T00:00:00"/>
    <x v="1"/>
    <n v="38"/>
    <n v="110"/>
    <n v="110"/>
    <n v="4469"/>
    <n v="139"/>
  </r>
  <r>
    <x v="4"/>
    <x v="2"/>
    <d v="2021-08-13T00:00:00"/>
    <x v="1"/>
    <n v="44"/>
    <n v="110"/>
    <n v="110"/>
    <n v="4468"/>
    <n v="161"/>
  </r>
  <r>
    <x v="4"/>
    <x v="2"/>
    <d v="2021-08-13T00:00:00"/>
    <x v="1"/>
    <n v="27"/>
    <n v="110"/>
    <n v="110"/>
    <n v="4465"/>
    <n v="97"/>
  </r>
  <r>
    <x v="4"/>
    <x v="2"/>
    <d v="2021-08-13T00:00:00"/>
    <x v="2"/>
    <n v="20"/>
    <n v="135"/>
    <n v="117"/>
    <n v="4466"/>
    <n v="69"/>
  </r>
  <r>
    <x v="4"/>
    <x v="2"/>
    <d v="2021-08-13T00:00:00"/>
    <x v="2"/>
    <n v="17"/>
    <n v="135"/>
    <n v="117"/>
    <n v="4467"/>
    <n v="62"/>
  </r>
  <r>
    <x v="4"/>
    <x v="2"/>
    <d v="2021-08-16T00:00:00"/>
    <x v="1"/>
    <n v="38"/>
    <n v="110"/>
    <n v="110"/>
    <n v="4470"/>
    <n v="141"/>
  </r>
  <r>
    <x v="4"/>
    <x v="2"/>
    <d v="2021-08-16T00:00:00"/>
    <x v="0"/>
    <n v="46"/>
    <n v="105"/>
    <n v="108"/>
    <n v="4471"/>
    <n v="166"/>
  </r>
  <r>
    <x v="4"/>
    <x v="2"/>
    <d v="2021-08-16T00:00:00"/>
    <x v="0"/>
    <n v="32"/>
    <n v="105"/>
    <n v="108"/>
    <n v="4472"/>
    <n v="150"/>
  </r>
  <r>
    <x v="4"/>
    <x v="2"/>
    <d v="2021-08-17T00:00:00"/>
    <x v="0"/>
    <n v="31"/>
    <n v="105"/>
    <n v="108"/>
    <n v="4474"/>
    <n v="146"/>
  </r>
  <r>
    <x v="4"/>
    <x v="2"/>
    <d v="2021-08-17T00:00:00"/>
    <x v="0"/>
    <n v="43"/>
    <n v="105"/>
    <n v="108"/>
    <n v="4477"/>
    <n v="153"/>
  </r>
  <r>
    <x v="4"/>
    <x v="2"/>
    <d v="2021-08-17T00:00:00"/>
    <x v="1"/>
    <n v="32"/>
    <n v="110"/>
    <n v="110"/>
    <n v="4475"/>
    <n v="116"/>
  </r>
  <r>
    <x v="4"/>
    <x v="2"/>
    <d v="2021-08-17T00:00:00"/>
    <x v="1"/>
    <n v="28"/>
    <n v="110"/>
    <n v="110"/>
    <n v="4473"/>
    <n v="98"/>
  </r>
  <r>
    <x v="4"/>
    <x v="2"/>
    <d v="2021-08-17T00:00:00"/>
    <x v="1"/>
    <n v="52"/>
    <n v="110"/>
    <n v="110"/>
    <n v="4476"/>
    <n v="192"/>
  </r>
  <r>
    <x v="4"/>
    <x v="2"/>
    <d v="2021-08-18T00:00:00"/>
    <x v="2"/>
    <n v="42"/>
    <n v="135"/>
    <n v="117"/>
    <n v="4478"/>
    <n v="144"/>
  </r>
  <r>
    <x v="4"/>
    <x v="2"/>
    <d v="2021-08-18T00:00:00"/>
    <x v="0"/>
    <n v="33"/>
    <n v="105"/>
    <n v="108"/>
    <n v="4479"/>
    <n v="120"/>
  </r>
  <r>
    <x v="4"/>
    <x v="2"/>
    <d v="2021-08-18T00:00:00"/>
    <x v="1"/>
    <n v="50"/>
    <n v="110"/>
    <n v="110"/>
    <n v="4480"/>
    <n v="231"/>
  </r>
  <r>
    <x v="4"/>
    <x v="2"/>
    <d v="2021-08-18T00:00:00"/>
    <x v="2"/>
    <n v="37"/>
    <n v="135"/>
    <n v="117"/>
    <n v="4481"/>
    <n v="130"/>
  </r>
  <r>
    <x v="4"/>
    <x v="2"/>
    <d v="2021-08-18T00:00:00"/>
    <x v="1"/>
    <n v="42"/>
    <n v="110"/>
    <n v="110"/>
    <n v="4482"/>
    <n v="194"/>
  </r>
  <r>
    <x v="4"/>
    <x v="2"/>
    <d v="2021-08-19T00:00:00"/>
    <x v="0"/>
    <n v="24"/>
    <n v="105"/>
    <n v="108"/>
    <n v="4483"/>
    <n v="86"/>
  </r>
  <r>
    <x v="4"/>
    <x v="2"/>
    <d v="2021-08-19T00:00:00"/>
    <x v="0"/>
    <n v="26"/>
    <n v="105"/>
    <n v="108"/>
    <n v="4484"/>
    <n v="93"/>
  </r>
  <r>
    <x v="4"/>
    <x v="2"/>
    <d v="2021-08-23T00:00:00"/>
    <x v="0"/>
    <n v="35"/>
    <n v="105"/>
    <n v="108"/>
    <n v="4485"/>
    <n v="121"/>
  </r>
  <r>
    <x v="4"/>
    <x v="2"/>
    <d v="2021-08-23T00:00:00"/>
    <x v="2"/>
    <n v="33"/>
    <n v="135"/>
    <n v="117"/>
    <n v="4486"/>
    <n v="122"/>
  </r>
  <r>
    <x v="4"/>
    <x v="2"/>
    <d v="2021-08-23T00:00:00"/>
    <x v="2"/>
    <n v="39"/>
    <n v="135"/>
    <n v="117"/>
    <n v="4487"/>
    <n v="139"/>
  </r>
  <r>
    <x v="4"/>
    <x v="2"/>
    <d v="2021-08-24T00:00:00"/>
    <x v="2"/>
    <n v="32"/>
    <n v="135"/>
    <n v="117"/>
    <n v="4492"/>
    <n v="116"/>
  </r>
  <r>
    <x v="4"/>
    <x v="2"/>
    <d v="2021-08-24T00:00:00"/>
    <x v="0"/>
    <n v="33"/>
    <n v="105"/>
    <n v="108"/>
    <n v="4488"/>
    <n v="119"/>
  </r>
  <r>
    <x v="4"/>
    <x v="2"/>
    <d v="2021-08-24T00:00:00"/>
    <x v="2"/>
    <n v="32"/>
    <n v="135"/>
    <n v="117"/>
    <n v="4489"/>
    <n v="150"/>
  </r>
  <r>
    <x v="4"/>
    <x v="2"/>
    <d v="2021-08-24T00:00:00"/>
    <x v="1"/>
    <n v="40"/>
    <n v="110"/>
    <n v="110"/>
    <n v="4490"/>
    <n v="139"/>
  </r>
  <r>
    <x v="4"/>
    <x v="2"/>
    <d v="2021-08-24T00:00:00"/>
    <x v="0"/>
    <n v="45"/>
    <n v="105"/>
    <n v="108"/>
    <n v="4491"/>
    <n v="160"/>
  </r>
  <r>
    <x v="4"/>
    <x v="2"/>
    <d v="2021-08-25T00:00:00"/>
    <x v="1"/>
    <n v="31"/>
    <n v="110"/>
    <n v="110"/>
    <n v="4493"/>
    <n v="114"/>
  </r>
  <r>
    <x v="4"/>
    <x v="2"/>
    <d v="2021-08-25T00:00:00"/>
    <x v="1"/>
    <n v="31"/>
    <n v="110"/>
    <n v="110"/>
    <n v="4494"/>
    <n v="146"/>
  </r>
  <r>
    <x v="4"/>
    <x v="2"/>
    <d v="2021-08-30T00:00:00"/>
    <x v="0"/>
    <n v="35"/>
    <n v="105"/>
    <n v="108"/>
    <n v="4495"/>
    <n v="127"/>
  </r>
  <r>
    <x v="4"/>
    <x v="2"/>
    <d v="2021-08-30T00:00:00"/>
    <x v="2"/>
    <n v="22"/>
    <n v="135"/>
    <n v="117"/>
    <n v="4496"/>
    <n v="78"/>
  </r>
  <r>
    <x v="4"/>
    <x v="2"/>
    <d v="2021-08-30T00:00:00"/>
    <x v="0"/>
    <n v="25"/>
    <n v="105"/>
    <n v="108"/>
    <n v="4497"/>
    <n v="116"/>
  </r>
  <r>
    <x v="4"/>
    <x v="2"/>
    <d v="2021-08-31T00:00:00"/>
    <x v="1"/>
    <n v="49"/>
    <n v="110"/>
    <n v="110"/>
    <n v="4502"/>
    <n v="175"/>
  </r>
  <r>
    <x v="4"/>
    <x v="2"/>
    <d v="2021-08-31T00:00:00"/>
    <x v="1"/>
    <n v="52"/>
    <n v="110"/>
    <n v="110"/>
    <n v="4498"/>
    <n v="241"/>
  </r>
  <r>
    <x v="4"/>
    <x v="2"/>
    <d v="2021-08-31T00:00:00"/>
    <x v="0"/>
    <n v="34"/>
    <n v="105"/>
    <n v="108"/>
    <n v="4499"/>
    <n v="124"/>
  </r>
  <r>
    <x v="4"/>
    <x v="2"/>
    <d v="2021-08-31T00:00:00"/>
    <x v="1"/>
    <n v="32"/>
    <n v="110"/>
    <n v="110"/>
    <n v="4500"/>
    <n v="116"/>
  </r>
  <r>
    <x v="4"/>
    <x v="2"/>
    <d v="2021-08-31T00:00:00"/>
    <x v="1"/>
    <n v="50"/>
    <n v="110"/>
    <n v="110"/>
    <n v="4501"/>
    <n v="172"/>
  </r>
  <r>
    <x v="4"/>
    <x v="2"/>
    <d v="2021-09-01T00:00:00"/>
    <x v="1"/>
    <n v="52"/>
    <n v="110"/>
    <n v="110"/>
    <n v="4503"/>
    <n v="180"/>
  </r>
  <r>
    <x v="4"/>
    <x v="2"/>
    <d v="2021-09-02T00:00:00"/>
    <x v="2"/>
    <n v="35"/>
    <n v="135"/>
    <n v="117"/>
    <n v="4505"/>
    <n v="164"/>
  </r>
  <r>
    <x v="4"/>
    <x v="2"/>
    <d v="2021-09-02T00:00:00"/>
    <x v="0"/>
    <n v="29"/>
    <n v="105"/>
    <n v="108"/>
    <n v="4506"/>
    <n v="105"/>
  </r>
  <r>
    <x v="4"/>
    <x v="2"/>
    <d v="2021-09-02T00:00:00"/>
    <x v="0"/>
    <n v="24"/>
    <n v="105"/>
    <n v="108"/>
    <n v="4504"/>
    <n v="86"/>
  </r>
  <r>
    <x v="4"/>
    <x v="2"/>
    <d v="2021-09-03T00:00:00"/>
    <x v="0"/>
    <n v="30"/>
    <n v="105"/>
    <n v="108"/>
    <n v="4507"/>
    <n v="110"/>
  </r>
  <r>
    <x v="4"/>
    <x v="2"/>
    <d v="2021-09-03T00:00:00"/>
    <x v="0"/>
    <n v="24"/>
    <n v="105"/>
    <n v="108"/>
    <n v="4508"/>
    <n v="87"/>
  </r>
  <r>
    <x v="4"/>
    <x v="2"/>
    <d v="2021-09-03T00:00:00"/>
    <x v="0"/>
    <n v="43"/>
    <n v="105"/>
    <n v="108"/>
    <n v="4509"/>
    <n v="151"/>
  </r>
  <r>
    <x v="4"/>
    <x v="2"/>
    <d v="2021-09-03T00:00:00"/>
    <x v="1"/>
    <n v="36"/>
    <n v="110"/>
    <n v="110"/>
    <n v="4510"/>
    <n v="137"/>
  </r>
  <r>
    <x v="4"/>
    <x v="2"/>
    <d v="2021-09-06T00:00:00"/>
    <x v="0"/>
    <n v="42"/>
    <n v="105"/>
    <n v="108"/>
    <n v="4511"/>
    <n v="152"/>
  </r>
  <r>
    <x v="4"/>
    <x v="2"/>
    <d v="2021-09-06T00:00:00"/>
    <x v="0"/>
    <n v="33"/>
    <n v="105"/>
    <n v="108"/>
    <n v="4514"/>
    <n v="115"/>
  </r>
  <r>
    <x v="4"/>
    <x v="2"/>
    <d v="2021-09-06T00:00:00"/>
    <x v="2"/>
    <n v="33"/>
    <n v="135"/>
    <n v="117"/>
    <n v="4512"/>
    <n v="116"/>
  </r>
  <r>
    <x v="4"/>
    <x v="2"/>
    <d v="2021-09-06T00:00:00"/>
    <x v="2"/>
    <n v="38"/>
    <n v="135"/>
    <n v="117"/>
    <n v="4513"/>
    <n v="175"/>
  </r>
  <r>
    <x v="4"/>
    <x v="2"/>
    <d v="2021-09-08T00:00:00"/>
    <x v="0"/>
    <n v="46"/>
    <n v="105"/>
    <n v="108"/>
    <n v="4515"/>
    <n v="169"/>
  </r>
  <r>
    <x v="4"/>
    <x v="2"/>
    <d v="2021-09-08T00:00:00"/>
    <x v="1"/>
    <n v="30"/>
    <n v="110"/>
    <n v="110"/>
    <n v="4516"/>
    <n v="104"/>
  </r>
  <r>
    <x v="4"/>
    <x v="2"/>
    <d v="2021-09-09T00:00:00"/>
    <x v="2"/>
    <n v="18"/>
    <n v="135"/>
    <n v="117"/>
    <n v="4519"/>
    <n v="62"/>
  </r>
  <r>
    <x v="4"/>
    <x v="2"/>
    <d v="2021-09-09T00:00:00"/>
    <x v="1"/>
    <n v="48"/>
    <n v="110"/>
    <n v="110"/>
    <n v="4517"/>
    <n v="166"/>
  </r>
  <r>
    <x v="4"/>
    <x v="2"/>
    <d v="2021-09-09T00:00:00"/>
    <x v="2"/>
    <n v="26"/>
    <n v="135"/>
    <n v="117"/>
    <n v="4518"/>
    <n v="94"/>
  </r>
  <r>
    <x v="4"/>
    <x v="2"/>
    <d v="2021-09-14T00:00:00"/>
    <x v="0"/>
    <n v="46"/>
    <n v="105"/>
    <n v="108"/>
    <n v="4524"/>
    <n v="169"/>
  </r>
  <r>
    <x v="4"/>
    <x v="2"/>
    <d v="2021-09-14T00:00:00"/>
    <x v="1"/>
    <n v="35"/>
    <n v="110"/>
    <n v="110"/>
    <n v="4523"/>
    <n v="129"/>
  </r>
  <r>
    <x v="4"/>
    <x v="2"/>
    <d v="2021-09-14T00:00:00"/>
    <x v="0"/>
    <n v="36"/>
    <n v="105"/>
    <n v="108"/>
    <n v="4520"/>
    <n v="133"/>
  </r>
  <r>
    <x v="4"/>
    <x v="2"/>
    <d v="2021-09-14T00:00:00"/>
    <x v="2"/>
    <n v="26"/>
    <n v="135"/>
    <n v="117"/>
    <n v="4522"/>
    <n v="93"/>
  </r>
  <r>
    <x v="4"/>
    <x v="2"/>
    <d v="2021-09-14T00:00:00"/>
    <x v="1"/>
    <n v="42"/>
    <n v="110"/>
    <n v="110"/>
    <n v="4521"/>
    <n v="146"/>
  </r>
  <r>
    <x v="4"/>
    <x v="2"/>
    <d v="2021-09-15T00:00:00"/>
    <x v="1"/>
    <n v="39"/>
    <n v="110"/>
    <n v="110"/>
    <n v="4525"/>
    <n v="135"/>
  </r>
  <r>
    <x v="4"/>
    <x v="2"/>
    <d v="2021-09-15T00:00:00"/>
    <x v="2"/>
    <n v="39"/>
    <n v="135"/>
    <n v="117"/>
    <n v="4526"/>
    <n v="140"/>
  </r>
  <r>
    <x v="4"/>
    <x v="2"/>
    <d v="2021-09-15T00:00:00"/>
    <x v="1"/>
    <n v="30"/>
    <n v="110"/>
    <n v="110"/>
    <n v="4527"/>
    <n v="104"/>
  </r>
  <r>
    <x v="4"/>
    <x v="2"/>
    <d v="2021-09-15T00:00:00"/>
    <x v="0"/>
    <n v="45"/>
    <n v="105"/>
    <n v="108"/>
    <n v="4528"/>
    <n v="160"/>
  </r>
  <r>
    <x v="4"/>
    <x v="2"/>
    <d v="2021-09-15T00:00:00"/>
    <x v="2"/>
    <n v="18"/>
    <n v="135"/>
    <n v="117"/>
    <n v="4529"/>
    <n v="66"/>
  </r>
  <r>
    <x v="4"/>
    <x v="2"/>
    <d v="2021-09-16T00:00:00"/>
    <x v="2"/>
    <n v="21"/>
    <n v="135"/>
    <n v="117"/>
    <n v="4530"/>
    <n v="98"/>
  </r>
  <r>
    <x v="4"/>
    <x v="2"/>
    <d v="2021-09-16T00:00:00"/>
    <x v="2"/>
    <n v="21"/>
    <n v="135"/>
    <n v="117"/>
    <n v="4531"/>
    <n v="77"/>
  </r>
  <r>
    <x v="4"/>
    <x v="2"/>
    <d v="2021-09-16T00:00:00"/>
    <x v="2"/>
    <n v="26"/>
    <n v="135"/>
    <n v="117"/>
    <n v="4532"/>
    <n v="90"/>
  </r>
  <r>
    <x v="4"/>
    <x v="2"/>
    <d v="2021-09-16T00:00:00"/>
    <x v="1"/>
    <n v="33"/>
    <n v="110"/>
    <n v="110"/>
    <n v="4533"/>
    <n v="116"/>
  </r>
  <r>
    <x v="4"/>
    <x v="2"/>
    <d v="2021-09-16T00:00:00"/>
    <x v="1"/>
    <n v="43"/>
    <n v="110"/>
    <n v="110"/>
    <n v="4534"/>
    <n v="155"/>
  </r>
  <r>
    <x v="4"/>
    <x v="2"/>
    <d v="2021-09-21T00:00:00"/>
    <x v="1"/>
    <n v="42"/>
    <n v="110"/>
    <n v="110"/>
    <n v="4538"/>
    <n v="154"/>
  </r>
  <r>
    <x v="4"/>
    <x v="2"/>
    <d v="2021-09-21T00:00:00"/>
    <x v="0"/>
    <n v="46"/>
    <n v="105"/>
    <n v="108"/>
    <n v="4539"/>
    <n v="168"/>
  </r>
  <r>
    <x v="4"/>
    <x v="2"/>
    <d v="2021-09-21T00:00:00"/>
    <x v="1"/>
    <n v="36"/>
    <n v="110"/>
    <n v="110"/>
    <n v="4535"/>
    <n v="169"/>
  </r>
  <r>
    <x v="4"/>
    <x v="2"/>
    <d v="2021-09-21T00:00:00"/>
    <x v="1"/>
    <n v="30"/>
    <n v="110"/>
    <n v="110"/>
    <n v="4536"/>
    <n v="105"/>
  </r>
  <r>
    <x v="4"/>
    <x v="2"/>
    <d v="2021-09-21T00:00:00"/>
    <x v="2"/>
    <n v="19"/>
    <n v="135"/>
    <n v="117"/>
    <n v="4537"/>
    <n v="67"/>
  </r>
  <r>
    <x v="4"/>
    <x v="2"/>
    <d v="2021-09-28T00:00:00"/>
    <x v="2"/>
    <n v="28"/>
    <n v="135"/>
    <n v="117"/>
    <n v="4541"/>
    <n v="96"/>
  </r>
  <r>
    <x v="4"/>
    <x v="2"/>
    <d v="2021-09-28T00:00:00"/>
    <x v="2"/>
    <n v="28"/>
    <n v="135"/>
    <n v="117"/>
    <n v="4540"/>
    <n v="101"/>
  </r>
  <r>
    <x v="4"/>
    <x v="2"/>
    <d v="2021-09-30T00:00:00"/>
    <x v="1"/>
    <n v="29"/>
    <n v="110"/>
    <n v="110"/>
    <n v="4546"/>
    <n v="102"/>
  </r>
  <r>
    <x v="4"/>
    <x v="2"/>
    <d v="2021-09-30T00:00:00"/>
    <x v="2"/>
    <n v="21"/>
    <n v="135"/>
    <n v="117"/>
    <n v="4542"/>
    <n v="72"/>
  </r>
  <r>
    <x v="4"/>
    <x v="2"/>
    <d v="2021-09-30T00:00:00"/>
    <x v="0"/>
    <n v="44"/>
    <n v="105"/>
    <n v="108"/>
    <n v="4543"/>
    <n v="158"/>
  </r>
  <r>
    <x v="4"/>
    <x v="2"/>
    <d v="2021-09-30T00:00:00"/>
    <x v="2"/>
    <n v="20"/>
    <n v="135"/>
    <n v="117"/>
    <n v="4544"/>
    <n v="71"/>
  </r>
  <r>
    <x v="4"/>
    <x v="2"/>
    <d v="2021-09-30T00:00:00"/>
    <x v="0"/>
    <n v="33"/>
    <n v="105"/>
    <n v="108"/>
    <n v="4545"/>
    <n v="122"/>
  </r>
  <r>
    <x v="4"/>
    <x v="3"/>
    <d v="2021-10-04T00:00:00"/>
    <x v="0"/>
    <n v="38"/>
    <n v="105"/>
    <n v="108"/>
    <n v="4549"/>
    <n v="138"/>
  </r>
  <r>
    <x v="4"/>
    <x v="3"/>
    <d v="2021-10-04T00:00:00"/>
    <x v="0"/>
    <n v="23"/>
    <n v="105"/>
    <n v="108"/>
    <n v="4547"/>
    <n v="81"/>
  </r>
  <r>
    <x v="4"/>
    <x v="3"/>
    <d v="2021-10-04T00:00:00"/>
    <x v="0"/>
    <n v="23"/>
    <n v="105"/>
    <n v="108"/>
    <n v="4548"/>
    <n v="83"/>
  </r>
  <r>
    <x v="4"/>
    <x v="3"/>
    <d v="2021-10-07T00:00:00"/>
    <x v="0"/>
    <n v="33"/>
    <n v="105"/>
    <n v="108"/>
    <n v="4550"/>
    <n v="119"/>
  </r>
  <r>
    <x v="4"/>
    <x v="3"/>
    <d v="2021-10-07T00:00:00"/>
    <x v="0"/>
    <n v="26"/>
    <n v="105"/>
    <n v="108"/>
    <n v="4551"/>
    <n v="94"/>
  </r>
  <r>
    <x v="4"/>
    <x v="3"/>
    <d v="2021-10-08T00:00:00"/>
    <x v="0"/>
    <n v="25"/>
    <n v="105"/>
    <n v="108"/>
    <n v="4552"/>
    <n v="92"/>
  </r>
  <r>
    <x v="4"/>
    <x v="3"/>
    <d v="2021-10-08T00:00:00"/>
    <x v="1"/>
    <n v="48"/>
    <n v="110"/>
    <n v="110"/>
    <n v="4553"/>
    <n v="166"/>
  </r>
  <r>
    <x v="4"/>
    <x v="3"/>
    <d v="2021-10-08T00:00:00"/>
    <x v="2"/>
    <n v="28"/>
    <n v="135"/>
    <n v="117"/>
    <n v="4554"/>
    <n v="101"/>
  </r>
  <r>
    <x v="4"/>
    <x v="3"/>
    <d v="2021-10-11T00:00:00"/>
    <x v="2"/>
    <n v="34"/>
    <n v="135"/>
    <n v="117"/>
    <n v="4558"/>
    <n v="124"/>
  </r>
  <r>
    <x v="4"/>
    <x v="3"/>
    <d v="2021-10-11T00:00:00"/>
    <x v="0"/>
    <n v="43"/>
    <n v="105"/>
    <n v="108"/>
    <n v="4557"/>
    <n v="160"/>
  </r>
  <r>
    <x v="4"/>
    <x v="3"/>
    <d v="2021-10-11T00:00:00"/>
    <x v="1"/>
    <n v="37"/>
    <n v="110"/>
    <n v="110"/>
    <n v="4556"/>
    <n v="130"/>
  </r>
  <r>
    <x v="4"/>
    <x v="3"/>
    <d v="2021-10-11T00:00:00"/>
    <x v="0"/>
    <n v="32"/>
    <n v="105"/>
    <n v="108"/>
    <n v="4555"/>
    <n v="111"/>
  </r>
  <r>
    <x v="4"/>
    <x v="3"/>
    <d v="2021-10-12T00:00:00"/>
    <x v="2"/>
    <n v="29"/>
    <n v="135"/>
    <n v="117"/>
    <n v="4560"/>
    <n v="112"/>
  </r>
  <r>
    <x v="4"/>
    <x v="3"/>
    <d v="2021-10-12T00:00:00"/>
    <x v="1"/>
    <n v="32"/>
    <n v="110"/>
    <n v="110"/>
    <n v="4561"/>
    <n v="114"/>
  </r>
  <r>
    <x v="4"/>
    <x v="3"/>
    <d v="2021-10-12T00:00:00"/>
    <x v="2"/>
    <n v="14"/>
    <n v="135"/>
    <n v="117"/>
    <n v="4559"/>
    <n v="49"/>
  </r>
  <r>
    <x v="4"/>
    <x v="3"/>
    <d v="2021-10-13T00:00:00"/>
    <x v="2"/>
    <n v="37"/>
    <n v="135"/>
    <n v="117"/>
    <n v="4562"/>
    <n v="173"/>
  </r>
  <r>
    <x v="4"/>
    <x v="3"/>
    <d v="2021-10-13T00:00:00"/>
    <x v="2"/>
    <n v="37"/>
    <n v="135"/>
    <n v="117"/>
    <n v="4563"/>
    <n v="133"/>
  </r>
  <r>
    <x v="4"/>
    <x v="3"/>
    <d v="2021-10-13T00:00:00"/>
    <x v="1"/>
    <n v="43"/>
    <n v="110"/>
    <n v="110"/>
    <n v="4564"/>
    <n v="157"/>
  </r>
  <r>
    <x v="4"/>
    <x v="3"/>
    <d v="2021-10-14T00:00:00"/>
    <x v="1"/>
    <n v="40"/>
    <n v="110"/>
    <n v="110"/>
    <n v="4565"/>
    <n v="142"/>
  </r>
  <r>
    <x v="4"/>
    <x v="3"/>
    <d v="2021-10-14T00:00:00"/>
    <x v="0"/>
    <n v="20"/>
    <n v="105"/>
    <n v="108"/>
    <n v="4568"/>
    <n v="74"/>
  </r>
  <r>
    <x v="4"/>
    <x v="3"/>
    <d v="2021-10-14T00:00:00"/>
    <x v="2"/>
    <n v="12"/>
    <n v="135"/>
    <n v="117"/>
    <n v="4566"/>
    <n v="41"/>
  </r>
  <r>
    <x v="4"/>
    <x v="3"/>
    <d v="2021-10-14T00:00:00"/>
    <x v="0"/>
    <n v="35"/>
    <n v="105"/>
    <n v="108"/>
    <n v="4567"/>
    <n v="121"/>
  </r>
  <r>
    <x v="4"/>
    <x v="3"/>
    <d v="2021-10-15T00:00:00"/>
    <x v="2"/>
    <n v="18"/>
    <n v="135"/>
    <n v="117"/>
    <n v="4569"/>
    <n v="84"/>
  </r>
  <r>
    <x v="4"/>
    <x v="3"/>
    <d v="2021-10-20T00:00:00"/>
    <x v="1"/>
    <n v="48"/>
    <n v="110"/>
    <n v="110"/>
    <n v="4570"/>
    <n v="166"/>
  </r>
  <r>
    <x v="4"/>
    <x v="3"/>
    <d v="2021-10-20T00:00:00"/>
    <x v="2"/>
    <n v="32"/>
    <n v="135"/>
    <n v="117"/>
    <n v="4571"/>
    <n v="148"/>
  </r>
  <r>
    <x v="4"/>
    <x v="3"/>
    <d v="2021-10-20T00:00:00"/>
    <x v="1"/>
    <n v="41"/>
    <n v="110"/>
    <n v="110"/>
    <n v="4572"/>
    <n v="141"/>
  </r>
  <r>
    <x v="4"/>
    <x v="3"/>
    <d v="2021-10-21T00:00:00"/>
    <x v="2"/>
    <n v="14"/>
    <n v="135"/>
    <n v="117"/>
    <n v="4576"/>
    <n v="51"/>
  </r>
  <r>
    <x v="4"/>
    <x v="3"/>
    <d v="2021-10-21T00:00:00"/>
    <x v="0"/>
    <n v="24"/>
    <n v="105"/>
    <n v="108"/>
    <n v="4575"/>
    <n v="88"/>
  </r>
  <r>
    <x v="4"/>
    <x v="3"/>
    <d v="2021-10-21T00:00:00"/>
    <x v="0"/>
    <n v="39"/>
    <n v="105"/>
    <n v="108"/>
    <n v="4574"/>
    <n v="140"/>
  </r>
  <r>
    <x v="4"/>
    <x v="3"/>
    <d v="2021-10-21T00:00:00"/>
    <x v="1"/>
    <n v="38"/>
    <n v="110"/>
    <n v="110"/>
    <n v="4573"/>
    <n v="135"/>
  </r>
  <r>
    <x v="4"/>
    <x v="3"/>
    <d v="2021-10-22T00:00:00"/>
    <x v="0"/>
    <n v="20"/>
    <n v="105"/>
    <n v="108"/>
    <n v="4578"/>
    <n v="70"/>
  </r>
  <r>
    <x v="4"/>
    <x v="3"/>
    <d v="2021-10-22T00:00:00"/>
    <x v="1"/>
    <n v="25"/>
    <n v="110"/>
    <n v="110"/>
    <n v="4579"/>
    <n v="94"/>
  </r>
  <r>
    <x v="4"/>
    <x v="3"/>
    <d v="2021-10-22T00:00:00"/>
    <x v="0"/>
    <n v="43"/>
    <n v="105"/>
    <n v="108"/>
    <n v="4577"/>
    <n v="158"/>
  </r>
  <r>
    <x v="4"/>
    <x v="3"/>
    <d v="2021-10-25T00:00:00"/>
    <x v="2"/>
    <n v="31"/>
    <n v="135"/>
    <n v="117"/>
    <n v="4580"/>
    <n v="111"/>
  </r>
  <r>
    <x v="4"/>
    <x v="3"/>
    <d v="2021-10-25T00:00:00"/>
    <x v="2"/>
    <n v="17"/>
    <n v="135"/>
    <n v="117"/>
    <n v="4581"/>
    <n v="60"/>
  </r>
  <r>
    <x v="4"/>
    <x v="3"/>
    <d v="2021-10-26T00:00:00"/>
    <x v="1"/>
    <n v="46"/>
    <n v="110"/>
    <n v="110"/>
    <n v="4582"/>
    <n v="163"/>
  </r>
  <r>
    <x v="4"/>
    <x v="3"/>
    <d v="2021-10-28T00:00:00"/>
    <x v="0"/>
    <n v="29"/>
    <n v="105"/>
    <n v="108"/>
    <n v="4584"/>
    <n v="104"/>
  </r>
  <r>
    <x v="4"/>
    <x v="3"/>
    <d v="2021-10-28T00:00:00"/>
    <x v="0"/>
    <n v="22"/>
    <n v="105"/>
    <n v="108"/>
    <n v="4583"/>
    <n v="77"/>
  </r>
  <r>
    <x v="4"/>
    <x v="3"/>
    <d v="2021-11-01T00:00:00"/>
    <x v="0"/>
    <n v="35"/>
    <n v="105"/>
    <n v="108"/>
    <n v="4588"/>
    <n v="121"/>
  </r>
  <r>
    <x v="4"/>
    <x v="3"/>
    <d v="2021-11-01T00:00:00"/>
    <x v="2"/>
    <n v="13"/>
    <n v="135"/>
    <n v="117"/>
    <n v="4587"/>
    <n v="45"/>
  </r>
  <r>
    <x v="4"/>
    <x v="3"/>
    <d v="2021-11-01T00:00:00"/>
    <x v="1"/>
    <n v="38"/>
    <n v="110"/>
    <n v="110"/>
    <n v="4585"/>
    <n v="132"/>
  </r>
  <r>
    <x v="4"/>
    <x v="3"/>
    <d v="2021-11-01T00:00:00"/>
    <x v="1"/>
    <n v="39"/>
    <n v="110"/>
    <n v="110"/>
    <n v="4586"/>
    <n v="133"/>
  </r>
  <r>
    <x v="4"/>
    <x v="3"/>
    <d v="2021-11-04T00:00:00"/>
    <x v="2"/>
    <n v="29"/>
    <n v="135"/>
    <n v="117"/>
    <n v="4593"/>
    <n v="104"/>
  </r>
  <r>
    <x v="4"/>
    <x v="3"/>
    <d v="2021-11-04T00:00:00"/>
    <x v="0"/>
    <n v="39"/>
    <n v="105"/>
    <n v="108"/>
    <n v="4589"/>
    <n v="140"/>
  </r>
  <r>
    <x v="4"/>
    <x v="3"/>
    <d v="2021-11-04T00:00:00"/>
    <x v="2"/>
    <n v="37"/>
    <n v="135"/>
    <n v="117"/>
    <n v="4590"/>
    <n v="127"/>
  </r>
  <r>
    <x v="4"/>
    <x v="3"/>
    <d v="2021-11-04T00:00:00"/>
    <x v="1"/>
    <n v="22"/>
    <n v="110"/>
    <n v="110"/>
    <n v="4591"/>
    <n v="78"/>
  </r>
  <r>
    <x v="4"/>
    <x v="3"/>
    <d v="2021-11-04T00:00:00"/>
    <x v="0"/>
    <n v="23"/>
    <n v="105"/>
    <n v="108"/>
    <n v="4592"/>
    <n v="85"/>
  </r>
  <r>
    <x v="4"/>
    <x v="3"/>
    <d v="2021-11-09T00:00:00"/>
    <x v="0"/>
    <n v="21"/>
    <n v="105"/>
    <n v="108"/>
    <n v="4596"/>
    <n v="77"/>
  </r>
  <r>
    <x v="4"/>
    <x v="3"/>
    <d v="2021-11-09T00:00:00"/>
    <x v="1"/>
    <n v="42"/>
    <n v="110"/>
    <n v="110"/>
    <n v="4595"/>
    <n v="144"/>
  </r>
  <r>
    <x v="4"/>
    <x v="3"/>
    <d v="2021-11-09T00:00:00"/>
    <x v="2"/>
    <n v="33"/>
    <n v="135"/>
    <n v="117"/>
    <n v="4594"/>
    <n v="117"/>
  </r>
  <r>
    <x v="4"/>
    <x v="3"/>
    <d v="2021-11-10T00:00:00"/>
    <x v="1"/>
    <n v="45"/>
    <n v="110"/>
    <n v="110"/>
    <n v="4597"/>
    <n v="210"/>
  </r>
  <r>
    <x v="4"/>
    <x v="3"/>
    <d v="2021-11-10T00:00:00"/>
    <x v="0"/>
    <n v="35"/>
    <n v="105"/>
    <n v="108"/>
    <n v="4598"/>
    <n v="124"/>
  </r>
  <r>
    <x v="4"/>
    <x v="3"/>
    <d v="2021-11-11T00:00:00"/>
    <x v="0"/>
    <n v="20"/>
    <n v="105"/>
    <n v="108"/>
    <n v="4602"/>
    <n v="70"/>
  </r>
  <r>
    <x v="4"/>
    <x v="3"/>
    <d v="2021-11-11T00:00:00"/>
    <x v="2"/>
    <n v="38"/>
    <n v="135"/>
    <n v="117"/>
    <n v="4603"/>
    <n v="133"/>
  </r>
  <r>
    <x v="4"/>
    <x v="3"/>
    <d v="2021-11-11T00:00:00"/>
    <x v="2"/>
    <n v="17"/>
    <n v="135"/>
    <n v="117"/>
    <n v="4601"/>
    <n v="60"/>
  </r>
  <r>
    <x v="4"/>
    <x v="3"/>
    <d v="2021-11-11T00:00:00"/>
    <x v="2"/>
    <n v="19"/>
    <n v="135"/>
    <n v="117"/>
    <n v="4600"/>
    <n v="68"/>
  </r>
  <r>
    <x v="4"/>
    <x v="3"/>
    <d v="2021-11-11T00:00:00"/>
    <x v="0"/>
    <n v="41"/>
    <n v="105"/>
    <n v="108"/>
    <n v="4599"/>
    <n v="143"/>
  </r>
  <r>
    <x v="4"/>
    <x v="3"/>
    <d v="2021-11-15T00:00:00"/>
    <x v="1"/>
    <n v="46"/>
    <n v="110"/>
    <n v="110"/>
    <n v="4605"/>
    <n v="164"/>
  </r>
  <r>
    <x v="4"/>
    <x v="3"/>
    <d v="2021-11-15T00:00:00"/>
    <x v="0"/>
    <n v="25"/>
    <n v="105"/>
    <n v="108"/>
    <n v="4606"/>
    <n v="94"/>
  </r>
  <r>
    <x v="4"/>
    <x v="3"/>
    <d v="2021-11-15T00:00:00"/>
    <x v="2"/>
    <n v="38"/>
    <n v="135"/>
    <n v="117"/>
    <n v="4604"/>
    <n v="140"/>
  </r>
  <r>
    <x v="4"/>
    <x v="3"/>
    <d v="2021-11-16T00:00:00"/>
    <x v="0"/>
    <n v="37"/>
    <n v="105"/>
    <n v="108"/>
    <n v="4610"/>
    <n v="132"/>
  </r>
  <r>
    <x v="4"/>
    <x v="3"/>
    <d v="2021-11-16T00:00:00"/>
    <x v="1"/>
    <n v="31"/>
    <n v="110"/>
    <n v="110"/>
    <n v="4607"/>
    <n v="111"/>
  </r>
  <r>
    <x v="4"/>
    <x v="3"/>
    <d v="2021-11-16T00:00:00"/>
    <x v="0"/>
    <n v="29"/>
    <n v="105"/>
    <n v="108"/>
    <n v="4608"/>
    <n v="103"/>
  </r>
  <r>
    <x v="4"/>
    <x v="3"/>
    <d v="2021-11-16T00:00:00"/>
    <x v="2"/>
    <n v="37"/>
    <n v="135"/>
    <n v="117"/>
    <n v="4609"/>
    <n v="142"/>
  </r>
  <r>
    <x v="4"/>
    <x v="3"/>
    <d v="2021-11-17T00:00:00"/>
    <x v="1"/>
    <n v="39"/>
    <n v="110"/>
    <n v="110"/>
    <n v="4612"/>
    <n v="134"/>
  </r>
  <r>
    <x v="4"/>
    <x v="3"/>
    <d v="2021-11-17T00:00:00"/>
    <x v="0"/>
    <n v="31"/>
    <n v="105"/>
    <n v="108"/>
    <n v="4611"/>
    <n v="111"/>
  </r>
  <r>
    <x v="4"/>
    <x v="3"/>
    <d v="2021-11-18T00:00:00"/>
    <x v="1"/>
    <n v="28"/>
    <n v="110"/>
    <n v="110"/>
    <n v="4613"/>
    <n v="97"/>
  </r>
  <r>
    <x v="4"/>
    <x v="3"/>
    <d v="2021-11-18T00:00:00"/>
    <x v="0"/>
    <n v="30"/>
    <n v="105"/>
    <n v="108"/>
    <n v="4614"/>
    <n v="112"/>
  </r>
  <r>
    <x v="4"/>
    <x v="3"/>
    <d v="2021-11-22T00:00:00"/>
    <x v="1"/>
    <n v="33"/>
    <n v="110"/>
    <n v="110"/>
    <n v="4618"/>
    <n v="117"/>
  </r>
  <r>
    <x v="4"/>
    <x v="3"/>
    <d v="2021-11-22T00:00:00"/>
    <x v="2"/>
    <n v="36"/>
    <n v="135"/>
    <n v="117"/>
    <n v="4619"/>
    <n v="137"/>
  </r>
  <r>
    <x v="4"/>
    <x v="3"/>
    <d v="2021-11-22T00:00:00"/>
    <x v="0"/>
    <n v="26"/>
    <n v="105"/>
    <n v="108"/>
    <n v="4617"/>
    <n v="94"/>
  </r>
  <r>
    <x v="4"/>
    <x v="3"/>
    <d v="2021-11-22T00:00:00"/>
    <x v="2"/>
    <n v="12"/>
    <n v="135"/>
    <n v="117"/>
    <n v="4616"/>
    <n v="42"/>
  </r>
  <r>
    <x v="4"/>
    <x v="3"/>
    <d v="2021-11-22T00:00:00"/>
    <x v="1"/>
    <n v="36"/>
    <n v="110"/>
    <n v="110"/>
    <n v="4615"/>
    <n v="131"/>
  </r>
  <r>
    <x v="4"/>
    <x v="3"/>
    <d v="2021-11-24T00:00:00"/>
    <x v="2"/>
    <n v="22"/>
    <n v="135"/>
    <n v="117"/>
    <n v="4621"/>
    <n v="83"/>
  </r>
  <r>
    <x v="4"/>
    <x v="3"/>
    <d v="2021-11-24T00:00:00"/>
    <x v="0"/>
    <n v="33"/>
    <n v="105"/>
    <n v="108"/>
    <n v="4622"/>
    <n v="153"/>
  </r>
  <r>
    <x v="4"/>
    <x v="3"/>
    <d v="2021-11-24T00:00:00"/>
    <x v="2"/>
    <n v="20"/>
    <n v="135"/>
    <n v="117"/>
    <n v="4623"/>
    <n v="69"/>
  </r>
  <r>
    <x v="4"/>
    <x v="3"/>
    <d v="2021-11-24T00:00:00"/>
    <x v="0"/>
    <n v="38"/>
    <n v="105"/>
    <n v="108"/>
    <n v="4620"/>
    <n v="176"/>
  </r>
  <r>
    <x v="4"/>
    <x v="3"/>
    <d v="2021-11-25T00:00:00"/>
    <x v="2"/>
    <n v="27"/>
    <n v="135"/>
    <n v="117"/>
    <n v="4624"/>
    <n v="96"/>
  </r>
  <r>
    <x v="4"/>
    <x v="3"/>
    <d v="2021-11-25T00:00:00"/>
    <x v="2"/>
    <n v="25"/>
    <n v="135"/>
    <n v="117"/>
    <n v="4625"/>
    <n v="87"/>
  </r>
  <r>
    <x v="4"/>
    <x v="3"/>
    <d v="2021-11-29T00:00:00"/>
    <x v="0"/>
    <n v="28"/>
    <n v="105"/>
    <n v="108"/>
    <n v="4629"/>
    <n v="103"/>
  </r>
  <r>
    <x v="4"/>
    <x v="3"/>
    <d v="2021-11-29T00:00:00"/>
    <x v="2"/>
    <n v="23"/>
    <n v="135"/>
    <n v="117"/>
    <n v="4630"/>
    <n v="106"/>
  </r>
  <r>
    <x v="4"/>
    <x v="3"/>
    <d v="2021-11-29T00:00:00"/>
    <x v="2"/>
    <n v="24"/>
    <n v="135"/>
    <n v="117"/>
    <n v="4627"/>
    <n v="86"/>
  </r>
  <r>
    <x v="4"/>
    <x v="3"/>
    <d v="2021-11-29T00:00:00"/>
    <x v="2"/>
    <n v="29"/>
    <n v="135"/>
    <n v="117"/>
    <n v="4626"/>
    <n v="102"/>
  </r>
  <r>
    <x v="4"/>
    <x v="3"/>
    <d v="2021-11-29T00:00:00"/>
    <x v="1"/>
    <n v="34"/>
    <n v="110"/>
    <n v="110"/>
    <n v="4628"/>
    <n v="121"/>
  </r>
  <r>
    <x v="4"/>
    <x v="3"/>
    <d v="2021-11-30T00:00:00"/>
    <x v="1"/>
    <n v="33"/>
    <n v="110"/>
    <n v="110"/>
    <n v="4631"/>
    <n v="155"/>
  </r>
  <r>
    <x v="4"/>
    <x v="3"/>
    <d v="2021-11-30T00:00:00"/>
    <x v="1"/>
    <n v="38"/>
    <n v="110"/>
    <n v="110"/>
    <n v="4632"/>
    <n v="178"/>
  </r>
  <r>
    <x v="4"/>
    <x v="3"/>
    <d v="2021-11-30T00:00:00"/>
    <x v="2"/>
    <n v="20"/>
    <n v="135"/>
    <n v="117"/>
    <n v="4633"/>
    <n v="69"/>
  </r>
  <r>
    <x v="4"/>
    <x v="3"/>
    <d v="2021-11-30T00:00:00"/>
    <x v="1"/>
    <n v="47"/>
    <n v="110"/>
    <n v="110"/>
    <n v="4634"/>
    <n v="168"/>
  </r>
  <r>
    <x v="4"/>
    <x v="3"/>
    <d v="2021-12-01T00:00:00"/>
    <x v="1"/>
    <n v="47"/>
    <n v="110"/>
    <n v="110"/>
    <n v="4636"/>
    <n v="164"/>
  </r>
  <r>
    <x v="4"/>
    <x v="3"/>
    <d v="2021-12-01T00:00:00"/>
    <x v="2"/>
    <n v="12"/>
    <n v="135"/>
    <n v="117"/>
    <n v="4637"/>
    <n v="41"/>
  </r>
  <r>
    <x v="4"/>
    <x v="3"/>
    <d v="2021-12-01T00:00:00"/>
    <x v="0"/>
    <n v="28"/>
    <n v="105"/>
    <n v="108"/>
    <n v="4635"/>
    <n v="102"/>
  </r>
  <r>
    <x v="4"/>
    <x v="3"/>
    <d v="2021-12-01T00:00:00"/>
    <x v="0"/>
    <n v="40"/>
    <n v="105"/>
    <n v="108"/>
    <n v="4638"/>
    <n v="184"/>
  </r>
  <r>
    <x v="4"/>
    <x v="3"/>
    <d v="2021-12-02T00:00:00"/>
    <x v="0"/>
    <n v="25"/>
    <n v="105"/>
    <n v="108"/>
    <n v="4639"/>
    <n v="90"/>
  </r>
  <r>
    <x v="4"/>
    <x v="3"/>
    <d v="2021-12-03T00:00:00"/>
    <x v="0"/>
    <n v="31"/>
    <n v="105"/>
    <n v="108"/>
    <n v="4640"/>
    <n v="117"/>
  </r>
  <r>
    <x v="4"/>
    <x v="3"/>
    <d v="2021-12-06T00:00:00"/>
    <x v="2"/>
    <n v="27"/>
    <n v="135"/>
    <n v="117"/>
    <n v="4641"/>
    <n v="96"/>
  </r>
  <r>
    <x v="4"/>
    <x v="3"/>
    <d v="2021-12-09T00:00:00"/>
    <x v="2"/>
    <n v="24"/>
    <n v="135"/>
    <n v="117"/>
    <n v="4642"/>
    <n v="88"/>
  </r>
  <r>
    <x v="4"/>
    <x v="3"/>
    <d v="2021-12-09T00:00:00"/>
    <x v="0"/>
    <n v="35"/>
    <n v="105"/>
    <n v="108"/>
    <n v="4643"/>
    <n v="128"/>
  </r>
  <r>
    <x v="4"/>
    <x v="3"/>
    <d v="2021-12-14T00:00:00"/>
    <x v="1"/>
    <n v="33"/>
    <n v="110"/>
    <n v="110"/>
    <n v="4644"/>
    <n v="121"/>
  </r>
  <r>
    <x v="4"/>
    <x v="3"/>
    <d v="2021-12-14T00:00:00"/>
    <x v="0"/>
    <n v="43"/>
    <n v="105"/>
    <n v="108"/>
    <n v="4645"/>
    <n v="156"/>
  </r>
  <r>
    <x v="4"/>
    <x v="3"/>
    <d v="2021-12-15T00:00:00"/>
    <x v="1"/>
    <n v="46"/>
    <n v="110"/>
    <n v="110"/>
    <n v="4646"/>
    <n v="158"/>
  </r>
  <r>
    <x v="4"/>
    <x v="3"/>
    <d v="2021-12-15T00:00:00"/>
    <x v="0"/>
    <n v="40"/>
    <n v="105"/>
    <n v="108"/>
    <n v="4648"/>
    <n v="141"/>
  </r>
  <r>
    <x v="4"/>
    <x v="3"/>
    <d v="2021-12-15T00:00:00"/>
    <x v="0"/>
    <n v="36"/>
    <n v="105"/>
    <n v="108"/>
    <n v="4647"/>
    <n v="132"/>
  </r>
  <r>
    <x v="4"/>
    <x v="3"/>
    <d v="2021-12-16T00:00:00"/>
    <x v="2"/>
    <n v="24"/>
    <n v="135"/>
    <n v="117"/>
    <n v="4649"/>
    <n v="83"/>
  </r>
  <r>
    <x v="4"/>
    <x v="3"/>
    <d v="2021-12-16T00:00:00"/>
    <x v="0"/>
    <n v="24"/>
    <n v="105"/>
    <n v="108"/>
    <n v="4650"/>
    <n v="87"/>
  </r>
  <r>
    <x v="4"/>
    <x v="3"/>
    <d v="2021-12-16T00:00:00"/>
    <x v="2"/>
    <n v="37"/>
    <n v="135"/>
    <n v="117"/>
    <n v="4651"/>
    <n v="133"/>
  </r>
  <r>
    <x v="4"/>
    <x v="3"/>
    <d v="2021-12-16T00:00:00"/>
    <x v="2"/>
    <n v="22"/>
    <n v="135"/>
    <n v="117"/>
    <n v="4652"/>
    <n v="79"/>
  </r>
  <r>
    <x v="4"/>
    <x v="3"/>
    <d v="2021-12-24T00:00:00"/>
    <x v="0"/>
    <n v="40"/>
    <n v="105"/>
    <n v="108"/>
    <n v="4655"/>
    <n v="139"/>
  </r>
  <r>
    <x v="4"/>
    <x v="3"/>
    <d v="2021-12-24T00:00:00"/>
    <x v="2"/>
    <n v="13"/>
    <n v="135"/>
    <n v="117"/>
    <n v="4656"/>
    <n v="48"/>
  </r>
  <r>
    <x v="4"/>
    <x v="3"/>
    <d v="2021-12-24T00:00:00"/>
    <x v="2"/>
    <n v="25"/>
    <n v="135"/>
    <n v="117"/>
    <n v="4654"/>
    <n v="91"/>
  </r>
  <r>
    <x v="4"/>
    <x v="3"/>
    <d v="2021-12-24T00:00:00"/>
    <x v="0"/>
    <n v="34"/>
    <n v="105"/>
    <n v="108"/>
    <n v="4653"/>
    <n v="125"/>
  </r>
  <r>
    <x v="4"/>
    <x v="3"/>
    <d v="2021-12-27T00:00:00"/>
    <x v="1"/>
    <n v="32"/>
    <n v="110"/>
    <n v="110"/>
    <n v="4658"/>
    <n v="113"/>
  </r>
  <r>
    <x v="4"/>
    <x v="3"/>
    <d v="2021-12-27T00:00:00"/>
    <x v="1"/>
    <n v="33"/>
    <n v="110"/>
    <n v="110"/>
    <n v="4657"/>
    <n v="116"/>
  </r>
  <r>
    <x v="4"/>
    <x v="3"/>
    <d v="2021-12-28T00:00:00"/>
    <x v="1"/>
    <n v="27"/>
    <n v="110"/>
    <n v="110"/>
    <n v="4659"/>
    <n v="94"/>
  </r>
  <r>
    <x v="4"/>
    <x v="3"/>
    <d v="2021-12-28T00:00:00"/>
    <x v="1"/>
    <n v="24"/>
    <n v="110"/>
    <n v="110"/>
    <n v="4660"/>
    <n v="84"/>
  </r>
  <r>
    <x v="4"/>
    <x v="3"/>
    <d v="2021-12-28T00:00:00"/>
    <x v="0"/>
    <n v="43"/>
    <n v="105"/>
    <n v="108"/>
    <n v="4661"/>
    <n v="158"/>
  </r>
  <r>
    <x v="4"/>
    <x v="3"/>
    <d v="2021-12-28T00:00:00"/>
    <x v="1"/>
    <n v="30"/>
    <n v="110"/>
    <n v="110"/>
    <n v="4662"/>
    <n v="110"/>
  </r>
  <r>
    <x v="4"/>
    <x v="3"/>
    <d v="2021-12-28T00:00:00"/>
    <x v="1"/>
    <n v="22"/>
    <n v="110"/>
    <n v="110"/>
    <n v="4663"/>
    <n v="81"/>
  </r>
  <r>
    <x v="4"/>
    <x v="3"/>
    <d v="2021-12-31T00:00:00"/>
    <x v="2"/>
    <n v="26"/>
    <n v="135"/>
    <n v="117"/>
    <n v="4665"/>
    <n v="96"/>
  </r>
  <r>
    <x v="4"/>
    <x v="3"/>
    <d v="2021-12-31T00:00:00"/>
    <x v="0"/>
    <n v="26"/>
    <n v="105"/>
    <n v="108"/>
    <n v="4664"/>
    <n v="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980D4-FA3E-4340-9257-E9BBA641D4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2" firstHeaderRow="1" firstDataRow="1" firstDataCol="1" rowPageCount="2" colPageCount="1"/>
  <pivotFields count="10">
    <pivotField showAll="0"/>
    <pivotField axis="axisRow" showAll="0">
      <items count="4">
        <item x="0"/>
        <item x="1"/>
        <item x="2"/>
        <item t="default"/>
      </items>
    </pivotField>
    <pivotField showAll="0"/>
    <pivotField axis="axisPage" showAll="0">
      <items count="6">
        <item x="4"/>
        <item x="3"/>
        <item x="2"/>
        <item x="1"/>
        <item x="0"/>
        <item t="default"/>
      </items>
    </pivotField>
    <pivotField axis="axisPage" showAll="0">
      <items count="5">
        <item x="3"/>
        <item x="2"/>
        <item x="1"/>
        <item x="0"/>
        <item t="default"/>
      </items>
    </pivotField>
    <pivotField dataField="1" numFmtId="4" showAll="0"/>
    <pivotField numFmtId="4" showAll="0"/>
    <pivotField numFmtId="4" showAll="0"/>
    <pivotField showAll="0"/>
    <pivotField showAll="0"/>
  </pivotFields>
  <rowFields count="1">
    <field x="1"/>
  </rowFields>
  <rowItems count="4">
    <i>
      <x/>
    </i>
    <i>
      <x v="1"/>
    </i>
    <i>
      <x v="2"/>
    </i>
    <i t="grand">
      <x/>
    </i>
  </rowItems>
  <colItems count="1">
    <i/>
  </colItems>
  <pageFields count="2">
    <pageField fld="3" item="2" hier="-1"/>
    <pageField fld="4" item="0" hier="-1"/>
  </pageFields>
  <dataFields count="1">
    <dataField name="Sum of WholeSalePrice" fld="5"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80A589-F20F-44E0-A9CD-AF1CA18F3D1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2" firstHeaderRow="1" firstDataRow="1" firstDataCol="1" rowPageCount="2" colPageCount="1"/>
  <pivotFields count="9">
    <pivotField axis="axisPage" multipleItemSelectionAllowed="1" showAll="0">
      <items count="6">
        <item h="1" x="0"/>
        <item x="1"/>
        <item h="1" x="2"/>
        <item h="1" x="3"/>
        <item h="1" x="4"/>
        <item t="default"/>
      </items>
    </pivotField>
    <pivotField axis="axisPage" multipleItemSelectionAllowed="1" showAll="0">
      <items count="5">
        <item h="1" x="0"/>
        <item h="1" x="1"/>
        <item h="1" x="2"/>
        <item x="3"/>
        <item t="default"/>
      </items>
    </pivotField>
    <pivotField numFmtId="14" showAll="0"/>
    <pivotField axis="axisRow" showAll="0">
      <items count="4">
        <item x="1"/>
        <item x="0"/>
        <item x="2"/>
        <item t="default"/>
      </items>
    </pivotField>
    <pivotField dataField="1" showAll="0"/>
    <pivotField numFmtId="4" showAll="0"/>
    <pivotField numFmtId="4" showAll="0"/>
    <pivotField showAll="0"/>
    <pivotField showAll="0"/>
  </pivotFields>
  <rowFields count="1">
    <field x="3"/>
  </rowFields>
  <rowItems count="4">
    <i>
      <x/>
    </i>
    <i>
      <x v="1"/>
    </i>
    <i>
      <x v="2"/>
    </i>
    <i t="grand">
      <x/>
    </i>
  </rowItems>
  <colItems count="1">
    <i/>
  </colItems>
  <pageFields count="2">
    <pageField fld="0" hier="-1"/>
    <pageField fld="1" hier="-1"/>
  </pageFields>
  <dataFields count="1">
    <dataField name="Sum of Quantity" fld="4"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EF746F-E04B-4592-A685-C3BEDFAD60E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12" firstHeaderRow="1" firstDataRow="1" firstDataCol="1" rowPageCount="2" colPageCount="1"/>
  <pivotFields count="9">
    <pivotField axis="axisPage" multipleItemSelectionAllowed="1" showAll="0">
      <items count="6">
        <item h="1" x="0"/>
        <item h="1" x="1"/>
        <item x="2"/>
        <item h="1" x="3"/>
        <item h="1" x="4"/>
        <item t="default"/>
      </items>
    </pivotField>
    <pivotField axis="axisPage" multipleItemSelectionAllowed="1" showAll="0">
      <items count="5">
        <item x="0"/>
        <item h="1" x="1"/>
        <item h="1" x="2"/>
        <item h="1" x="3"/>
        <item t="default"/>
      </items>
    </pivotField>
    <pivotField numFmtId="14" showAll="0"/>
    <pivotField axis="axisRow" showAll="0">
      <items count="4">
        <item x="1"/>
        <item x="0"/>
        <item x="2"/>
        <item t="default"/>
      </items>
    </pivotField>
    <pivotField dataField="1" showAll="0"/>
    <pivotField numFmtId="4" showAll="0"/>
    <pivotField numFmtId="4" showAll="0"/>
    <pivotField showAll="0"/>
    <pivotField showAll="0"/>
  </pivotFields>
  <rowFields count="1">
    <field x="3"/>
  </rowFields>
  <rowItems count="4">
    <i>
      <x/>
    </i>
    <i>
      <x v="1"/>
    </i>
    <i>
      <x v="2"/>
    </i>
    <i t="grand">
      <x/>
    </i>
  </rowItems>
  <colItems count="1">
    <i/>
  </colItems>
  <pageFields count="2">
    <pageField fld="0" hier="-1"/>
    <pageField fld="1" hier="-1"/>
  </pageFields>
  <dataFields count="1">
    <dataField name="Sum of Quantity" fld="4"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49928-6EC0-4D5F-A77A-D80140EA7A5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1" firstHeaderRow="1" firstDataRow="1" firstDataCol="1" rowPageCount="2" colPageCount="1"/>
  <pivotFields count="9">
    <pivotField axis="axisPage" showAll="0">
      <items count="6">
        <item x="0"/>
        <item x="1"/>
        <item x="2"/>
        <item x="3"/>
        <item x="4"/>
        <item t="default"/>
      </items>
    </pivotField>
    <pivotField axis="axisPage" showAll="0">
      <items count="5">
        <item x="0"/>
        <item x="1"/>
        <item x="2"/>
        <item x="3"/>
        <item t="default"/>
      </items>
    </pivotField>
    <pivotField numFmtId="14" showAll="0"/>
    <pivotField axis="axisRow" showAll="0">
      <items count="4">
        <item x="1"/>
        <item x="0"/>
        <item x="2"/>
        <item t="default"/>
      </items>
    </pivotField>
    <pivotField dataField="1" showAll="0"/>
    <pivotField numFmtId="4" showAll="0"/>
    <pivotField numFmtId="4" showAll="0"/>
    <pivotField showAll="0"/>
    <pivotField showAll="0"/>
  </pivotFields>
  <rowFields count="1">
    <field x="3"/>
  </rowFields>
  <rowItems count="4">
    <i>
      <x/>
    </i>
    <i>
      <x v="1"/>
    </i>
    <i>
      <x v="2"/>
    </i>
    <i t="grand">
      <x/>
    </i>
  </rowItems>
  <colItems count="1">
    <i/>
  </colItems>
  <pageFields count="2">
    <pageField fld="0" item="1" hier="-1"/>
    <pageField fld="1" item="3" hier="-1"/>
  </pageFields>
  <dataFields count="1">
    <dataField name="Average of Quantity" fld="4" subtotal="average" baseField="3"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6AF18-5CA1-4B13-AC8B-9384BE986A3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F11" firstHeaderRow="1" firstDataRow="1" firstDataCol="1" rowPageCount="2" colPageCount="1"/>
  <pivotFields count="9">
    <pivotField axis="axisPage" showAll="0">
      <items count="6">
        <item x="0"/>
        <item x="1"/>
        <item x="2"/>
        <item x="3"/>
        <item x="4"/>
        <item t="default"/>
      </items>
    </pivotField>
    <pivotField axis="axisPage" showAll="0">
      <items count="5">
        <item x="0"/>
        <item x="1"/>
        <item x="2"/>
        <item x="3"/>
        <item t="default"/>
      </items>
    </pivotField>
    <pivotField numFmtId="14" showAll="0"/>
    <pivotField axis="axisRow" showAll="0">
      <items count="4">
        <item x="1"/>
        <item x="0"/>
        <item x="2"/>
        <item t="default"/>
      </items>
    </pivotField>
    <pivotField dataField="1" showAll="0"/>
    <pivotField numFmtId="4" showAll="0"/>
    <pivotField numFmtId="4" showAll="0"/>
    <pivotField showAll="0"/>
    <pivotField showAll="0"/>
  </pivotFields>
  <rowFields count="1">
    <field x="3"/>
  </rowFields>
  <rowItems count="4">
    <i>
      <x/>
    </i>
    <i>
      <x v="1"/>
    </i>
    <i>
      <x v="2"/>
    </i>
    <i t="grand">
      <x/>
    </i>
  </rowItems>
  <colItems count="1">
    <i/>
  </colItems>
  <pageFields count="2">
    <pageField fld="0" item="2" hier="-1"/>
    <pageField fld="1" item="0" hier="-1"/>
  </pageFields>
  <dataFields count="1">
    <dataField name="Average of Quantity" fld="4" subtotal="average" baseField="3"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DF9B75-1B47-4AF9-B51F-D097F606D72B}" name="Table1" displayName="Table1" ref="A3:I20" totalsRowShown="0">
  <tableColumns count="9">
    <tableColumn id="1" xr3:uid="{776C972A-8912-4984-AE6E-12FC7B3100F2}" name="ID #"/>
    <tableColumn id="2" xr3:uid="{F1FBD256-9B04-4CF8-90F0-1A6C3EFCEAE7}" name="Manufacturer"/>
    <tableColumn id="3" xr3:uid="{0BF137CA-8363-4BA7-B3FA-CC165CD595D8}" name="Part Number"/>
    <tableColumn id="4" xr3:uid="{48A721B2-897C-4B4C-BFD0-F6631FB7A4DD}" name="Description"/>
    <tableColumn id="5" xr3:uid="{FF4AF809-D4F1-485C-88E0-6D8BF0AE6B5E}" name="TrackR Version"/>
    <tableColumn id="6" xr3:uid="{C29262A3-FCE4-4314-B80A-790AF6DDE2EC}" name="Shelf">
      <calculatedColumnFormula>VLOOKUP(Table1[[#This Row],[Part Number]],'Shelving Inventory list'!$A$2:$C$72,2,FALSE)</calculatedColumnFormula>
    </tableColumn>
    <tableColumn id="7" xr3:uid="{13309122-2F68-46CD-AC9C-DCCF9209B2DC}" name="Bay">
      <calculatedColumnFormula>VLOOKUP(Table1[[#This Row],[Part Number]],'Shelving Inventory list'!$A$2:$C$72,3,FALSE)</calculatedColumnFormula>
    </tableColumn>
    <tableColumn id="8" xr3:uid="{02C71D94-B4AD-4AB9-A8B6-8E692B81B5A7}" name="Min" dataDxfId="279">
      <calculatedColumnFormula>MIN(VLOOKUP(C4,POs!$B$2:$E$46,4,FALSE))</calculatedColumnFormula>
    </tableColumn>
    <tableColumn id="9" xr3:uid="{4605B45A-F309-4EB9-9624-4155BF58BEE8}" name="Max" dataDxfId="278">
      <calculatedColumnFormula>(Table1[[#This Row],[Min]]+0.05*Table1[[#This Row],[Min]])</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5AC4B5-A50D-4CDB-8DC5-3967EF819DF1}" name="Table3" displayName="Table3" ref="K3:P17" totalsRowCount="1">
  <tableColumns count="6">
    <tableColumn id="1" xr3:uid="{AA18D16D-3F8B-413C-8F42-FD59A5D1D0CA}" name="ID #" totalsRowLabel="Total" dataDxfId="277" totalsRowDxfId="276"/>
    <tableColumn id="2" xr3:uid="{D00E70E5-C4C1-458F-87F0-BFB86B7CA571}" name="Part Number" dataDxfId="275"/>
    <tableColumn id="3" xr3:uid="{8A215B51-4585-4EF5-8D3D-27DB99B7E552}" name="Description" dataDxfId="274" totalsRowDxfId="273"/>
    <tableColumn id="4" xr3:uid="{C191E79F-E8CB-4CCC-BD97-EB330265E25D}" name="TrackR Version"/>
    <tableColumn id="5" xr3:uid="{5405384F-5EEB-450A-A8BE-3B523B08DBED}" name="Min" dataDxfId="272" dataCellStyle="Currency">
      <calculatedColumnFormula>MIN(VLOOKUP(M4,POs!$B$2:$E$46,4,FALSE))</calculatedColumnFormula>
    </tableColumn>
    <tableColumn id="6" xr3:uid="{DA2222B0-C365-4FBD-85F7-D8A65E4DA20E}" name="Max" totalsRowFunction="sum" dataDxfId="271" totalsRowDxfId="270" dataCellStyle="Currency" totalsRowCellStyle="Currency">
      <calculatedColumnFormula>(Table3[[#This Row],[Min]]+0.05*Table3[[#This Row],[Min]])</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0B8D56-9224-49A1-A8E2-03936612C759}" name="Table4" displayName="Table4" ref="K23:P37" totalsRowCount="1" headerRowDxfId="269" headerRowBorderDxfId="268" tableBorderDxfId="267">
  <tableColumns count="6">
    <tableColumn id="1" xr3:uid="{26FAEB18-95EF-4439-920F-B4ED5602A2EC}" name="ID #" totalsRowLabel="Total" dataDxfId="266" totalsRowDxfId="265"/>
    <tableColumn id="2" xr3:uid="{78775611-A866-4EA0-AAF9-7DF7E2301604}" name="Part Number" dataDxfId="264" totalsRowDxfId="263"/>
    <tableColumn id="3" xr3:uid="{6D1A5072-667B-4261-9B19-5D50E2B07AB5}" name="Description" dataDxfId="262" totalsRowDxfId="261"/>
    <tableColumn id="4" xr3:uid="{2D4505EC-3B56-4B3E-A5F3-EBEC6FDF88F3}" name="TrackR Version"/>
    <tableColumn id="5" xr3:uid="{1B601312-E187-484F-9FF3-E00CEEF96206}" name="Min" dataDxfId="260" dataCellStyle="Currency">
      <calculatedColumnFormula>MIN(VLOOKUP(M24,POs!$B$1:$E$46,4,FALSE))</calculatedColumnFormula>
    </tableColumn>
    <tableColumn id="6" xr3:uid="{571439B2-3C72-481D-B738-447E56AFBA6E}" name="Max" totalsRowFunction="sum" dataDxfId="259" totalsRowDxfId="258" dataCellStyle="Currency" totalsRowCellStyle="Currency">
      <calculatedColumnFormula>(Table4[[#This Row],[Min]]+0.05*Table4[[#This Row],[Min]])</calculatedColumnFormula>
    </tableColum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2EF151-08A9-49FF-860A-F819BBDB2CDB}" name="Table5" displayName="Table5" ref="K41:P55" totalsRowCount="1" headerRowDxfId="257" headerRowBorderDxfId="256" tableBorderDxfId="255">
  <tableColumns count="6">
    <tableColumn id="1" xr3:uid="{24E81932-47D0-4A52-A42B-8435D5C085BC}" name="ID #" totalsRowLabel="Total" dataDxfId="254" totalsRowDxfId="253"/>
    <tableColumn id="2" xr3:uid="{92EF4DFD-B6AC-4A53-BF67-E7106F312331}" name="Part Number" dataDxfId="252" totalsRowDxfId="251"/>
    <tableColumn id="3" xr3:uid="{06C4702A-C9AC-4707-8E5F-44F567C2DAFE}" name="Description" dataDxfId="250" totalsRowDxfId="249"/>
    <tableColumn id="4" xr3:uid="{59035071-5DF6-4BC9-BE86-045215E4312B}" name="TrackR Version"/>
    <tableColumn id="5" xr3:uid="{33375D2E-651B-4971-80F9-0E5A23CC7745}" name="Min" dataDxfId="248" dataCellStyle="Currency">
      <calculatedColumnFormula>MIN(VLOOKUP(M42,POs!$B$2:$E$46,4,FALSE))</calculatedColumnFormula>
    </tableColumn>
    <tableColumn id="6" xr3:uid="{A363C32E-F6BD-4AB9-8411-ADB38FB43E57}" name="Max" totalsRowFunction="sum" dataDxfId="247" totalsRowDxfId="246" dataCellStyle="Currency" totalsRowCellStyle="Currency">
      <calculatedColumnFormula>(Table5[[#This Row],[Min]]+0.05*Table5[[#This Row],[Min]])</calculatedColumnFormula>
    </tableColumn>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7B4688-5E9F-4080-B013-1505282D659C}" name="Table6" displayName="Table6" ref="B30:L53" totalsRowShown="0">
  <tableColumns count="11">
    <tableColumn id="1" xr3:uid="{4CF69C29-248E-441E-BFC6-F26315E75310}" name="Pick Seq"/>
    <tableColumn id="2" xr3:uid="{67C31306-684A-4AC7-9F7B-F31017F966E6}" name="ID"/>
    <tableColumn id="3" xr3:uid="{259B38E5-E318-4E25-BF6E-7E076AD19971}" name="Part #"/>
    <tableColumn id="4" xr3:uid="{17E4CE75-0254-449D-931C-83AEB65F33E6}" name="Shelf"/>
    <tableColumn id="5" xr3:uid="{380C53CF-E415-48E2-95F6-FC3AD29CE287}" name="Bay"/>
    <tableColumn id="6" xr3:uid="{87018BCB-5616-4216-A86C-5BDF8D63F0D6}" name="(Meters)"/>
    <tableColumn id="7" xr3:uid="{FEDFD2CC-0560-4C94-BBE6-DFCE42D42B97}" name="Slow Walk"/>
    <tableColumn id="8" xr3:uid="{3AEBE523-BD62-476C-8607-1D53D342B9ED}" name="Fast Walk"/>
    <tableColumn id="9" xr3:uid="{E48242FA-15A7-458D-A3F4-40A560135F1A}" name="Pick from Shelf"/>
    <tableColumn id="10" xr3:uid="{4ADDA08B-1EE2-4D92-9E4D-4494F74F92F9}" name="Maximum" dataDxfId="245">
      <calculatedColumnFormula>Table6[[#This Row],[Slow Walk]]+Table6[[#This Row],[Pick from Shelf]]</calculatedColumnFormula>
    </tableColumn>
    <tableColumn id="11" xr3:uid="{D56ED4EE-4ADD-47C7-8D27-E23436F99E62}" name="Minimum" dataDxfId="244">
      <calculatedColumnFormula>Table6[[#This Row],[Fast Walk]]+Table6[[#This Row],[Pick from Shelf]]</calculatedColumnFormula>
    </tableColumn>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F64A4E4-B2B2-4718-AC03-1585DED32749}" name="Table616" displayName="Table616" ref="B30:L53" totalsRowShown="0">
  <tableColumns count="11">
    <tableColumn id="1" xr3:uid="{4882BF44-8A7E-4D0F-A793-C226D4649646}" name="Pick Seq"/>
    <tableColumn id="2" xr3:uid="{644EFE55-8171-405D-8AE3-FBC668AA49E0}" name="ID"/>
    <tableColumn id="3" xr3:uid="{1318760E-B240-45D9-A6C1-39BBECD9AE02}" name="Part #"/>
    <tableColumn id="4" xr3:uid="{4469DCB9-C7CF-4EFA-A634-5CB3B4F46620}" name="Shelf"/>
    <tableColumn id="5" xr3:uid="{EE5F35CC-EC97-4C06-955B-18C90DD37F06}" name="Bay"/>
    <tableColumn id="6" xr3:uid="{E3D5F736-FDE4-4F45-838F-E48C178C6045}" name="(Meters)"/>
    <tableColumn id="7" xr3:uid="{8AE05123-8D44-41D0-B4A3-BD1501CAD42A}" name="Slow Walk" dataDxfId="243">
      <calculatedColumnFormula>G31/1.1</calculatedColumnFormula>
    </tableColumn>
    <tableColumn id="8" xr3:uid="{4D5B39CC-5232-456D-8BD3-147231EE11D9}" name="Fast Walk" dataDxfId="242">
      <calculatedColumnFormula>Table616[[#This Row],[(Meters)]]/1.8</calculatedColumnFormula>
    </tableColumn>
    <tableColumn id="9" xr3:uid="{AEEB369A-A63F-4BEC-8C84-5F470446F932}" name="Pick from Shelf"/>
    <tableColumn id="10" xr3:uid="{4310603A-8401-4513-9E0A-F124CAE4E54E}" name="Maximum" dataDxfId="241">
      <calculatedColumnFormula>Table616[[#This Row],[Slow Walk]]+Table616[[#This Row],[Pick from Shelf]]</calculatedColumnFormula>
    </tableColumn>
    <tableColumn id="11" xr3:uid="{B1ADDD96-E6B0-4750-96D0-F9208EDFCA93}" name="Minimum" dataDxfId="240">
      <calculatedColumnFormula>Table616[[#This Row],[Fast Walk]]+Table616[[#This Row],[Pick from Shelf]]</calculatedColumnFormula>
    </tableColumn>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AF0A7E-8AFE-453D-80B1-CD304419C350}" name="Table2" displayName="Table2" ref="B75:O83" totalsRowShown="0" headerRowDxfId="239" dataDxfId="238">
  <autoFilter ref="B75:O83" xr:uid="{85AF0A7E-8AFE-453D-80B1-CD304419C350}"/>
  <tableColumns count="14">
    <tableColumn id="1" xr3:uid="{F3D7C9FC-666A-49E8-B97C-74DCB3672424}" name="Step #"/>
    <tableColumn id="2" xr3:uid="{4A5CB0B3-AC6D-44E0-81A6-3764A359A2D5}" name="Task"/>
    <tableColumn id="3" xr3:uid="{ED6919B6-3AF3-40F1-AE86-F5978FA627FF}" name="Distance (m)" dataDxfId="237"/>
    <tableColumn id="4" xr3:uid="{E6D0A556-3F0A-40C3-8B3A-F29342A358ED}" name="Duration(sec)" dataDxfId="236"/>
    <tableColumn id="5" xr3:uid="{10E66EBF-A62B-45AB-A047-2B854616D0FC}" name="Total Time" dataDxfId="235">
      <calculatedColumnFormula>F75+E76</calculatedColumnFormula>
    </tableColumn>
    <tableColumn id="6" xr3:uid="{6F264905-F209-45EB-995D-034D768D37BA}" name="Labour Task Cost (min)" dataDxfId="234">
      <calculatedColumnFormula>E76*$E$4</calculatedColumnFormula>
    </tableColumn>
    <tableColumn id="7" xr3:uid="{22897A75-4FFF-4BF1-900D-CB7D87C248A7}" name="Labour Task Cost (Max)" dataDxfId="233">
      <calculatedColumnFormula>E76*$E$5</calculatedColumnFormula>
    </tableColumn>
    <tableColumn id="8" xr3:uid="{E3D84122-D6BF-45D5-B0F6-22C0B41E3A87}" name="Labour Cost Total to Task(min)" dataDxfId="232">
      <calculatedColumnFormula>I75+G76</calculatedColumnFormula>
    </tableColumn>
    <tableColumn id="9" xr3:uid="{CA35344C-8256-4C81-AAB4-9B7D54AEEE48}" name="Labour Cost Total to Task (Max)" dataDxfId="231">
      <calculatedColumnFormula>J75+H76</calculatedColumnFormula>
    </tableColumn>
    <tableColumn id="10" xr3:uid="{5AF57A21-C7D7-41C2-BFF6-1AA7CB9AB9F6}" name="Componenent ID#" dataDxfId="230"/>
    <tableColumn id="11" xr3:uid="{31D2E7E2-9714-4144-9DA5-5B96972199D0}" name="Component Cost (Min)" dataDxfId="229"/>
    <tableColumn id="12" xr3:uid="{D993EFFD-357C-4B92-B799-2CCBC50FCB23}" name="Component Cost (Max)" dataDxfId="228"/>
    <tableColumn id="13" xr3:uid="{A886AC73-0E9A-4D19-B848-81BA3C71A0C5}" name="All Total Cost to Task(Min)" dataDxfId="227">
      <calculatedColumnFormula>N75+L76+G76</calculatedColumnFormula>
    </tableColumn>
    <tableColumn id="14" xr3:uid="{051112C6-C52B-434E-8065-3C1E2D07C717}" name="All Total Cost to Task (Max)" dataDxfId="226">
      <calculatedColumnFormula>O75+M76+H76</calculatedColumnFormula>
    </tableColumn>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8B6723B-E2E0-4947-AC99-5A9ACA928F6C}" name="Table7" displayName="Table7" ref="B86:O94" totalsRowShown="0" headerRowDxfId="225" dataDxfId="224">
  <autoFilter ref="B86:O94" xr:uid="{18B6723B-E2E0-4947-AC99-5A9ACA928F6C}"/>
  <tableColumns count="14">
    <tableColumn id="1" xr3:uid="{B91E9E28-84A0-4C4F-8CA1-97C725469927}" name="Step #" dataDxfId="223"/>
    <tableColumn id="2" xr3:uid="{83528BDB-F3D1-4EA9-BE73-C1C86978DF86}" name="Task" dataDxfId="222"/>
    <tableColumn id="3" xr3:uid="{9793D724-8818-43CF-BF3E-382F70EB223B}" name="Distance (m)" dataDxfId="221"/>
    <tableColumn id="4" xr3:uid="{0F8850FA-7132-4D6C-947A-C1CC239E0096}" name="Duration(sec)" dataDxfId="220"/>
    <tableColumn id="5" xr3:uid="{6E7734EC-7297-4580-853A-655EDA097F83}" name="Total Time" dataDxfId="219">
      <calculatedColumnFormula>F86+E87</calculatedColumnFormula>
    </tableColumn>
    <tableColumn id="6" xr3:uid="{A5173D5B-4870-4F5C-B36E-D48FF8974B4F}" name="Labour Task Cost (min)" dataDxfId="218">
      <calculatedColumnFormula>E87*$E$4</calculatedColumnFormula>
    </tableColumn>
    <tableColumn id="7" xr3:uid="{A4EAA369-33BA-4FCB-A831-857693BF5E19}" name="Labour Task Cost (Max)" dataDxfId="217">
      <calculatedColumnFormula>E87*$E$5</calculatedColumnFormula>
    </tableColumn>
    <tableColumn id="8" xr3:uid="{B9CCE907-4AB5-44AB-9437-263EFD1A38B9}" name="Labour Cost Total to Task(min)" dataDxfId="216">
      <calculatedColumnFormula>I86+G87</calculatedColumnFormula>
    </tableColumn>
    <tableColumn id="9" xr3:uid="{E9D693CF-BD79-4322-81FC-8F39D88BB085}" name="Labour Cost Total to Task (Max)" dataDxfId="215">
      <calculatedColumnFormula>J86+H87</calculatedColumnFormula>
    </tableColumn>
    <tableColumn id="10" xr3:uid="{4C39143C-6395-4803-AD5D-C78294586D4F}" name="Componenent ID#" dataDxfId="214"/>
    <tableColumn id="11" xr3:uid="{560D4C07-BD34-4BD9-9BE8-6B3DAE298E51}" name="Component Cost (Min)" dataDxfId="213"/>
    <tableColumn id="12" xr3:uid="{24104E68-6DCD-451A-97DC-69028602DBE9}" name="Component Cost (Max)" dataDxfId="212"/>
    <tableColumn id="13" xr3:uid="{17FA2E31-32E3-4423-994F-94ADA580A8E6}" name="All Total Cost to Task(Min)" dataDxfId="211">
      <calculatedColumnFormula>N86+L87+G87</calculatedColumnFormula>
    </tableColumn>
    <tableColumn id="14" xr3:uid="{335A0389-49E7-4FA0-9D4F-CBF660A20398}" name="All Total Cost to Task (Max)" dataDxfId="210">
      <calculatedColumnFormula>O86+M87+H87</calculatedColumnFormula>
    </tableColumn>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EDE3C2B-2339-4D72-94A1-C92DB1C2733D}" name="Table8" displayName="Table8" ref="B99:O102" totalsRowShown="0" headerRowDxfId="209" dataDxfId="208">
  <autoFilter ref="B99:O102" xr:uid="{BEDE3C2B-2339-4D72-94A1-C92DB1C2733D}"/>
  <tableColumns count="14">
    <tableColumn id="1" xr3:uid="{7A64E416-AE72-4A2F-A7B4-58B8FFE446C4}" name="Step #" dataDxfId="207"/>
    <tableColumn id="2" xr3:uid="{1D3BF14D-A618-4B9C-BF37-1577CEE4CBED}" name="Task" dataDxfId="206"/>
    <tableColumn id="3" xr3:uid="{EF7B39EA-7D73-4DBB-8AA3-7266D52F2F1B}" name="Distance (m)" dataDxfId="205"/>
    <tableColumn id="4" xr3:uid="{1DED312F-356E-4CE1-90F2-608FA6418A1C}" name="Duration(sec)" dataDxfId="204"/>
    <tableColumn id="5" xr3:uid="{F8B9B4C8-099C-409C-ABB2-492BD4897BC9}" name="Total Time" dataDxfId="203">
      <calculatedColumnFormula>F99+E100</calculatedColumnFormula>
    </tableColumn>
    <tableColumn id="6" xr3:uid="{D3C2131E-473D-443F-8A9A-911759341126}" name="Labour Task Cost (min)" dataDxfId="202">
      <calculatedColumnFormula>E100*$E$4</calculatedColumnFormula>
    </tableColumn>
    <tableColumn id="7" xr3:uid="{2C544DE6-D4D1-479E-84DB-5F27F75C5A31}" name="Labour Task Cost (Max)" dataDxfId="201">
      <calculatedColumnFormula>E100*$E$5</calculatedColumnFormula>
    </tableColumn>
    <tableColumn id="8" xr3:uid="{47842637-5ED6-41E3-9A74-1F3C88D19285}" name="Labour Cost Total to Task(min)" dataDxfId="200">
      <calculatedColumnFormula>I99+G100</calculatedColumnFormula>
    </tableColumn>
    <tableColumn id="9" xr3:uid="{226AB975-9FFD-44C5-92F4-978505D555FB}" name="Labour Cost Total to Task (Max)" dataDxfId="199">
      <calculatedColumnFormula>J99+H100</calculatedColumnFormula>
    </tableColumn>
    <tableColumn id="10" xr3:uid="{83805862-4FA0-4D14-94E6-1B1A78455ABD}" name="Componenent ID#" dataDxfId="198"/>
    <tableColumn id="11" xr3:uid="{2B041B30-213D-4C08-8677-A8E7ED974066}" name="Component Cost (Min)" dataDxfId="197">
      <calculatedColumnFormula>VLOOKUP($K100,Components!$A$3:$I$23,8,FALSE)</calculatedColumnFormula>
    </tableColumn>
    <tableColumn id="12" xr3:uid="{1E8238CF-2A93-47E1-A4E5-24B2D0F7151A}" name="Component Cost (Max)" dataDxfId="196">
      <calculatedColumnFormula>VLOOKUP($K100,Components!$A$3:$I$23,9,FALSE)</calculatedColumnFormula>
    </tableColumn>
    <tableColumn id="13" xr3:uid="{CF8974EC-624D-4E95-B90B-08EA8AA5CDE1}" name="All Total Cost to Task(Min)" dataDxfId="195">
      <calculatedColumnFormula>N99+L100+G100</calculatedColumnFormula>
    </tableColumn>
    <tableColumn id="14" xr3:uid="{A3935D70-EC67-4638-9A4B-4C48CB02A052}" name="All Total Cost to Task (Max)" dataDxfId="194">
      <calculatedColumnFormula>O99+M100+H100</calculatedColumnFormula>
    </tableColumn>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1641DB-A7D0-42DC-B9E3-F274FE648A4E}" name="Table9" displayName="Table9" ref="B106:O115" totalsRowShown="0" headerRowDxfId="193" dataDxfId="192">
  <autoFilter ref="B106:O115" xr:uid="{DC1641DB-A7D0-42DC-B9E3-F274FE648A4E}"/>
  <tableColumns count="14">
    <tableColumn id="1" xr3:uid="{7E45DC17-FD7D-4678-A670-82B47793AD4D}" name="Step #" dataDxfId="191"/>
    <tableColumn id="2" xr3:uid="{6244F910-FE7C-46DC-BA4C-5018D320D92D}" name="Task" dataDxfId="190"/>
    <tableColumn id="3" xr3:uid="{DF70502F-36A3-4F3C-AAF8-9DBA86DA5E40}" name="Distance (m)" dataDxfId="189"/>
    <tableColumn id="4" xr3:uid="{5C68FD49-3176-40BC-9301-B9A73AD4DE6E}" name="Duration(sec)" dataDxfId="188"/>
    <tableColumn id="5" xr3:uid="{CAF01BD4-FD02-4C21-A09E-0065D03821B4}" name="Total Time" dataDxfId="187">
      <calculatedColumnFormula>F106+E107</calculatedColumnFormula>
    </tableColumn>
    <tableColumn id="6" xr3:uid="{2DDB2ABB-19BC-40D6-A792-53F213AE1CF6}" name="Labour Task Cost (min)" dataDxfId="186">
      <calculatedColumnFormula>E107*$E$4</calculatedColumnFormula>
    </tableColumn>
    <tableColumn id="7" xr3:uid="{5E5420E7-D834-4C54-BEA0-3493A2BF3010}" name="Labour Task Cost (Max)" dataDxfId="185">
      <calculatedColumnFormula>E107*$E$5</calculatedColumnFormula>
    </tableColumn>
    <tableColumn id="8" xr3:uid="{07A3348C-4462-42AF-A266-696DD94596A9}" name="Labour Cost Total to Task(min)" dataDxfId="184">
      <calculatedColumnFormula>I106+G107</calculatedColumnFormula>
    </tableColumn>
    <tableColumn id="9" xr3:uid="{244180FF-9E0D-405A-9FA8-D75009CBD5B0}" name="Labour Cost Total to Task (Max)" dataDxfId="183">
      <calculatedColumnFormula>J106+H107</calculatedColumnFormula>
    </tableColumn>
    <tableColumn id="10" xr3:uid="{1DC9D489-D9D5-403D-B8EC-B5187D40F199}" name="Componenent ID#" dataDxfId="182"/>
    <tableColumn id="11" xr3:uid="{9772512D-2A95-402D-88A4-A5D372B5F93C}" name="Component Cost (Min)" dataDxfId="181"/>
    <tableColumn id="12" xr3:uid="{E495BBFF-F63D-461B-B321-386B0CF49B98}" name="Component Cost (Max)" dataDxfId="180"/>
    <tableColumn id="13" xr3:uid="{E1929671-D418-4DA1-9D81-430FC817A423}" name="All Total Cost to Task(Min)" dataDxfId="179">
      <calculatedColumnFormula>N106+L107+G107</calculatedColumnFormula>
    </tableColumn>
    <tableColumn id="14" xr3:uid="{1D748FC5-3DC1-4267-9D20-96B9795671CE}" name="All Total Cost to Task (Max)" dataDxfId="178">
      <calculatedColumnFormula>O106+M107+H107</calculatedColumnFormula>
    </tableColumn>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75EB25-DF94-4246-96D2-E702AFBBF9C9}" name="Table10" displayName="Table10" ref="B119:O128" totalsRowShown="0" headerRowDxfId="177" dataDxfId="176">
  <autoFilter ref="B119:O128" xr:uid="{6F75EB25-DF94-4246-96D2-E702AFBBF9C9}"/>
  <tableColumns count="14">
    <tableColumn id="1" xr3:uid="{38BFE186-62C1-4664-85E9-271A1C728A77}" name="Step #" dataDxfId="175"/>
    <tableColumn id="2" xr3:uid="{605A62C1-72F3-4CBE-BF09-AA8325E9E666}" name="Task" dataDxfId="174"/>
    <tableColumn id="3" xr3:uid="{913A688D-C272-4641-A4A2-BE478507248C}" name="Distance (m)" dataDxfId="173"/>
    <tableColumn id="4" xr3:uid="{631783DE-6F0E-46F5-9E2A-53ABAD593943}" name="Duration(sec)" dataDxfId="172"/>
    <tableColumn id="5" xr3:uid="{D25D5299-EB26-4F96-A5D9-9222126C3215}" name="Total Time" dataDxfId="171">
      <calculatedColumnFormula>F119+E120</calculatedColumnFormula>
    </tableColumn>
    <tableColumn id="6" xr3:uid="{170FCFE5-4420-45DC-B5DC-AFB42B3BC1FA}" name="Labour Task Cost (min)" dataDxfId="170">
      <calculatedColumnFormula>E120*$E$4</calculatedColumnFormula>
    </tableColumn>
    <tableColumn id="7" xr3:uid="{59735AA1-A013-4EAA-8DBF-55AF918DBECA}" name="Labour Task Cost (Max)" dataDxfId="169">
      <calculatedColumnFormula>E120*$E$5</calculatedColumnFormula>
    </tableColumn>
    <tableColumn id="8" xr3:uid="{AFF32532-2375-46A6-8C51-FBEF9E389EBC}" name="Labour Cost Total to Task(min)" dataDxfId="168">
      <calculatedColumnFormula>I119+G120</calculatedColumnFormula>
    </tableColumn>
    <tableColumn id="9" xr3:uid="{D7EAE06F-8F5C-4A1A-B4D7-08FFD250A823}" name="Labour Cost Total to Task (Max)" dataDxfId="167">
      <calculatedColumnFormula>J119+H120</calculatedColumnFormula>
    </tableColumn>
    <tableColumn id="10" xr3:uid="{AD9F9FFD-B845-4236-9D02-CFA51DEB7C26}" name="Componenent ID#" dataDxfId="166"/>
    <tableColumn id="11" xr3:uid="{9AAB7F61-7C72-4194-819A-7034117B8BD4}" name="Component Cost (Min)" dataDxfId="165"/>
    <tableColumn id="12" xr3:uid="{C483CF77-BF45-469C-943A-ED57BE8324BE}" name="Component Cost (Max)" dataDxfId="164"/>
    <tableColumn id="13" xr3:uid="{5E91C4EB-0960-48C5-B509-F765D9349A9D}" name="All Total Cost to Task(Min)" dataDxfId="163">
      <calculatedColumnFormula>N119+L120+G120</calculatedColumnFormula>
    </tableColumn>
    <tableColumn id="14" xr3:uid="{DE597961-76CB-4E33-8088-DCA08EAE74ED}" name="All Total Cost to Task (Max)" dataDxfId="162">
      <calculatedColumnFormula>O119+M120+H120</calculatedColumnFormula>
    </tableColumn>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29F39C3-B3AC-4B09-B64A-3E595C73038E}" name="Table11" displayName="Table11" ref="B132:O141" totalsRowShown="0" headerRowDxfId="161" dataDxfId="160">
  <autoFilter ref="B132:O141" xr:uid="{929F39C3-B3AC-4B09-B64A-3E595C73038E}"/>
  <tableColumns count="14">
    <tableColumn id="1" xr3:uid="{FCB35A87-06D6-439E-9A9B-F5F5FE57D428}" name="Step #" dataDxfId="159"/>
    <tableColumn id="2" xr3:uid="{7A3D37BA-D183-4B14-8703-B6BC29044EA2}" name="Task" dataDxfId="158"/>
    <tableColumn id="3" xr3:uid="{79EC544D-2F8B-40B2-A620-2F7EDBF7FE5D}" name="Distance (m)" dataDxfId="157"/>
    <tableColumn id="4" xr3:uid="{4E8A1EC8-85D0-4398-A1C0-BDCF598C2E34}" name="Duration(sec)" dataDxfId="156"/>
    <tableColumn id="5" xr3:uid="{55F894E6-58A4-4D5A-AC87-2720F6DEC62A}" name="Total Time" dataDxfId="155">
      <calculatedColumnFormula>F132+E133</calculatedColumnFormula>
    </tableColumn>
    <tableColumn id="6" xr3:uid="{2D1B1524-BC88-4218-B1EC-40537F0DAC26}" name="Labour Task Cost (min)" dataDxfId="154">
      <calculatedColumnFormula>E133*$E$4</calculatedColumnFormula>
    </tableColumn>
    <tableColumn id="7" xr3:uid="{21790CBA-5317-4F91-99A7-289FF319DE09}" name="Labour Task Cost (Max)" dataDxfId="153">
      <calculatedColumnFormula>E133*$E$5</calculatedColumnFormula>
    </tableColumn>
    <tableColumn id="8" xr3:uid="{E4BA1778-B21D-4812-BA07-BF8CD7E0BC22}" name="Labour Cost Total to Task(min)" dataDxfId="152">
      <calculatedColumnFormula>I132+G133</calculatedColumnFormula>
    </tableColumn>
    <tableColumn id="9" xr3:uid="{73EE154A-6888-4227-8D86-E2031B435BC7}" name="Labour Cost Total to Task (Max)" dataDxfId="151">
      <calculatedColumnFormula>J132+H133</calculatedColumnFormula>
    </tableColumn>
    <tableColumn id="10" xr3:uid="{A6F4921A-8F13-4718-ACA0-43183B769D19}" name="Componenent ID#" dataDxfId="150"/>
    <tableColumn id="11" xr3:uid="{7A4719FD-DA36-41FB-86A3-209E936205D0}" name="Component Cost (Min)" dataDxfId="149"/>
    <tableColumn id="12" xr3:uid="{7D3B93CA-138D-424E-8FE4-B0CB998B0641}" name="Component Cost (Max)" dataDxfId="148"/>
    <tableColumn id="13" xr3:uid="{F39C89D0-8AA3-4E3F-BF66-CC08DFEB863B}" name="All Total Cost to Task(Min)" dataDxfId="147">
      <calculatedColumnFormula>N132+L133+G133</calculatedColumnFormula>
    </tableColumn>
    <tableColumn id="14" xr3:uid="{3D98A361-E82E-4924-8F4D-AC21A2622FCA}" name="All Total Cost to Task (Max)" dataDxfId="146">
      <calculatedColumnFormula>O132+M133+H133</calculatedColumnFormula>
    </tableColumn>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EA1C3D0-B29C-45A4-B9D4-20579262309B}" name="Table13" displayName="Table13" ref="B38:AA69" totalsRowShown="0" headerRowDxfId="145">
  <tableColumns count="26">
    <tableColumn id="1" xr3:uid="{B8CBD75C-500E-4CA0-8072-004000203271}" name="Step #"/>
    <tableColumn id="2" xr3:uid="{1746E7CA-2BC1-490F-9D79-AD25B0CCAF29}" name="Task" dataDxfId="144"/>
    <tableColumn id="3" xr3:uid="{A9077C3C-548C-4EF0-9D7E-33998AADBD14}" name="Column1" dataDxfId="143"/>
    <tableColumn id="4" xr3:uid="{55920EA8-2D8F-4BAD-B508-1F3C14573452}" name="Duration(sec)" dataDxfId="142"/>
    <tableColumn id="5" xr3:uid="{6ADCE722-36B7-4786-B0C1-E06FA2BE8366}" name="Total Time" dataDxfId="141">
      <calculatedColumnFormula>F38+E39</calculatedColumnFormula>
    </tableColumn>
    <tableColumn id="6" xr3:uid="{72B34E28-C61C-4759-9C6B-ADF3527B0AC9}" name="Labour Task Cost (min)" dataDxfId="140">
      <calculatedColumnFormula>E39*$E$4</calculatedColumnFormula>
    </tableColumn>
    <tableColumn id="7" xr3:uid="{EB39EF51-090B-413B-A019-18E4856E9C5A}" name="Labour Task Cost (Max)" dataDxfId="139">
      <calculatedColumnFormula>E39*$E$5</calculatedColumnFormula>
    </tableColumn>
    <tableColumn id="8" xr3:uid="{B481EFE5-D8E0-4DBB-B3DB-CE8DF206F86C}" name="Labour Cost Total to Task(min)" dataDxfId="138">
      <calculatedColumnFormula>I38+G39</calculatedColumnFormula>
    </tableColumn>
    <tableColumn id="9" xr3:uid="{3C5CDC86-F9CE-41EC-B8F5-95E831703E2B}" name="Labour Cost Total to Task (Max)" dataDxfId="137">
      <calculatedColumnFormula>J38+H39</calculatedColumnFormula>
    </tableColumn>
    <tableColumn id="10" xr3:uid="{421D02D0-CBAE-4B8D-964F-2F9AF028BEBC}" name="Componenent ID#" dataDxfId="136"/>
    <tableColumn id="11" xr3:uid="{B86839B5-7AD0-4092-8545-0A458EFD05A0}" name="Component Cost (Min)" dataDxfId="135"/>
    <tableColumn id="12" xr3:uid="{73514651-6969-46BA-832D-9F77AD6C3797}" name="Component Cost (Max)" dataDxfId="134"/>
    <tableColumn id="13" xr3:uid="{5B67601B-4C4E-46A1-B9CE-E4D2B792B721}" name="All Total Cost to Task(Min)" dataDxfId="133">
      <calculatedColumnFormula>N38+L39+G39</calculatedColumnFormula>
    </tableColumn>
    <tableColumn id="14" xr3:uid="{593E4237-0CC3-4AC9-AAC8-9623C5412082}" name="All Total Cost to Task (Max)" dataDxfId="132">
      <calculatedColumnFormula>O38+M39+H39</calculatedColumnFormula>
    </tableColumn>
    <tableColumn id="15" xr3:uid="{96FF3686-D829-4375-816B-612C86728BD4}" name="Failure %" dataDxfId="131"/>
    <tableColumn id="16" xr3:uid="{1F360441-B1A6-4B50-A373-8C9EFCCC55D9}" name="Action if Test Failed" dataDxfId="130"/>
    <tableColumn id="17" xr3:uid="{2C4B53BB-EAE4-4B47-B4EC-FA37FFD92B5D}" name="Additional Time (sec)" dataDxfId="129"/>
    <tableColumn id="18" xr3:uid="{97B577F7-B9AA-4AC0-ACE3-C977A1C0D61D}" name="More Labour Cost (Min)" dataDxfId="128"/>
    <tableColumn id="19" xr3:uid="{06BC0083-E549-4F87-8A20-7271CDC3E428}" name="More Labour Cost (Max)" dataDxfId="127"/>
    <tableColumn id="20" xr3:uid="{AD667A56-38A5-450B-886A-725CF0651D54}" name="Extra Component Cost (Min)" dataDxfId="126"/>
    <tableColumn id="21" xr3:uid="{5A390218-C33F-4B31-9C3F-5C70D6359882}" name="Extra Component Cost (Max)" dataDxfId="125"/>
    <tableColumn id="22" xr3:uid="{D7D5E113-2886-4CD2-A648-EB82FE4CE17C}" name="Total Time to Task with 1 fail and Good Repeat" dataDxfId="124">
      <calculatedColumnFormula>W38+F39+R39</calculatedColumnFormula>
    </tableColumn>
    <tableColumn id="23" xr3:uid="{E35E2574-04BA-4C18-8E1B-8FF741DEBFC3}" name="All Total Cost to Task (Min)" dataDxfId="123">
      <calculatedColumnFormula>SUM(X38,G39,L39,S39,U39)</calculatedColumnFormula>
    </tableColumn>
    <tableColumn id="24" xr3:uid="{E24FA70B-18EF-4276-9A4D-190C1CA4C05D}" name="All Total Cost to Task (max)2" dataDxfId="122">
      <calculatedColumnFormula>SUM(Y38,H39,M39,T39,V39)</calculatedColumnFormula>
    </tableColumn>
    <tableColumn id="25" xr3:uid="{A7CE30F7-244E-4DFF-8F74-A2D7DE754B7D}" name="Reliability" dataDxfId="121">
      <calculatedColumnFormula>1-P39/100</calculatedColumnFormula>
    </tableColumn>
    <tableColumn id="26" xr3:uid="{45A0CAB3-1010-4752-9D09-BAED0EC9000A}" name="Reliability to Task" dataDxfId="120"/>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BCAEC8E-1C96-4EB8-937C-685221980ED0}" name="Table217" displayName="Table217" ref="B75:O83" totalsRowShown="0" headerRowDxfId="119" dataDxfId="118">
  <autoFilter ref="B75:O83" xr:uid="{85AF0A7E-8AFE-453D-80B1-CD304419C350}"/>
  <tableColumns count="14">
    <tableColumn id="1" xr3:uid="{C9F17470-A18C-4564-8D0F-3F28AA661617}" name="Step #"/>
    <tableColumn id="2" xr3:uid="{B3596B39-8E86-4EB7-92E0-B205870D5FB7}" name="Task"/>
    <tableColumn id="3" xr3:uid="{8208AC50-7505-49C5-8CD3-714146259320}" name="Distance (m)" dataDxfId="117"/>
    <tableColumn id="4" xr3:uid="{1450454D-79ED-442F-8839-D6E5AADE7979}" name="Duration(sec)" dataDxfId="116"/>
    <tableColumn id="5" xr3:uid="{CE3FBF9B-D757-49C2-ABD5-AB2640E25B28}" name="Total Time" dataDxfId="115">
      <calculatedColumnFormula>F75+E76</calculatedColumnFormula>
    </tableColumn>
    <tableColumn id="6" xr3:uid="{08F563CC-1E67-456A-9B82-8126A58E1F08}" name="Labour Task Cost (min)" dataDxfId="114">
      <calculatedColumnFormula>E76*$E$4</calculatedColumnFormula>
    </tableColumn>
    <tableColumn id="7" xr3:uid="{8F53BF22-80E9-4B2F-BC32-7AB6CDB10CAB}" name="Labour Task Cost (Max)" dataDxfId="113">
      <calculatedColumnFormula>E76*$E$5</calculatedColumnFormula>
    </tableColumn>
    <tableColumn id="8" xr3:uid="{7CE658EB-C42B-4803-8220-D67118345A3E}" name="Labour Cost Total to Task(min)" dataDxfId="112">
      <calculatedColumnFormula>I75+G76</calculatedColumnFormula>
    </tableColumn>
    <tableColumn id="9" xr3:uid="{3F978563-5DDF-4A90-B4DA-27CA2CCFE8CC}" name="Labour Cost Total to Task (Max)" dataDxfId="111">
      <calculatedColumnFormula>J75+H76</calculatedColumnFormula>
    </tableColumn>
    <tableColumn id="10" xr3:uid="{6F6FF7F9-BA0D-4FB4-B98E-575FF2646729}" name="Componenent ID#" dataDxfId="110"/>
    <tableColumn id="11" xr3:uid="{957C4514-88EF-4B01-8987-AFCFE48EA197}" name="Component Cost (Min)" dataDxfId="109"/>
    <tableColumn id="12" xr3:uid="{56C956F0-6B6C-4675-AB8E-6DDB9AC98D2D}" name="Component Cost (Max)" dataDxfId="108"/>
    <tableColumn id="13" xr3:uid="{4965CFDD-8284-4533-B698-4059E2331C01}" name="All Total Cost to Task(Min)" dataDxfId="107">
      <calculatedColumnFormula>N75+L76+G76</calculatedColumnFormula>
    </tableColumn>
    <tableColumn id="14" xr3:uid="{E08AB6A8-6060-4F66-BB38-5A0D76FA4677}" name="All Total Cost to Task (Max)" dataDxfId="106">
      <calculatedColumnFormula>O75+M76+H76</calculatedColumnFormula>
    </tableColumn>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3FD303C-57D2-4EBC-81BA-6D0D8935B303}" name="Table718" displayName="Table718" ref="B86:O94" totalsRowShown="0" headerRowDxfId="105" dataDxfId="104">
  <autoFilter ref="B86:O94" xr:uid="{18B6723B-E2E0-4947-AC99-5A9ACA928F6C}"/>
  <tableColumns count="14">
    <tableColumn id="1" xr3:uid="{3FD0814B-726A-4C1C-B26E-2D3CD63B51E2}" name="Step #" dataDxfId="103"/>
    <tableColumn id="2" xr3:uid="{31D4C866-67F1-4765-94F9-EEB0F6ADC0BF}" name="Task" dataDxfId="102"/>
    <tableColumn id="3" xr3:uid="{0888FF67-8BBD-4BA3-AEA5-7DC6D8B1C241}" name="Distance (m)" dataDxfId="101"/>
    <tableColumn id="4" xr3:uid="{0732F8B3-2883-45B8-B604-E483D74171F7}" name="Duration(sec)" dataDxfId="100"/>
    <tableColumn id="5" xr3:uid="{D81787E1-6294-4964-96BD-121260966B0F}" name="Total Time" dataDxfId="99">
      <calculatedColumnFormula>F86+E87</calculatedColumnFormula>
    </tableColumn>
    <tableColumn id="6" xr3:uid="{F633A0B0-05AA-46CB-A36D-8D50B7D0DA2A}" name="Labour Task Cost (min)" dataDxfId="98">
      <calculatedColumnFormula>E87*$E$4</calculatedColumnFormula>
    </tableColumn>
    <tableColumn id="7" xr3:uid="{008661AF-578E-4325-9C24-86F41A7D45B3}" name="Labour Task Cost (Max)" dataDxfId="97">
      <calculatedColumnFormula>E87*$E$5</calculatedColumnFormula>
    </tableColumn>
    <tableColumn id="8" xr3:uid="{E60B65DE-CEE9-42F1-86E1-77122D6D773B}" name="Labour Cost Total to Task(min)" dataDxfId="96">
      <calculatedColumnFormula>I86+G87</calculatedColumnFormula>
    </tableColumn>
    <tableColumn id="9" xr3:uid="{B1052360-D811-4A21-8AB3-366511D70202}" name="Labour Cost Total to Task (Max)" dataDxfId="95">
      <calculatedColumnFormula>J86+H87</calculatedColumnFormula>
    </tableColumn>
    <tableColumn id="10" xr3:uid="{F746E5C5-7729-4305-82C3-B8966BCC4CEC}" name="Componenent ID#" dataDxfId="94"/>
    <tableColumn id="11" xr3:uid="{9D47A60A-36F4-4269-A3EF-9DD1D04040F0}" name="Component Cost (Min)" dataDxfId="93"/>
    <tableColumn id="12" xr3:uid="{1E1081C3-D78B-49BA-92EB-3F965E8AAEA5}" name="Component Cost (Max)" dataDxfId="92"/>
    <tableColumn id="13" xr3:uid="{DB088101-F650-4029-80C4-AA829214BFFB}" name="All Total Cost to Task(Min)" dataDxfId="91">
      <calculatedColumnFormula>N86+L87+G87</calculatedColumnFormula>
    </tableColumn>
    <tableColumn id="14" xr3:uid="{E7D3565E-C803-43C7-B526-D1F747E786F5}" name="All Total Cost to Task (Max)" dataDxfId="90">
      <calculatedColumnFormula>O86+M87+H87</calculatedColumnFormula>
    </tableColumn>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53C5B56-CE20-4098-8AE0-EF0B92B60D76}" name="Table819" displayName="Table819" ref="B99:O102" totalsRowShown="0" headerRowDxfId="89" dataDxfId="88">
  <autoFilter ref="B99:O102" xr:uid="{BEDE3C2B-2339-4D72-94A1-C92DB1C2733D}"/>
  <tableColumns count="14">
    <tableColumn id="1" xr3:uid="{7CC8CE98-23A9-4176-9B1C-84F5F377C83D}" name="Step #" dataDxfId="87"/>
    <tableColumn id="2" xr3:uid="{6D18C398-BB34-4B87-BDC9-32B192AD7866}" name="Task" dataDxfId="86"/>
    <tableColumn id="3" xr3:uid="{B13D5195-F020-49BB-9FA0-C94621FA20B7}" name="Distance (m)" dataDxfId="85"/>
    <tableColumn id="4" xr3:uid="{A71CF0C3-139D-41FD-A3A2-C72D614C4593}" name="Duration(sec)" dataDxfId="84"/>
    <tableColumn id="5" xr3:uid="{5E011307-9ED7-4200-B20F-127C11A57D6A}" name="Total Time" dataDxfId="83">
      <calculatedColumnFormula>F99+E100</calculatedColumnFormula>
    </tableColumn>
    <tableColumn id="6" xr3:uid="{603B785F-5F22-4646-9564-8E9D91073636}" name="Labour Task Cost (min)" dataDxfId="82">
      <calculatedColumnFormula>E100*$E$4</calculatedColumnFormula>
    </tableColumn>
    <tableColumn id="7" xr3:uid="{E562D054-D3B1-4F1C-A0E1-1A4F1B3B0577}" name="Labour Task Cost (Max)" dataDxfId="81">
      <calculatedColumnFormula>E100*$E$5</calculatedColumnFormula>
    </tableColumn>
    <tableColumn id="8" xr3:uid="{09686F6A-E28D-4EDA-93EC-B4B2A482B662}" name="Labour Cost Total to Task(min)" dataDxfId="80">
      <calculatedColumnFormula>I99+G100</calculatedColumnFormula>
    </tableColumn>
    <tableColumn id="9" xr3:uid="{E09A41BB-BC13-4213-85AC-E0BE4914287E}" name="Labour Cost Total to Task (Max)" dataDxfId="79">
      <calculatedColumnFormula>J99+H100</calculatedColumnFormula>
    </tableColumn>
    <tableColumn id="10" xr3:uid="{D60DAB27-3772-49E2-91B4-2DFD34D6EA07}" name="Componenent ID#" dataDxfId="78"/>
    <tableColumn id="11" xr3:uid="{725FCE51-0AF6-4A2C-AAFC-C066984FD0E4}" name="Component Cost (Min)" dataDxfId="77">
      <calculatedColumnFormula>VLOOKUP($K100,Components!$A$3:$I$23,8,FALSE)</calculatedColumnFormula>
    </tableColumn>
    <tableColumn id="12" xr3:uid="{DEEC2D7E-0EFF-4246-A58A-F986559EF085}" name="Component Cost (Max)" dataDxfId="76">
      <calculatedColumnFormula>VLOOKUP($K100,Components!$A$3:$I$23,9,FALSE)</calculatedColumnFormula>
    </tableColumn>
    <tableColumn id="13" xr3:uid="{494B73DD-0953-4F3E-8D56-1DB88EDC3C52}" name="All Total Cost to Task(Min)" dataDxfId="75">
      <calculatedColumnFormula>N99+L100+G100</calculatedColumnFormula>
    </tableColumn>
    <tableColumn id="14" xr3:uid="{6BD81BDA-8E64-44D2-BDC9-7BD006620CB0}" name="All Total Cost to Task (Max)" dataDxfId="74">
      <calculatedColumnFormula>O99+M100+H100</calculatedColumnFormula>
    </tableColumn>
  </tableColumns>
  <tableStyleInfo name="TableStyleMedium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A09D86-5B74-4420-BBFF-3B323F0E313E}" name="Table920" displayName="Table920" ref="B106:O115" totalsRowShown="0" headerRowDxfId="73" dataDxfId="72">
  <autoFilter ref="B106:O115" xr:uid="{DC1641DB-A7D0-42DC-B9E3-F274FE648A4E}"/>
  <tableColumns count="14">
    <tableColumn id="1" xr3:uid="{BB31C352-830A-4DD7-94AE-2068D02262D5}" name="Step #" dataDxfId="71"/>
    <tableColumn id="2" xr3:uid="{19114360-97D6-4E2F-A602-0E4FD35A9D6C}" name="Task" dataDxfId="70"/>
    <tableColumn id="3" xr3:uid="{B7AFCE80-9307-47A6-805F-ACCFD27768D7}" name="Distance (m)" dataDxfId="69"/>
    <tableColumn id="4" xr3:uid="{34CD8DEA-5811-4F1C-B403-D6F821158365}" name="Duration(sec)" dataDxfId="68"/>
    <tableColumn id="5" xr3:uid="{7FBABC87-CD77-4377-8DDE-E8936F2D7425}" name="Total Time" dataDxfId="67">
      <calculatedColumnFormula>F106+E107</calculatedColumnFormula>
    </tableColumn>
    <tableColumn id="6" xr3:uid="{EF485A37-C6F9-4892-B693-A7193FD8F6F4}" name="Labour Task Cost (min)" dataDxfId="66">
      <calculatedColumnFormula>E107*$E$4</calculatedColumnFormula>
    </tableColumn>
    <tableColumn id="7" xr3:uid="{ED99CD62-CE73-4EAA-85D0-4D8681BBE39E}" name="Labour Task Cost (Max)" dataDxfId="65">
      <calculatedColumnFormula>E107*$E$5</calculatedColumnFormula>
    </tableColumn>
    <tableColumn id="8" xr3:uid="{AB4AFBFF-A004-41E4-A8ED-585C43E697D5}" name="Labour Cost Total to Task(min)" dataDxfId="64">
      <calculatedColumnFormula>I106+G107</calculatedColumnFormula>
    </tableColumn>
    <tableColumn id="9" xr3:uid="{EEC2ED3B-ECE2-4620-881D-2479682068CF}" name="Labour Cost Total to Task (Max)" dataDxfId="63">
      <calculatedColumnFormula>J106+H107</calculatedColumnFormula>
    </tableColumn>
    <tableColumn id="10" xr3:uid="{320A9646-ECEA-47AF-85AA-40241EE65130}" name="Componenent ID#" dataDxfId="62"/>
    <tableColumn id="11" xr3:uid="{D3E615B3-B699-4AB2-BD9F-CDF65C5D4CE4}" name="Component Cost (Min)" dataDxfId="61"/>
    <tableColumn id="12" xr3:uid="{C283B078-EAC7-49CD-91F8-1287D588D542}" name="Component Cost (Max)" dataDxfId="60"/>
    <tableColumn id="13" xr3:uid="{93A4407E-8E04-434D-84E7-254B754FE88C}" name="All Total Cost to Task(Min)" dataDxfId="59">
      <calculatedColumnFormula>N106+L107+G107</calculatedColumnFormula>
    </tableColumn>
    <tableColumn id="14" xr3:uid="{ECF31214-DE6C-4301-9EEE-6AAE98AE265A}" name="All Total Cost to Task (Max)" dataDxfId="58">
      <calculatedColumnFormula>O106+M107+H107</calculatedColumnFormula>
    </tableColumn>
  </tableColumns>
  <tableStyleInfo name="TableStyleMedium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1485-21EA-4763-983E-8D7EA62748B0}" name="Table1021" displayName="Table1021" ref="B119:O128" totalsRowShown="0" headerRowDxfId="57" dataDxfId="56">
  <autoFilter ref="B119:O128" xr:uid="{6F75EB25-DF94-4246-96D2-E702AFBBF9C9}"/>
  <tableColumns count="14">
    <tableColumn id="1" xr3:uid="{D85588CF-E0A9-4C21-821E-8ADCE9934263}" name="Step #" dataDxfId="55"/>
    <tableColumn id="2" xr3:uid="{3092B09F-EF55-46CF-B9A4-D8543D979FF0}" name="Task" dataDxfId="54"/>
    <tableColumn id="3" xr3:uid="{5AD9A4C1-F546-4D52-A816-1F438199685B}" name="Distance (m)" dataDxfId="53"/>
    <tableColumn id="4" xr3:uid="{EABB8335-BE4C-44F3-90C8-7D79C399FBAC}" name="Duration(sec)" dataDxfId="52"/>
    <tableColumn id="5" xr3:uid="{F7E4F69E-3FF6-4690-8DCF-FC8BF11D6AA5}" name="Total Time" dataDxfId="51">
      <calculatedColumnFormula>F119+E120</calculatedColumnFormula>
    </tableColumn>
    <tableColumn id="6" xr3:uid="{50377B00-2B88-4A27-ABC0-FD0B5ABCA593}" name="Labour Task Cost (min)" dataDxfId="50">
      <calculatedColumnFormula>E120*$E$4</calculatedColumnFormula>
    </tableColumn>
    <tableColumn id="7" xr3:uid="{4764FE95-AD05-4CD2-8D03-B447208FE950}" name="Labour Task Cost (Max)" dataDxfId="49">
      <calculatedColumnFormula>E120*$E$5</calculatedColumnFormula>
    </tableColumn>
    <tableColumn id="8" xr3:uid="{E2C8F5AB-C0BB-4097-9B72-A07287828805}" name="Labour Cost Total to Task(min)" dataDxfId="48">
      <calculatedColumnFormula>I119+G120</calculatedColumnFormula>
    </tableColumn>
    <tableColumn id="9" xr3:uid="{1A175A7E-1B21-4B30-BDB3-8339CB22155B}" name="Labour Cost Total to Task (Max)" dataDxfId="47">
      <calculatedColumnFormula>J119+H120</calculatedColumnFormula>
    </tableColumn>
    <tableColumn id="10" xr3:uid="{77B5875B-3CA2-48BD-A406-4540783751A5}" name="Componenent ID#" dataDxfId="46"/>
    <tableColumn id="11" xr3:uid="{29BCE658-1C66-45AD-86FB-11F32A1F635D}" name="Component Cost (Min)" dataDxfId="45"/>
    <tableColumn id="12" xr3:uid="{E4791675-4636-472A-BA04-BA3E3AA8654E}" name="Component Cost (Max)" dataDxfId="44"/>
    <tableColumn id="13" xr3:uid="{3485261D-73CD-4860-A855-EDFEB4506543}" name="All Total Cost to Task(Min)" dataDxfId="43">
      <calculatedColumnFormula>N119+L120+G120</calculatedColumnFormula>
    </tableColumn>
    <tableColumn id="14" xr3:uid="{D350A284-60A1-46C6-8F2B-320D0A08C5BF}" name="All Total Cost to Task (Max)" dataDxfId="42">
      <calculatedColumnFormula>O119+M120+H120</calculatedColumnFormula>
    </tableColumn>
  </tableColumns>
  <tableStyleInfo name="TableStyleMedium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468392E-1572-4945-A30E-7019A508ECA9}" name="Table1122" displayName="Table1122" ref="B132:O141" totalsRowShown="0" headerRowDxfId="41" dataDxfId="40">
  <autoFilter ref="B132:O141" xr:uid="{929F39C3-B3AC-4B09-B64A-3E595C73038E}"/>
  <tableColumns count="14">
    <tableColumn id="1" xr3:uid="{8749E8D5-498E-4D58-A88A-86790C16CE1A}" name="Step #" dataDxfId="39"/>
    <tableColumn id="2" xr3:uid="{CA63FD11-1E26-4E11-961D-E5DDC490DEFD}" name="Task" dataDxfId="38"/>
    <tableColumn id="3" xr3:uid="{4E36146B-147C-40FA-BCFC-E213D1C80AA5}" name="Distance (m)" dataDxfId="37"/>
    <tableColumn id="4" xr3:uid="{B8D921D1-673F-42C1-9797-EE3476FCCB7D}" name="Duration(sec)" dataDxfId="36"/>
    <tableColumn id="5" xr3:uid="{0A253CEB-AE14-4200-8C31-221D8DA3DC84}" name="Total Time" dataDxfId="35">
      <calculatedColumnFormula>F132+E133</calculatedColumnFormula>
    </tableColumn>
    <tableColumn id="6" xr3:uid="{7884C444-F68F-4DED-A471-399372F8D0F1}" name="Labour Task Cost (min)" dataDxfId="34">
      <calculatedColumnFormula>E133*$E$4</calculatedColumnFormula>
    </tableColumn>
    <tableColumn id="7" xr3:uid="{8C7DFB16-5A79-4349-B4BA-790D100D7741}" name="Labour Task Cost (Max)" dataDxfId="33">
      <calculatedColumnFormula>E133*$E$5</calculatedColumnFormula>
    </tableColumn>
    <tableColumn id="8" xr3:uid="{5496125A-9876-4B02-9ACA-7EBE048CF2AB}" name="Labour Cost Total to Task(min)" dataDxfId="32">
      <calculatedColumnFormula>I132+G133</calculatedColumnFormula>
    </tableColumn>
    <tableColumn id="9" xr3:uid="{8E515459-D2AD-4B81-B33D-A4881991BE5A}" name="Labour Cost Total to Task (Max)" dataDxfId="31">
      <calculatedColumnFormula>J132+H133</calculatedColumnFormula>
    </tableColumn>
    <tableColumn id="10" xr3:uid="{DF80D118-B938-46BE-A652-EDCE97CDC834}" name="Componenent ID#" dataDxfId="30"/>
    <tableColumn id="11" xr3:uid="{7F333EFA-0812-4072-95D2-F5453DE90B37}" name="Component Cost (Min)" dataDxfId="29"/>
    <tableColumn id="12" xr3:uid="{2AB2D592-CB9C-4B06-BC96-14C7A3E56B75}" name="Component Cost (Max)" dataDxfId="28"/>
    <tableColumn id="13" xr3:uid="{9AD5DD16-9D3E-40C0-B38C-22A80AEBFAE7}" name="All Total Cost to Task(Min)" dataDxfId="27">
      <calculatedColumnFormula>N132+L133+G133</calculatedColumnFormula>
    </tableColumn>
    <tableColumn id="14" xr3:uid="{1C6BA86B-A0F3-473C-B60F-742A31A75D61}" name="All Total Cost to Task (Max)" dataDxfId="26">
      <calculatedColumnFormula>O132+M133+H133</calculatedColumnFormula>
    </tableColumn>
  </tableColumns>
  <tableStyleInfo name="TableStyleMedium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BDF3266-707A-42CB-B477-B25109402669}" name="Table1323" displayName="Table1323" ref="B38:AA69" totalsRowShown="0" headerRowDxfId="25">
  <tableColumns count="26">
    <tableColumn id="1" xr3:uid="{F93E95C6-779B-46D3-9B23-713EF159701A}" name="Step #"/>
    <tableColumn id="2" xr3:uid="{9082D16B-3D14-46D9-9852-F3D1C173C9DA}" name="Task" dataDxfId="24"/>
    <tableColumn id="3" xr3:uid="{1EF2BE6E-8718-4043-AE27-08A9A8C32D01}" name="Column1" dataDxfId="23"/>
    <tableColumn id="4" xr3:uid="{1FA62C22-2448-4487-8ADC-D2FFA4BDE97D}" name="Duration(sec)" dataDxfId="22"/>
    <tableColumn id="5" xr3:uid="{748BC85F-3D72-4ED0-BF3B-C7B2DDAF8A19}" name="Total Time" dataDxfId="21">
      <calculatedColumnFormula>F38+E39</calculatedColumnFormula>
    </tableColumn>
    <tableColumn id="6" xr3:uid="{9867CAFF-6BF1-45B9-BBE9-A013CB59413A}" name="Labour Task Cost (min)" dataDxfId="20">
      <calculatedColumnFormula>E39*$E$4</calculatedColumnFormula>
    </tableColumn>
    <tableColumn id="7" xr3:uid="{A78086EC-2DCB-453D-8CE6-1F81AD918F31}" name="Labour Task Cost (Max)" dataDxfId="19">
      <calculatedColumnFormula>E39*$E$5</calculatedColumnFormula>
    </tableColumn>
    <tableColumn id="8" xr3:uid="{64564BF2-4307-4778-B0EC-DDE5322F359A}" name="Labour Cost Total to Task(min)" dataDxfId="18">
      <calculatedColumnFormula>I38+G39</calculatedColumnFormula>
    </tableColumn>
    <tableColumn id="9" xr3:uid="{32A3A845-2DC5-4069-AB0D-7AA90ADA8304}" name="Labour Cost Total to Task (Max)" dataDxfId="17">
      <calculatedColumnFormula>J38+H39</calculatedColumnFormula>
    </tableColumn>
    <tableColumn id="10" xr3:uid="{48BB2EC1-85D8-4527-9425-F943540289CC}" name="Componenent ID#" dataDxfId="16"/>
    <tableColumn id="11" xr3:uid="{0757339D-4164-4E8B-B220-133E386392D8}" name="Component Cost (Min)" dataDxfId="15"/>
    <tableColumn id="12" xr3:uid="{9DBF32B2-D74A-4AA8-B266-09EE953736BD}" name="Component Cost (Max)" dataDxfId="14"/>
    <tableColumn id="13" xr3:uid="{246A91AF-CC88-4744-97BD-7C7AAEFB91AD}" name="All Total Cost to Task(Min)" dataDxfId="13">
      <calculatedColumnFormula>N38+L39+G39</calculatedColumnFormula>
    </tableColumn>
    <tableColumn id="14" xr3:uid="{393C7F2D-DBE4-4830-A8A5-48439C6825D4}" name="All Total Cost to Task (Max)" dataDxfId="12">
      <calculatedColumnFormula>O38+M39+H39</calculatedColumnFormula>
    </tableColumn>
    <tableColumn id="15" xr3:uid="{92E46F96-9075-453E-8B5C-592D5B101D31}" name="Failure %" dataDxfId="11"/>
    <tableColumn id="16" xr3:uid="{1BC30185-817A-42AD-8A96-D8C9141C8EFD}" name="Action if Test Failed" dataDxfId="10"/>
    <tableColumn id="17" xr3:uid="{5EE3521F-E57B-4E71-A515-EFA276A47361}" name="Additional Time (sec)" dataDxfId="9"/>
    <tableColumn id="18" xr3:uid="{4CF2088C-47D4-4F88-A024-D09950717723}" name="More Labour Cost (Min)" dataDxfId="8"/>
    <tableColumn id="19" xr3:uid="{EC31B1DD-2CFD-4D3D-81DF-86AA639CFA74}" name="More Labour Cost (Max)" dataDxfId="7"/>
    <tableColumn id="20" xr3:uid="{B2EAE851-EB86-45BC-A570-1BEF6DEAEE7C}" name="Extra Component Cost (Min)" dataDxfId="6"/>
    <tableColumn id="21" xr3:uid="{AF2185C7-685A-4935-9141-B4C66B0B316B}" name="Extra Component Cost (Max)" dataDxfId="5"/>
    <tableColumn id="22" xr3:uid="{3AFBD708-F941-44C8-B728-5C8465172CE7}" name="Total Time to Task with 1 fail and Good Repeat" dataDxfId="4">
      <calculatedColumnFormula>W38+F39+R39</calculatedColumnFormula>
    </tableColumn>
    <tableColumn id="23" xr3:uid="{729BC8D2-93AB-45D8-8919-D901B2FFC8E9}" name="All Total Cost to Task (Min)" dataDxfId="3">
      <calculatedColumnFormula>SUM(X38,G39,L39,S39,U39)</calculatedColumnFormula>
    </tableColumn>
    <tableColumn id="24" xr3:uid="{EB10D5C1-A99F-4548-8E2F-061FD5A63792}" name="All Total Cost to Task (max)2" dataDxfId="2">
      <calculatedColumnFormula>SUM(Y38,H39,M39,T39,V39)</calculatedColumnFormula>
    </tableColumn>
    <tableColumn id="25" xr3:uid="{916B5B5D-4068-4B0B-9BCF-D4A37FC7DE3B}" name="Reliability" dataDxfId="1">
      <calculatedColumnFormula>1-P39/100</calculatedColumnFormula>
    </tableColumn>
    <tableColumn id="26" xr3:uid="{832231E9-A290-476C-8DBC-7B4CD21EA7BD}" name="Reliability to Task" dataDxfId="0"/>
  </tableColumns>
  <tableStyleInfo name="TableStyleMedium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C6C8884-DFC9-4ACE-AE23-5C868B123F27}" name="Table14" displayName="Table14" ref="A14:B17" totalsRowShown="0">
  <autoFilter ref="A14:B17" xr:uid="{DC6C8884-DFC9-4ACE-AE23-5C868B123F27}"/>
  <tableColumns count="2">
    <tableColumn id="1" xr3:uid="{6D05B46D-9E1F-4C1A-B8DD-5288CB135C24}" name="Product Code"/>
    <tableColumn id="2" xr3:uid="{AE6812BA-2FA7-4F59-8CBD-52ED7A428501}" name="Daily Average Production">
      <calculatedColumnFormula>C8+G8</calculatedColumnFormula>
    </tableColumn>
  </tableColumns>
  <tableStyleInfo name="TableStyleMedium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320C6A-E67D-4A65-9547-235440400D91}" name="Table12" displayName="Table12" ref="A1:D72" totalsRowShown="0">
  <tableColumns count="4">
    <tableColumn id="1" xr3:uid="{36434BA5-0C7F-4D6A-9894-96D64EEA0D7D}" name="Part Number"/>
    <tableColumn id="2" xr3:uid="{085730AE-632F-417D-B959-8D5473F28941}" name="Row"/>
    <tableColumn id="3" xr3:uid="{81E42157-0307-459C-800F-C9108214A0A2}" name="Bay"/>
    <tableColumn id="4" xr3:uid="{D3C3E0A8-8D91-4FE7-B928-3D6538BE8340}" name="Fixed Locatio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printerSettings" Target="../printerSettings/printerSettings5.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printerSettings" Target="../printerSettings/printerSettings6.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2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6C4DF-B45F-4B8E-BF81-2ADBA94A843D}">
  <dimension ref="A1:E44"/>
  <sheetViews>
    <sheetView workbookViewId="0"/>
  </sheetViews>
  <sheetFormatPr defaultRowHeight="14.4" x14ac:dyDescent="0.3"/>
  <cols>
    <col min="2" max="2" width="19.33203125" customWidth="1"/>
    <col min="3" max="3" width="55.33203125" customWidth="1"/>
    <col min="4" max="4" width="26.44140625" customWidth="1"/>
    <col min="5" max="5" width="34" customWidth="1"/>
  </cols>
  <sheetData>
    <row r="1" spans="1:4" ht="21" x14ac:dyDescent="0.4">
      <c r="A1" s="10" t="s">
        <v>0</v>
      </c>
    </row>
    <row r="3" spans="1:4" x14ac:dyDescent="0.3">
      <c r="B3" t="s">
        <v>1</v>
      </c>
      <c r="C3" s="4">
        <v>44718</v>
      </c>
      <c r="D3" t="s">
        <v>2</v>
      </c>
    </row>
    <row r="4" spans="1:4" x14ac:dyDescent="0.3">
      <c r="B4" t="s">
        <v>3</v>
      </c>
      <c r="C4" t="s">
        <v>4</v>
      </c>
    </row>
    <row r="5" spans="1:4" x14ac:dyDescent="0.3">
      <c r="C5" s="1" t="s">
        <v>5</v>
      </c>
    </row>
    <row r="6" spans="1:4" x14ac:dyDescent="0.3">
      <c r="C6" s="1" t="s">
        <v>6</v>
      </c>
    </row>
    <row r="7" spans="1:4" x14ac:dyDescent="0.3">
      <c r="C7" s="1" t="s">
        <v>7</v>
      </c>
    </row>
    <row r="8" spans="1:4" x14ac:dyDescent="0.3">
      <c r="C8" s="1" t="s">
        <v>8</v>
      </c>
    </row>
    <row r="9" spans="1:4" x14ac:dyDescent="0.3">
      <c r="C9" s="1" t="s">
        <v>9</v>
      </c>
    </row>
    <row r="10" spans="1:4" x14ac:dyDescent="0.3">
      <c r="C10" s="1" t="s">
        <v>10</v>
      </c>
    </row>
    <row r="11" spans="1:4" x14ac:dyDescent="0.3">
      <c r="C11" s="1" t="s">
        <v>11</v>
      </c>
    </row>
    <row r="12" spans="1:4" x14ac:dyDescent="0.3">
      <c r="C12" s="1" t="s">
        <v>12</v>
      </c>
    </row>
    <row r="13" spans="1:4" x14ac:dyDescent="0.3">
      <c r="C13" s="1"/>
    </row>
    <row r="14" spans="1:4" x14ac:dyDescent="0.3">
      <c r="B14" t="s">
        <v>13</v>
      </c>
    </row>
    <row r="15" spans="1:4" x14ac:dyDescent="0.3">
      <c r="B15" t="s">
        <v>14</v>
      </c>
    </row>
    <row r="17" spans="1:5" ht="18" x14ac:dyDescent="0.35">
      <c r="B17" s="9" t="s">
        <v>15</v>
      </c>
    </row>
    <row r="18" spans="1:5" x14ac:dyDescent="0.3">
      <c r="A18">
        <v>1</v>
      </c>
      <c r="B18" t="s">
        <v>16</v>
      </c>
      <c r="C18" t="s">
        <v>17</v>
      </c>
    </row>
    <row r="19" spans="1:5" x14ac:dyDescent="0.3">
      <c r="A19">
        <v>2</v>
      </c>
      <c r="B19" t="s">
        <v>18</v>
      </c>
      <c r="C19" t="s">
        <v>19</v>
      </c>
    </row>
    <row r="20" spans="1:5" x14ac:dyDescent="0.3">
      <c r="A20">
        <v>3</v>
      </c>
      <c r="B20" t="s">
        <v>20</v>
      </c>
      <c r="C20" t="s">
        <v>21</v>
      </c>
    </row>
    <row r="21" spans="1:5" x14ac:dyDescent="0.3">
      <c r="A21">
        <v>4</v>
      </c>
      <c r="B21" t="s">
        <v>22</v>
      </c>
      <c r="C21" t="s">
        <v>23</v>
      </c>
    </row>
    <row r="22" spans="1:5" x14ac:dyDescent="0.3">
      <c r="A22">
        <v>5</v>
      </c>
      <c r="B22" t="s">
        <v>24</v>
      </c>
      <c r="C22" t="s">
        <v>25</v>
      </c>
    </row>
    <row r="23" spans="1:5" x14ac:dyDescent="0.3">
      <c r="A23">
        <v>6</v>
      </c>
      <c r="B23" t="s">
        <v>26</v>
      </c>
      <c r="C23" t="s">
        <v>27</v>
      </c>
    </row>
    <row r="25" spans="1:5" ht="18" x14ac:dyDescent="0.35">
      <c r="B25" s="9" t="s">
        <v>28</v>
      </c>
    </row>
    <row r="27" spans="1:5" x14ac:dyDescent="0.3">
      <c r="A27" s="2" t="s">
        <v>29</v>
      </c>
      <c r="B27" s="2" t="s">
        <v>30</v>
      </c>
      <c r="C27" s="2" t="s">
        <v>31</v>
      </c>
      <c r="D27" s="2" t="s">
        <v>32</v>
      </c>
      <c r="E27" s="5" t="s">
        <v>33</v>
      </c>
    </row>
    <row r="28" spans="1:5" x14ac:dyDescent="0.3">
      <c r="A28" s="3" t="s">
        <v>34</v>
      </c>
      <c r="B28" s="3" t="s">
        <v>35</v>
      </c>
      <c r="C28" s="3"/>
      <c r="D28" s="2"/>
    </row>
    <row r="29" spans="1:5" x14ac:dyDescent="0.3">
      <c r="A29" s="3" t="s">
        <v>36</v>
      </c>
      <c r="B29" s="3" t="s">
        <v>37</v>
      </c>
      <c r="C29" s="3" t="s">
        <v>38</v>
      </c>
      <c r="D29" s="3"/>
    </row>
    <row r="30" spans="1:5" x14ac:dyDescent="0.3">
      <c r="A30" s="3" t="s">
        <v>39</v>
      </c>
      <c r="B30" s="3" t="s">
        <v>40</v>
      </c>
      <c r="C30" s="3" t="s">
        <v>41</v>
      </c>
      <c r="D30" s="3"/>
    </row>
    <row r="31" spans="1:5" x14ac:dyDescent="0.3">
      <c r="A31" s="3" t="s">
        <v>42</v>
      </c>
      <c r="B31" s="3" t="s">
        <v>43</v>
      </c>
      <c r="C31" s="3" t="s">
        <v>44</v>
      </c>
      <c r="D31" s="3"/>
      <c r="E31" s="11" t="s">
        <v>45</v>
      </c>
    </row>
    <row r="32" spans="1:5" x14ac:dyDescent="0.3">
      <c r="A32" s="3" t="s">
        <v>46</v>
      </c>
      <c r="B32" s="3" t="s">
        <v>47</v>
      </c>
      <c r="C32" s="3" t="s">
        <v>48</v>
      </c>
      <c r="D32" s="3"/>
    </row>
    <row r="33" spans="1:5" x14ac:dyDescent="0.3">
      <c r="A33" s="3" t="s">
        <v>49</v>
      </c>
      <c r="B33" s="3" t="s">
        <v>50</v>
      </c>
      <c r="C33" s="3" t="s">
        <v>51</v>
      </c>
      <c r="D33" s="3"/>
    </row>
    <row r="34" spans="1:5" x14ac:dyDescent="0.3">
      <c r="A34" s="3" t="s">
        <v>52</v>
      </c>
      <c r="B34" s="3" t="s">
        <v>53</v>
      </c>
      <c r="C34" s="3" t="s">
        <v>54</v>
      </c>
      <c r="D34" s="3"/>
      <c r="E34" s="6" t="s">
        <v>55</v>
      </c>
    </row>
    <row r="35" spans="1:5" x14ac:dyDescent="0.3">
      <c r="A35" s="3" t="s">
        <v>56</v>
      </c>
      <c r="B35" s="3" t="s">
        <v>57</v>
      </c>
      <c r="C35" s="3" t="s">
        <v>58</v>
      </c>
      <c r="D35" s="3"/>
    </row>
    <row r="36" spans="1:5" x14ac:dyDescent="0.3">
      <c r="A36" s="3" t="s">
        <v>59</v>
      </c>
      <c r="B36" s="3" t="s">
        <v>60</v>
      </c>
      <c r="C36" s="3" t="s">
        <v>61</v>
      </c>
      <c r="D36" s="3"/>
    </row>
    <row r="37" spans="1:5" x14ac:dyDescent="0.3">
      <c r="A37" s="3" t="s">
        <v>62</v>
      </c>
      <c r="B37" s="3" t="s">
        <v>63</v>
      </c>
      <c r="C37" s="3" t="s">
        <v>64</v>
      </c>
      <c r="D37" s="3"/>
      <c r="E37" t="s">
        <v>65</v>
      </c>
    </row>
    <row r="38" spans="1:5" x14ac:dyDescent="0.3">
      <c r="A38" s="3" t="s">
        <v>66</v>
      </c>
      <c r="B38" s="3" t="s">
        <v>67</v>
      </c>
      <c r="C38" s="3" t="s">
        <v>68</v>
      </c>
      <c r="D38" s="3"/>
    </row>
    <row r="40" spans="1:5" ht="18" x14ac:dyDescent="0.35">
      <c r="B40" s="9" t="s">
        <v>69</v>
      </c>
      <c r="C40" t="s">
        <v>70</v>
      </c>
    </row>
    <row r="41" spans="1:5" x14ac:dyDescent="0.3">
      <c r="A41">
        <v>1</v>
      </c>
      <c r="B41" t="s">
        <v>71</v>
      </c>
    </row>
    <row r="42" spans="1:5" x14ac:dyDescent="0.3">
      <c r="B42" s="7" t="s">
        <v>72</v>
      </c>
      <c r="C42" t="s">
        <v>73</v>
      </c>
    </row>
    <row r="43" spans="1:5" x14ac:dyDescent="0.3">
      <c r="B43" s="7" t="s">
        <v>74</v>
      </c>
      <c r="C43" t="s">
        <v>75</v>
      </c>
    </row>
    <row r="44" spans="1:5" x14ac:dyDescent="0.3">
      <c r="B44" s="8" t="s">
        <v>76</v>
      </c>
      <c r="C44" t="s">
        <v>74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BFC8-B305-4F04-B72C-58536E2270CC}">
  <dimension ref="A1:P55"/>
  <sheetViews>
    <sheetView workbookViewId="0"/>
  </sheetViews>
  <sheetFormatPr defaultRowHeight="14.4" x14ac:dyDescent="0.3"/>
  <cols>
    <col min="1" max="1" width="17" bestFit="1" customWidth="1"/>
    <col min="2" max="2" width="21.6640625" bestFit="1" customWidth="1"/>
    <col min="3" max="3" width="17.6640625" customWidth="1"/>
    <col min="4" max="4" width="35.6640625" bestFit="1" customWidth="1"/>
    <col min="5" max="5" width="15.33203125" customWidth="1"/>
    <col min="6" max="6" width="7.6640625" customWidth="1"/>
    <col min="7" max="7" width="7.33203125" customWidth="1"/>
    <col min="8" max="9" width="10.33203125" bestFit="1" customWidth="1"/>
    <col min="11" max="11" width="6.109375" customWidth="1"/>
    <col min="12" max="12" width="21.6640625" bestFit="1" customWidth="1"/>
    <col min="13" max="13" width="14.33203125" bestFit="1" customWidth="1"/>
    <col min="14" max="14" width="15.33203125" customWidth="1"/>
  </cols>
  <sheetData>
    <row r="1" spans="1:16" x14ac:dyDescent="0.3">
      <c r="A1" t="s">
        <v>77</v>
      </c>
      <c r="K1" t="s">
        <v>78</v>
      </c>
    </row>
    <row r="2" spans="1:16" x14ac:dyDescent="0.3">
      <c r="H2" t="s">
        <v>79</v>
      </c>
      <c r="K2" t="s">
        <v>80</v>
      </c>
      <c r="O2" t="s">
        <v>79</v>
      </c>
    </row>
    <row r="3" spans="1:16" x14ac:dyDescent="0.3">
      <c r="A3" t="s">
        <v>81</v>
      </c>
      <c r="B3" t="s">
        <v>82</v>
      </c>
      <c r="C3" t="s">
        <v>83</v>
      </c>
      <c r="D3" t="s">
        <v>84</v>
      </c>
      <c r="E3" t="s">
        <v>85</v>
      </c>
      <c r="F3" t="s">
        <v>86</v>
      </c>
      <c r="G3" t="s">
        <v>87</v>
      </c>
      <c r="H3" t="s">
        <v>88</v>
      </c>
      <c r="I3" t="s">
        <v>89</v>
      </c>
      <c r="K3" t="s">
        <v>81</v>
      </c>
      <c r="L3" t="s">
        <v>83</v>
      </c>
      <c r="M3" t="s">
        <v>84</v>
      </c>
      <c r="N3" t="s">
        <v>85</v>
      </c>
      <c r="O3" t="s">
        <v>88</v>
      </c>
      <c r="P3" t="s">
        <v>89</v>
      </c>
    </row>
    <row r="4" spans="1:16" x14ac:dyDescent="0.3">
      <c r="A4">
        <v>1</v>
      </c>
      <c r="B4" t="s">
        <v>90</v>
      </c>
      <c r="C4" t="s">
        <v>91</v>
      </c>
      <c r="D4" t="s">
        <v>92</v>
      </c>
      <c r="E4" t="s">
        <v>93</v>
      </c>
      <c r="F4">
        <f>VLOOKUP(Table1[[#This Row],[Part Number]],'Shelving Inventory list'!$A$2:$C$72,2,FALSE)</f>
        <v>10</v>
      </c>
      <c r="G4" t="str">
        <f>VLOOKUP(Table1[[#This Row],[Part Number]],'Shelving Inventory list'!$A$2:$C$72,3,FALSE)</f>
        <v>C</v>
      </c>
      <c r="H4" s="45">
        <f>MIN(VLOOKUP(C4,POs!$B$2:$E$46,4,FALSE))</f>
        <v>6.6059999999999999</v>
      </c>
      <c r="I4" s="45">
        <f>(Table1[[#This Row],[Min]]+0.05*Table1[[#This Row],[Min]])</f>
        <v>6.9363000000000001</v>
      </c>
      <c r="K4" s="37">
        <v>1</v>
      </c>
      <c r="L4" s="38" t="s">
        <v>90</v>
      </c>
      <c r="M4" s="38" t="s">
        <v>91</v>
      </c>
      <c r="N4" t="s">
        <v>93</v>
      </c>
      <c r="O4" s="17">
        <f>MIN(VLOOKUP(M4,POs!$B$2:$E$46,4,FALSE))</f>
        <v>6.6059999999999999</v>
      </c>
      <c r="P4" s="17">
        <f>(Table3[[#This Row],[Min]]+0.05*Table3[[#This Row],[Min]])</f>
        <v>6.9363000000000001</v>
      </c>
    </row>
    <row r="5" spans="1:16" x14ac:dyDescent="0.3">
      <c r="A5">
        <v>2</v>
      </c>
      <c r="B5" t="s">
        <v>90</v>
      </c>
      <c r="C5" t="s">
        <v>94</v>
      </c>
      <c r="D5" t="s">
        <v>95</v>
      </c>
      <c r="E5" t="s">
        <v>93</v>
      </c>
      <c r="F5">
        <f>VLOOKUP(Table1[[#This Row],[Part Number]],'Shelving Inventory list'!$A$2:$C$72,2,FALSE)</f>
        <v>10</v>
      </c>
      <c r="G5" t="str">
        <f>VLOOKUP(Table1[[#This Row],[Part Number]],'Shelving Inventory list'!$A$2:$C$72,3,FALSE)</f>
        <v>E</v>
      </c>
      <c r="H5" s="45">
        <f>MIN(VLOOKUP(C5,POs!$B$2:$E$46,4,FALSE))</f>
        <v>8.1000000000000003E-2</v>
      </c>
      <c r="I5" s="45">
        <f>(Table1[[#This Row],[Min]]+0.05*Table1[[#This Row],[Min]])</f>
        <v>8.5050000000000001E-2</v>
      </c>
      <c r="K5" s="39">
        <v>2</v>
      </c>
      <c r="L5" s="40" t="s">
        <v>90</v>
      </c>
      <c r="M5" s="40" t="s">
        <v>94</v>
      </c>
      <c r="N5" t="s">
        <v>93</v>
      </c>
      <c r="O5" s="17">
        <f>MIN(VLOOKUP(M5,POs!$B$2:$E$46,4,FALSE))</f>
        <v>8.1000000000000003E-2</v>
      </c>
      <c r="P5" s="17">
        <f>(Table3[[#This Row],[Min]]+0.05*Table3[[#This Row],[Min]])</f>
        <v>8.5050000000000001E-2</v>
      </c>
    </row>
    <row r="6" spans="1:16" x14ac:dyDescent="0.3">
      <c r="A6">
        <v>3</v>
      </c>
      <c r="B6" t="s">
        <v>96</v>
      </c>
      <c r="C6" t="s">
        <v>97</v>
      </c>
      <c r="D6" t="s">
        <v>98</v>
      </c>
      <c r="E6" t="s">
        <v>93</v>
      </c>
      <c r="F6">
        <f>VLOOKUP(Table1[[#This Row],[Part Number]],'Shelving Inventory list'!$A$2:$C$72,2,FALSE)</f>
        <v>2</v>
      </c>
      <c r="G6" t="str">
        <f>VLOOKUP(Table1[[#This Row],[Part Number]],'Shelving Inventory list'!$A$2:$C$72,3,FALSE)</f>
        <v>A</v>
      </c>
      <c r="H6" s="45">
        <f>MIN(VLOOKUP(C6,POs!$B$2:$E$46,4,FALSE))</f>
        <v>17.420000000000002</v>
      </c>
      <c r="I6" s="45">
        <f>(Table1[[#This Row],[Min]]+0.05*Table1[[#This Row],[Min]])</f>
        <v>18.291</v>
      </c>
      <c r="K6" s="37">
        <v>3</v>
      </c>
      <c r="L6" s="38" t="s">
        <v>96</v>
      </c>
      <c r="M6" s="38" t="s">
        <v>97</v>
      </c>
      <c r="N6" t="s">
        <v>93</v>
      </c>
      <c r="O6" s="17">
        <f>MIN(VLOOKUP(M6,POs!$B$2:$E$46,4,FALSE))</f>
        <v>17.420000000000002</v>
      </c>
      <c r="P6" s="17">
        <f>(Table3[[#This Row],[Min]]+0.05*Table3[[#This Row],[Min]])</f>
        <v>18.291</v>
      </c>
    </row>
    <row r="7" spans="1:16" x14ac:dyDescent="0.3">
      <c r="A7">
        <v>4</v>
      </c>
      <c r="B7" t="s">
        <v>99</v>
      </c>
      <c r="C7" t="s">
        <v>100</v>
      </c>
      <c r="D7" t="s">
        <v>101</v>
      </c>
      <c r="E7" t="s">
        <v>93</v>
      </c>
      <c r="F7">
        <f>VLOOKUP(Table1[[#This Row],[Part Number]],'Shelving Inventory list'!$A$2:$C$72,2,FALSE)</f>
        <v>4</v>
      </c>
      <c r="G7" t="str">
        <f>VLOOKUP(Table1[[#This Row],[Part Number]],'Shelving Inventory list'!$A$2:$C$72,3,FALSE)</f>
        <v>D</v>
      </c>
      <c r="H7" s="45">
        <f>MIN(VLOOKUP(C7,POs!$B$2:$E$46,4,FALSE))</f>
        <v>14.99</v>
      </c>
      <c r="I7" s="45">
        <f>(Table1[[#This Row],[Min]]+0.05*Table1[[#This Row],[Min]])</f>
        <v>15.7395</v>
      </c>
      <c r="K7" s="39">
        <v>4</v>
      </c>
      <c r="L7" s="40" t="s">
        <v>99</v>
      </c>
      <c r="M7" s="40" t="s">
        <v>100</v>
      </c>
      <c r="N7" t="s">
        <v>93</v>
      </c>
      <c r="O7" s="17">
        <f>MIN(VLOOKUP(M7,POs!$B$2:$E$46,4,FALSE))</f>
        <v>14.99</v>
      </c>
      <c r="P7" s="17">
        <f>(Table3[[#This Row],[Min]]+0.05*Table3[[#This Row],[Min]])</f>
        <v>15.7395</v>
      </c>
    </row>
    <row r="8" spans="1:16" x14ac:dyDescent="0.3">
      <c r="A8">
        <v>5</v>
      </c>
      <c r="B8" t="s">
        <v>102</v>
      </c>
      <c r="C8" t="s">
        <v>103</v>
      </c>
      <c r="D8" t="s">
        <v>104</v>
      </c>
      <c r="E8" t="s">
        <v>93</v>
      </c>
      <c r="F8">
        <f>VLOOKUP(Table1[[#This Row],[Part Number]],'Shelving Inventory list'!$A$2:$C$72,2,FALSE)</f>
        <v>5</v>
      </c>
      <c r="G8" t="str">
        <f>VLOOKUP(Table1[[#This Row],[Part Number]],'Shelving Inventory list'!$A$2:$C$72,3,FALSE)</f>
        <v>E</v>
      </c>
      <c r="H8" s="45">
        <f>MIN(VLOOKUP(C8,POs!$B$2:$E$46,4,FALSE))</f>
        <v>4.1500000000000004</v>
      </c>
      <c r="I8" s="45">
        <f>(Table1[[#This Row],[Min]]+0.05*Table1[[#This Row],[Min]])</f>
        <v>4.3574999999999999</v>
      </c>
      <c r="K8" s="37">
        <v>5</v>
      </c>
      <c r="L8" s="38" t="s">
        <v>102</v>
      </c>
      <c r="M8" s="38" t="s">
        <v>103</v>
      </c>
      <c r="N8" t="s">
        <v>93</v>
      </c>
      <c r="O8" s="17">
        <f>MIN(VLOOKUP(M8,POs!$B$2:$E$46,4,FALSE))</f>
        <v>4.1500000000000004</v>
      </c>
      <c r="P8" s="17">
        <f>(Table3[[#This Row],[Min]]+0.05*Table3[[#This Row],[Min]])</f>
        <v>4.3574999999999999</v>
      </c>
    </row>
    <row r="9" spans="1:16" x14ac:dyDescent="0.3">
      <c r="A9">
        <v>6</v>
      </c>
      <c r="B9" t="s">
        <v>102</v>
      </c>
      <c r="C9" t="s">
        <v>105</v>
      </c>
      <c r="D9" t="s">
        <v>106</v>
      </c>
      <c r="E9" t="s">
        <v>93</v>
      </c>
      <c r="F9">
        <f>VLOOKUP(Table1[[#This Row],[Part Number]],'Shelving Inventory list'!$A$2:$C$72,2,FALSE)</f>
        <v>6</v>
      </c>
      <c r="G9" t="str">
        <f>VLOOKUP(Table1[[#This Row],[Part Number]],'Shelving Inventory list'!$A$2:$C$72,3,FALSE)</f>
        <v>B</v>
      </c>
      <c r="H9" s="45">
        <f>MIN(VLOOKUP(C9,POs!$B$2:$E$46,4,FALSE))</f>
        <v>1.88</v>
      </c>
      <c r="I9" s="45">
        <f>(Table1[[#This Row],[Min]]+0.05*Table1[[#This Row],[Min]])</f>
        <v>1.974</v>
      </c>
      <c r="K9" s="39">
        <v>6</v>
      </c>
      <c r="L9" s="40" t="s">
        <v>102</v>
      </c>
      <c r="M9" s="40" t="s">
        <v>105</v>
      </c>
      <c r="N9" t="s">
        <v>93</v>
      </c>
      <c r="O9" s="17">
        <f>MIN(VLOOKUP(M9,POs!$B$2:$E$46,4,FALSE))</f>
        <v>1.88</v>
      </c>
      <c r="P9" s="17">
        <f>(Table3[[#This Row],[Min]]+0.05*Table3[[#This Row],[Min]])</f>
        <v>1.974</v>
      </c>
    </row>
    <row r="10" spans="1:16" x14ac:dyDescent="0.3">
      <c r="A10">
        <v>7</v>
      </c>
      <c r="B10" t="s">
        <v>107</v>
      </c>
      <c r="C10" t="s">
        <v>108</v>
      </c>
      <c r="D10" t="s">
        <v>109</v>
      </c>
      <c r="E10" t="s">
        <v>93</v>
      </c>
      <c r="F10">
        <f>VLOOKUP(Table1[[#This Row],[Part Number]],'Shelving Inventory list'!$A$2:$C$72,2,FALSE)</f>
        <v>7</v>
      </c>
      <c r="G10" t="str">
        <f>VLOOKUP(Table1[[#This Row],[Part Number]],'Shelving Inventory list'!$A$2:$C$72,3,FALSE)</f>
        <v>B</v>
      </c>
      <c r="H10" s="45">
        <f>MIN(VLOOKUP(C10,POs!$B$2:$E$46,4,FALSE))</f>
        <v>0.56999999999999995</v>
      </c>
      <c r="I10" s="45">
        <f>(Table1[[#This Row],[Min]]+0.05*Table1[[#This Row],[Min]])</f>
        <v>0.59849999999999992</v>
      </c>
      <c r="K10" s="37">
        <v>7</v>
      </c>
      <c r="L10" s="38" t="s">
        <v>107</v>
      </c>
      <c r="M10" s="38" t="s">
        <v>108</v>
      </c>
      <c r="N10" t="s">
        <v>93</v>
      </c>
      <c r="O10" s="17">
        <f>MIN(VLOOKUP(M10,POs!$B$2:$E$46,4,FALSE))</f>
        <v>0.56999999999999995</v>
      </c>
      <c r="P10" s="17">
        <f>(Table3[[#This Row],[Min]]+0.05*Table3[[#This Row],[Min]])</f>
        <v>0.59849999999999992</v>
      </c>
    </row>
    <row r="11" spans="1:16" x14ac:dyDescent="0.3">
      <c r="A11">
        <v>8</v>
      </c>
      <c r="B11" t="s">
        <v>107</v>
      </c>
      <c r="C11" t="s">
        <v>110</v>
      </c>
      <c r="D11" t="s">
        <v>111</v>
      </c>
      <c r="E11" t="s">
        <v>93</v>
      </c>
      <c r="F11">
        <f>VLOOKUP(Table1[[#This Row],[Part Number]],'Shelving Inventory list'!$A$2:$C$72,2,FALSE)</f>
        <v>8</v>
      </c>
      <c r="G11" t="str">
        <f>VLOOKUP(Table1[[#This Row],[Part Number]],'Shelving Inventory list'!$A$2:$C$72,3,FALSE)</f>
        <v>E</v>
      </c>
      <c r="H11" s="45">
        <f>MIN(VLOOKUP(C11,POs!$B$2:$E$46,4,FALSE))</f>
        <v>0.31</v>
      </c>
      <c r="I11" s="45">
        <f>(Table1[[#This Row],[Min]]+0.05*Table1[[#This Row],[Min]])</f>
        <v>0.32550000000000001</v>
      </c>
      <c r="K11" s="39">
        <v>8</v>
      </c>
      <c r="L11" s="40" t="s">
        <v>107</v>
      </c>
      <c r="M11" s="40" t="s">
        <v>110</v>
      </c>
      <c r="N11" t="s">
        <v>93</v>
      </c>
      <c r="O11" s="17">
        <f>MIN(VLOOKUP(M11,POs!$B$2:$E$46,4,FALSE))</f>
        <v>0.31</v>
      </c>
      <c r="P11" s="17">
        <f>(Table3[[#This Row],[Min]]+0.05*Table3[[#This Row],[Min]])</f>
        <v>0.32550000000000001</v>
      </c>
    </row>
    <row r="12" spans="1:16" x14ac:dyDescent="0.3">
      <c r="A12">
        <v>9</v>
      </c>
      <c r="B12" t="s">
        <v>112</v>
      </c>
      <c r="C12" t="s">
        <v>113</v>
      </c>
      <c r="D12" t="s">
        <v>114</v>
      </c>
      <c r="E12" t="s">
        <v>93</v>
      </c>
      <c r="F12">
        <f>VLOOKUP(Table1[[#This Row],[Part Number]],'Shelving Inventory list'!$A$2:$C$72,2,FALSE)</f>
        <v>7</v>
      </c>
      <c r="G12" t="str">
        <f>VLOOKUP(Table1[[#This Row],[Part Number]],'Shelving Inventory list'!$A$2:$C$72,3,FALSE)</f>
        <v>E</v>
      </c>
      <c r="H12" s="45">
        <f>MIN(VLOOKUP(C12,POs!$B$2:$E$46,4,FALSE))</f>
        <v>38.15</v>
      </c>
      <c r="I12" s="45">
        <f>(Table1[[#This Row],[Min]]+0.05*Table1[[#This Row],[Min]])</f>
        <v>40.057499999999997</v>
      </c>
      <c r="K12" s="37">
        <v>9</v>
      </c>
      <c r="L12" s="38" t="s">
        <v>112</v>
      </c>
      <c r="M12" s="38" t="s">
        <v>113</v>
      </c>
      <c r="N12" t="s">
        <v>93</v>
      </c>
      <c r="O12" s="17">
        <f>MIN(VLOOKUP(M12,POs!$B$2:$E$46,4,FALSE))</f>
        <v>38.15</v>
      </c>
      <c r="P12" s="17">
        <f>(Table3[[#This Row],[Min]]+0.05*Table3[[#This Row],[Min]])</f>
        <v>40.057499999999997</v>
      </c>
    </row>
    <row r="13" spans="1:16" x14ac:dyDescent="0.3">
      <c r="A13">
        <v>10</v>
      </c>
      <c r="B13" t="s">
        <v>115</v>
      </c>
      <c r="C13" t="s">
        <v>116</v>
      </c>
      <c r="D13" t="s">
        <v>117</v>
      </c>
      <c r="E13" t="s">
        <v>93</v>
      </c>
      <c r="F13">
        <f>VLOOKUP(Table1[[#This Row],[Part Number]],'Shelving Inventory list'!$A$2:$C$72,2,FALSE)</f>
        <v>3</v>
      </c>
      <c r="G13" t="str">
        <f>VLOOKUP(Table1[[#This Row],[Part Number]],'Shelving Inventory list'!$A$2:$C$72,3,FALSE)</f>
        <v>C</v>
      </c>
      <c r="H13" s="45">
        <f>MIN(VLOOKUP(C13,POs!$B$2:$E$46,4,FALSE))</f>
        <v>4</v>
      </c>
      <c r="I13" s="45">
        <f>(Table1[[#This Row],[Min]]+0.05*Table1[[#This Row],[Min]])</f>
        <v>4.2</v>
      </c>
      <c r="K13" s="39">
        <v>10</v>
      </c>
      <c r="L13" s="40" t="s">
        <v>115</v>
      </c>
      <c r="M13" s="40" t="s">
        <v>116</v>
      </c>
      <c r="N13" t="s">
        <v>93</v>
      </c>
      <c r="O13" s="17">
        <f>MIN(VLOOKUP(M13,POs!$B$2:$E$46,4,FALSE))</f>
        <v>4</v>
      </c>
      <c r="P13" s="17">
        <f>(Table3[[#This Row],[Min]]+0.05*Table3[[#This Row],[Min]])</f>
        <v>4.2</v>
      </c>
    </row>
    <row r="14" spans="1:16" x14ac:dyDescent="0.3">
      <c r="A14">
        <v>11</v>
      </c>
      <c r="B14" t="s">
        <v>118</v>
      </c>
      <c r="C14" t="s">
        <v>119</v>
      </c>
      <c r="D14" t="s">
        <v>120</v>
      </c>
      <c r="E14" t="s">
        <v>93</v>
      </c>
      <c r="F14">
        <f>VLOOKUP(Table1[[#This Row],[Part Number]],'Shelving Inventory list'!$A$2:$C$72,2,FALSE)</f>
        <v>1</v>
      </c>
      <c r="G14" t="str">
        <f>VLOOKUP(Table1[[#This Row],[Part Number]],'Shelving Inventory list'!$A$2:$C$72,3,FALSE)</f>
        <v>A</v>
      </c>
      <c r="H14" s="45">
        <f>MIN(VLOOKUP(C14,POs!$B$2:$E$46,4,FALSE))</f>
        <v>2</v>
      </c>
      <c r="I14" s="45">
        <f>(Table1[[#This Row],[Min]]+0.05*Table1[[#This Row],[Min]])</f>
        <v>2.1</v>
      </c>
      <c r="K14" s="37">
        <v>11</v>
      </c>
      <c r="L14" s="38" t="s">
        <v>118</v>
      </c>
      <c r="M14" s="38" t="s">
        <v>119</v>
      </c>
      <c r="N14" t="s">
        <v>93</v>
      </c>
      <c r="O14" s="17">
        <f>MIN(VLOOKUP(M14,POs!$B$2:$E$46,4,FALSE))</f>
        <v>2</v>
      </c>
      <c r="P14" s="17">
        <f>(Table3[[#This Row],[Min]]+0.05*Table3[[#This Row],[Min]])</f>
        <v>2.1</v>
      </c>
    </row>
    <row r="15" spans="1:16" x14ac:dyDescent="0.3">
      <c r="A15">
        <v>12</v>
      </c>
      <c r="B15" t="s">
        <v>121</v>
      </c>
      <c r="C15" t="s">
        <v>122</v>
      </c>
      <c r="D15" t="s">
        <v>123</v>
      </c>
      <c r="E15" t="s">
        <v>36</v>
      </c>
      <c r="F15">
        <f>VLOOKUP(Table1[[#This Row],[Part Number]],'Shelving Inventory list'!$A$2:$C$72,2,FALSE)</f>
        <v>14</v>
      </c>
      <c r="G15" t="str">
        <f>VLOOKUP(Table1[[#This Row],[Part Number]],'Shelving Inventory list'!$A$2:$C$72,3,FALSE)</f>
        <v>A</v>
      </c>
      <c r="H15" s="45">
        <f>MIN(VLOOKUP(C15,POs!$B$2:$E$46,4,FALSE))</f>
        <v>3</v>
      </c>
      <c r="I15" s="45">
        <f>(Table1[[#This Row],[Min]]+0.05*Table1[[#This Row],[Min]])</f>
        <v>3.15</v>
      </c>
      <c r="K15" s="39">
        <v>12</v>
      </c>
      <c r="L15" s="40" t="s">
        <v>121</v>
      </c>
      <c r="M15" s="38" t="s">
        <v>124</v>
      </c>
      <c r="N15" t="s">
        <v>34</v>
      </c>
      <c r="O15" s="17">
        <f>MIN(VLOOKUP(M15,POs!$B$2:$E$46,4,FALSE))</f>
        <v>6</v>
      </c>
      <c r="P15" s="17">
        <f>(Table3[[#This Row],[Min]]+0.05*Table3[[#This Row],[Min]])</f>
        <v>6.3</v>
      </c>
    </row>
    <row r="16" spans="1:16" x14ac:dyDescent="0.3">
      <c r="A16">
        <v>13</v>
      </c>
      <c r="B16" t="s">
        <v>121</v>
      </c>
      <c r="C16" t="s">
        <v>124</v>
      </c>
      <c r="D16" t="s">
        <v>125</v>
      </c>
      <c r="E16" t="s">
        <v>34</v>
      </c>
      <c r="F16">
        <f>VLOOKUP(Table1[[#This Row],[Part Number]],'Shelving Inventory list'!$A$2:$C$72,2,FALSE)</f>
        <v>14</v>
      </c>
      <c r="G16" t="str">
        <f>VLOOKUP(Table1[[#This Row],[Part Number]],'Shelving Inventory list'!$A$2:$C$72,3,FALSE)</f>
        <v>B</v>
      </c>
      <c r="H16" s="45">
        <f>MIN(VLOOKUP(C16,POs!$B$2:$E$46,4,FALSE))</f>
        <v>6</v>
      </c>
      <c r="I16" s="45">
        <f>(Table1[[#This Row],[Min]]+0.05*Table1[[#This Row],[Min]])</f>
        <v>6.3</v>
      </c>
      <c r="K16" s="39">
        <v>13</v>
      </c>
      <c r="L16" s="43" t="s">
        <v>121</v>
      </c>
      <c r="M16" s="44" t="s">
        <v>126</v>
      </c>
      <c r="N16" t="s">
        <v>34</v>
      </c>
      <c r="O16" s="15">
        <f>MIN(VLOOKUP(M16,POs!$B$2:$E$46,4,FALSE))</f>
        <v>3</v>
      </c>
      <c r="P16" s="15">
        <f>(Table3[[#This Row],[Min]]+0.05*Table3[[#This Row],[Min]])</f>
        <v>3.15</v>
      </c>
    </row>
    <row r="17" spans="1:16" x14ac:dyDescent="0.3">
      <c r="A17">
        <v>14</v>
      </c>
      <c r="B17" t="s">
        <v>121</v>
      </c>
      <c r="C17" t="s">
        <v>127</v>
      </c>
      <c r="D17" t="s">
        <v>128</v>
      </c>
      <c r="E17" t="s">
        <v>39</v>
      </c>
      <c r="F17">
        <f>VLOOKUP(Table1[[#This Row],[Part Number]],'Shelving Inventory list'!$A$2:$C$72,2,FALSE)</f>
        <v>13</v>
      </c>
      <c r="G17" t="str">
        <f>VLOOKUP(Table1[[#This Row],[Part Number]],'Shelving Inventory list'!$A$2:$C$72,3,FALSE)</f>
        <v>D</v>
      </c>
      <c r="H17" s="45">
        <f>MIN(VLOOKUP(C17,POs!$B$2:$E$46,4,FALSE))</f>
        <v>10</v>
      </c>
      <c r="I17" s="45">
        <f>(Table1[[#This Row],[Min]]+0.05*Table1[[#This Row],[Min]])</f>
        <v>10.5</v>
      </c>
      <c r="K17" s="42" t="s">
        <v>129</v>
      </c>
      <c r="M17" s="41"/>
      <c r="P17" s="17">
        <f>SUBTOTAL(109,Table3[Max])</f>
        <v>104.11484999999999</v>
      </c>
    </row>
    <row r="18" spans="1:16" x14ac:dyDescent="0.3">
      <c r="A18">
        <v>15</v>
      </c>
      <c r="B18" t="s">
        <v>121</v>
      </c>
      <c r="C18" t="s">
        <v>130</v>
      </c>
      <c r="D18" t="s">
        <v>131</v>
      </c>
      <c r="E18" t="s">
        <v>36</v>
      </c>
      <c r="F18">
        <f>VLOOKUP(Table1[[#This Row],[Part Number]],'Shelving Inventory list'!$A$2:$C$72,2,FALSE)</f>
        <v>14</v>
      </c>
      <c r="G18" t="str">
        <f>VLOOKUP(Table1[[#This Row],[Part Number]],'Shelving Inventory list'!$A$2:$C$72,3,FALSE)</f>
        <v>A</v>
      </c>
      <c r="H18" s="45">
        <f>MIN(VLOOKUP(C18,POs!$B$2:$E$46,4,FALSE))</f>
        <v>2</v>
      </c>
      <c r="I18" s="45">
        <f>(Table1[[#This Row],[Min]]+0.05*Table1[[#This Row],[Min]])</f>
        <v>2.1</v>
      </c>
    </row>
    <row r="19" spans="1:16" x14ac:dyDescent="0.3">
      <c r="A19">
        <v>16</v>
      </c>
      <c r="B19" t="s">
        <v>121</v>
      </c>
      <c r="C19" t="s">
        <v>126</v>
      </c>
      <c r="D19" t="s">
        <v>132</v>
      </c>
      <c r="E19" t="s">
        <v>34</v>
      </c>
      <c r="F19">
        <f>VLOOKUP(Table1[[#This Row],[Part Number]],'Shelving Inventory list'!$A$2:$C$72,2,FALSE)</f>
        <v>14</v>
      </c>
      <c r="G19" t="str">
        <f>VLOOKUP(Table1[[#This Row],[Part Number]],'Shelving Inventory list'!$A$2:$C$72,3,FALSE)</f>
        <v>B</v>
      </c>
      <c r="H19" s="45">
        <f>MIN(VLOOKUP(C19,POs!$B$2:$E$46,4,FALSE))</f>
        <v>3</v>
      </c>
      <c r="I19" s="45">
        <f>(Table1[[#This Row],[Min]]+0.05*Table1[[#This Row],[Min]])</f>
        <v>3.15</v>
      </c>
    </row>
    <row r="20" spans="1:16" x14ac:dyDescent="0.3">
      <c r="A20">
        <v>17</v>
      </c>
      <c r="B20" t="s">
        <v>121</v>
      </c>
      <c r="C20" t="s">
        <v>133</v>
      </c>
      <c r="D20" t="s">
        <v>134</v>
      </c>
      <c r="E20" t="s">
        <v>39</v>
      </c>
      <c r="F20">
        <f>VLOOKUP(Table1[[#This Row],[Part Number]],'Shelving Inventory list'!$A$2:$C$72,2,FALSE)</f>
        <v>13</v>
      </c>
      <c r="G20" t="str">
        <f>VLOOKUP(Table1[[#This Row],[Part Number]],'Shelving Inventory list'!$A$2:$C$72,3,FALSE)</f>
        <v>D</v>
      </c>
      <c r="H20" s="45">
        <f>MIN(VLOOKUP(C20,POs!$B$2:$E$46,4,FALSE))</f>
        <v>4</v>
      </c>
      <c r="I20" s="45">
        <f>(Table1[[#This Row],[Min]]+0.05*Table1[[#This Row],[Min]])</f>
        <v>4.2</v>
      </c>
    </row>
    <row r="22" spans="1:16" x14ac:dyDescent="0.3">
      <c r="K22" t="s">
        <v>135</v>
      </c>
      <c r="O22" t="s">
        <v>79</v>
      </c>
    </row>
    <row r="23" spans="1:16" x14ac:dyDescent="0.3">
      <c r="K23" s="46" t="s">
        <v>81</v>
      </c>
      <c r="L23" s="46" t="s">
        <v>83</v>
      </c>
      <c r="M23" s="46" t="s">
        <v>84</v>
      </c>
      <c r="N23" s="46" t="s">
        <v>85</v>
      </c>
      <c r="O23" s="46" t="s">
        <v>88</v>
      </c>
      <c r="P23" s="47" t="s">
        <v>89</v>
      </c>
    </row>
    <row r="24" spans="1:16" x14ac:dyDescent="0.3">
      <c r="A24" t="s">
        <v>136</v>
      </c>
      <c r="K24" s="38">
        <v>1</v>
      </c>
      <c r="L24" s="38" t="s">
        <v>90</v>
      </c>
      <c r="M24" s="38" t="s">
        <v>91</v>
      </c>
      <c r="N24" t="s">
        <v>93</v>
      </c>
      <c r="O24" s="17">
        <f>MIN(VLOOKUP(M24,POs!$B$1:$E$46,4,FALSE))</f>
        <v>6.6059999999999999</v>
      </c>
      <c r="P24" s="17">
        <f>(Table4[[#This Row],[Min]]+0.05*Table4[[#This Row],[Min]])</f>
        <v>6.9363000000000001</v>
      </c>
    </row>
    <row r="25" spans="1:16" x14ac:dyDescent="0.3">
      <c r="K25" s="40">
        <v>2</v>
      </c>
      <c r="L25" s="40" t="s">
        <v>90</v>
      </c>
      <c r="M25" s="40" t="s">
        <v>94</v>
      </c>
      <c r="N25" t="s">
        <v>93</v>
      </c>
      <c r="O25" s="17">
        <f>MIN(VLOOKUP(M25,POs!$B$1:$E$46,4,FALSE))</f>
        <v>8.1000000000000003E-2</v>
      </c>
      <c r="P25" s="17">
        <f>(Table4[[#This Row],[Min]]+0.05*Table4[[#This Row],[Min]])</f>
        <v>8.5050000000000001E-2</v>
      </c>
    </row>
    <row r="26" spans="1:16" x14ac:dyDescent="0.3">
      <c r="K26" s="38">
        <v>3</v>
      </c>
      <c r="L26" s="38" t="s">
        <v>96</v>
      </c>
      <c r="M26" s="38" t="s">
        <v>97</v>
      </c>
      <c r="N26" t="s">
        <v>93</v>
      </c>
      <c r="O26" s="17">
        <f>MIN(VLOOKUP(M26,POs!$B$1:$E$46,4,FALSE))</f>
        <v>17.420000000000002</v>
      </c>
      <c r="P26" s="17">
        <f>(Table4[[#This Row],[Min]]+0.05*Table4[[#This Row],[Min]])</f>
        <v>18.291</v>
      </c>
    </row>
    <row r="27" spans="1:16" x14ac:dyDescent="0.3">
      <c r="K27" s="40">
        <v>4</v>
      </c>
      <c r="L27" s="40" t="s">
        <v>99</v>
      </c>
      <c r="M27" s="40" t="s">
        <v>100</v>
      </c>
      <c r="N27" t="s">
        <v>93</v>
      </c>
      <c r="O27" s="17">
        <f>MIN(VLOOKUP(M27,POs!$B$1:$E$46,4,FALSE))</f>
        <v>14.99</v>
      </c>
      <c r="P27" s="17">
        <f>(Table4[[#This Row],[Min]]+0.05*Table4[[#This Row],[Min]])</f>
        <v>15.7395</v>
      </c>
    </row>
    <row r="28" spans="1:16" x14ac:dyDescent="0.3">
      <c r="K28" s="38">
        <v>5</v>
      </c>
      <c r="L28" s="38" t="s">
        <v>102</v>
      </c>
      <c r="M28" s="38" t="s">
        <v>103</v>
      </c>
      <c r="N28" t="s">
        <v>93</v>
      </c>
      <c r="O28" s="17">
        <f>MIN(VLOOKUP(M28,POs!$B$1:$E$46,4,FALSE))</f>
        <v>4.1500000000000004</v>
      </c>
      <c r="P28" s="17">
        <f>(Table4[[#This Row],[Min]]+0.05*Table4[[#This Row],[Min]])</f>
        <v>4.3574999999999999</v>
      </c>
    </row>
    <row r="29" spans="1:16" x14ac:dyDescent="0.3">
      <c r="K29" s="40">
        <v>6</v>
      </c>
      <c r="L29" s="40" t="s">
        <v>102</v>
      </c>
      <c r="M29" s="40" t="s">
        <v>105</v>
      </c>
      <c r="N29" t="s">
        <v>93</v>
      </c>
      <c r="O29" s="17">
        <f>MIN(VLOOKUP(M29,POs!$B$1:$E$46,4,FALSE))</f>
        <v>1.88</v>
      </c>
      <c r="P29" s="17">
        <f>(Table4[[#This Row],[Min]]+0.05*Table4[[#This Row],[Min]])</f>
        <v>1.974</v>
      </c>
    </row>
    <row r="30" spans="1:16" x14ac:dyDescent="0.3">
      <c r="K30" s="38">
        <v>7</v>
      </c>
      <c r="L30" s="38" t="s">
        <v>107</v>
      </c>
      <c r="M30" s="38" t="s">
        <v>108</v>
      </c>
      <c r="N30" t="s">
        <v>93</v>
      </c>
      <c r="O30" s="17">
        <f>MIN(VLOOKUP(M30,POs!$B$1:$E$46,4,FALSE))</f>
        <v>0.56999999999999995</v>
      </c>
      <c r="P30" s="17">
        <f>(Table4[[#This Row],[Min]]+0.05*Table4[[#This Row],[Min]])</f>
        <v>0.59849999999999992</v>
      </c>
    </row>
    <row r="31" spans="1:16" x14ac:dyDescent="0.3">
      <c r="K31" s="40">
        <v>8</v>
      </c>
      <c r="L31" s="40" t="s">
        <v>107</v>
      </c>
      <c r="M31" s="40" t="s">
        <v>110</v>
      </c>
      <c r="N31" t="s">
        <v>93</v>
      </c>
      <c r="O31" s="17">
        <f>MIN(VLOOKUP(M31,POs!$B$1:$E$46,4,FALSE))</f>
        <v>0.31</v>
      </c>
      <c r="P31" s="17">
        <f>(Table4[[#This Row],[Min]]+0.05*Table4[[#This Row],[Min]])</f>
        <v>0.32550000000000001</v>
      </c>
    </row>
    <row r="32" spans="1:16" x14ac:dyDescent="0.3">
      <c r="K32" s="38">
        <v>9</v>
      </c>
      <c r="L32" s="38" t="s">
        <v>112</v>
      </c>
      <c r="M32" s="38" t="s">
        <v>113</v>
      </c>
      <c r="N32" t="s">
        <v>93</v>
      </c>
      <c r="O32" s="17">
        <f>MIN(VLOOKUP(M32,POs!$B$1:$E$46,4,FALSE))</f>
        <v>38.15</v>
      </c>
      <c r="P32" s="17">
        <f>(Table4[[#This Row],[Min]]+0.05*Table4[[#This Row],[Min]])</f>
        <v>40.057499999999997</v>
      </c>
    </row>
    <row r="33" spans="11:16" x14ac:dyDescent="0.3">
      <c r="K33" s="40">
        <v>10</v>
      </c>
      <c r="L33" s="40" t="s">
        <v>115</v>
      </c>
      <c r="M33" s="40" t="s">
        <v>116</v>
      </c>
      <c r="N33" t="s">
        <v>93</v>
      </c>
      <c r="O33" s="17">
        <f>MIN(VLOOKUP(M33,POs!$B$1:$E$46,4,FALSE))</f>
        <v>4</v>
      </c>
      <c r="P33" s="17">
        <f>(Table4[[#This Row],[Min]]+0.05*Table4[[#This Row],[Min]])</f>
        <v>4.2</v>
      </c>
    </row>
    <row r="34" spans="11:16" x14ac:dyDescent="0.3">
      <c r="K34" s="38">
        <v>11</v>
      </c>
      <c r="L34" s="38" t="s">
        <v>118</v>
      </c>
      <c r="M34" s="38" t="s">
        <v>119</v>
      </c>
      <c r="N34" t="s">
        <v>93</v>
      </c>
      <c r="O34" s="17">
        <f>MIN(VLOOKUP(M34,POs!$B$1:$E$46,4,FALSE))</f>
        <v>2</v>
      </c>
      <c r="P34" s="17">
        <f>(Table4[[#This Row],[Min]]+0.05*Table4[[#This Row],[Min]])</f>
        <v>2.1</v>
      </c>
    </row>
    <row r="35" spans="11:16" x14ac:dyDescent="0.3">
      <c r="K35" s="40">
        <v>12</v>
      </c>
      <c r="L35" s="40" t="s">
        <v>121</v>
      </c>
      <c r="M35" s="40" t="s">
        <v>122</v>
      </c>
      <c r="N35" t="s">
        <v>36</v>
      </c>
      <c r="O35" s="17">
        <f>MIN(VLOOKUP(M35,POs!$B$1:$E$46,4,FALSE))</f>
        <v>3</v>
      </c>
      <c r="P35" s="17">
        <f>(Table4[[#This Row],[Min]]+0.05*Table4[[#This Row],[Min]])</f>
        <v>3.15</v>
      </c>
    </row>
    <row r="36" spans="11:16" x14ac:dyDescent="0.3">
      <c r="K36" s="38">
        <v>13</v>
      </c>
      <c r="L36" s="38" t="s">
        <v>121</v>
      </c>
      <c r="M36" s="38" t="s">
        <v>130</v>
      </c>
      <c r="N36" t="s">
        <v>36</v>
      </c>
      <c r="O36" s="17">
        <f>MIN(VLOOKUP(M36,POs!$B$1:$E$46,4,FALSE))</f>
        <v>2</v>
      </c>
      <c r="P36" s="17">
        <f>(Table4[[#This Row],[Min]]+0.05*Table4[[#This Row],[Min]])</f>
        <v>2.1</v>
      </c>
    </row>
    <row r="37" spans="11:16" x14ac:dyDescent="0.3">
      <c r="K37" s="41" t="s">
        <v>129</v>
      </c>
      <c r="L37" s="41"/>
      <c r="M37" s="41"/>
      <c r="P37" s="17">
        <f>SUBTOTAL(109,Table4[Max])</f>
        <v>99.914849999999987</v>
      </c>
    </row>
    <row r="40" spans="11:16" x14ac:dyDescent="0.3">
      <c r="K40" t="s">
        <v>137</v>
      </c>
      <c r="O40" t="s">
        <v>79</v>
      </c>
    </row>
    <row r="41" spans="11:16" x14ac:dyDescent="0.3">
      <c r="K41" s="46" t="s">
        <v>81</v>
      </c>
      <c r="L41" s="46" t="s">
        <v>83</v>
      </c>
      <c r="M41" s="46" t="s">
        <v>84</v>
      </c>
      <c r="N41" s="46" t="s">
        <v>85</v>
      </c>
      <c r="O41" s="46" t="s">
        <v>88</v>
      </c>
      <c r="P41" s="47" t="s">
        <v>89</v>
      </c>
    </row>
    <row r="42" spans="11:16" x14ac:dyDescent="0.3">
      <c r="K42" s="38">
        <v>1</v>
      </c>
      <c r="L42" s="38" t="s">
        <v>90</v>
      </c>
      <c r="M42" s="38" t="s">
        <v>91</v>
      </c>
      <c r="N42" t="s">
        <v>93</v>
      </c>
      <c r="O42" s="17">
        <f>MIN(VLOOKUP(M42,POs!$B$2:$E$46,4,FALSE))</f>
        <v>6.6059999999999999</v>
      </c>
      <c r="P42" s="17">
        <f>(Table5[[#This Row],[Min]]+0.05*Table5[[#This Row],[Min]])</f>
        <v>6.9363000000000001</v>
      </c>
    </row>
    <row r="43" spans="11:16" x14ac:dyDescent="0.3">
      <c r="K43" s="40">
        <v>2</v>
      </c>
      <c r="L43" s="40" t="s">
        <v>90</v>
      </c>
      <c r="M43" s="40" t="s">
        <v>94</v>
      </c>
      <c r="N43" t="s">
        <v>93</v>
      </c>
      <c r="O43" s="17">
        <f>MIN(VLOOKUP(M43,POs!$B$2:$E$46,4,FALSE))</f>
        <v>8.1000000000000003E-2</v>
      </c>
      <c r="P43" s="17">
        <f>(Table5[[#This Row],[Min]]+0.05*Table5[[#This Row],[Min]])</f>
        <v>8.5050000000000001E-2</v>
      </c>
    </row>
    <row r="44" spans="11:16" x14ac:dyDescent="0.3">
      <c r="K44" s="38">
        <v>3</v>
      </c>
      <c r="L44" s="38" t="s">
        <v>96</v>
      </c>
      <c r="M44" s="38" t="s">
        <v>97</v>
      </c>
      <c r="N44" t="s">
        <v>93</v>
      </c>
      <c r="O44" s="17">
        <f>MIN(VLOOKUP(M44,POs!$B$2:$E$46,4,FALSE))</f>
        <v>17.420000000000002</v>
      </c>
      <c r="P44" s="17">
        <f>(Table5[[#This Row],[Min]]+0.05*Table5[[#This Row],[Min]])</f>
        <v>18.291</v>
      </c>
    </row>
    <row r="45" spans="11:16" x14ac:dyDescent="0.3">
      <c r="K45" s="40">
        <v>4</v>
      </c>
      <c r="L45" s="40" t="s">
        <v>99</v>
      </c>
      <c r="M45" s="40" t="s">
        <v>100</v>
      </c>
      <c r="N45" t="s">
        <v>93</v>
      </c>
      <c r="O45" s="17">
        <f>MIN(VLOOKUP(M45,POs!$B$2:$E$46,4,FALSE))</f>
        <v>14.99</v>
      </c>
      <c r="P45" s="17">
        <f>(Table5[[#This Row],[Min]]+0.05*Table5[[#This Row],[Min]])</f>
        <v>15.7395</v>
      </c>
    </row>
    <row r="46" spans="11:16" x14ac:dyDescent="0.3">
      <c r="K46" s="38">
        <v>5</v>
      </c>
      <c r="L46" s="38" t="s">
        <v>102</v>
      </c>
      <c r="M46" s="38" t="s">
        <v>103</v>
      </c>
      <c r="N46" t="s">
        <v>93</v>
      </c>
      <c r="O46" s="17">
        <f>MIN(VLOOKUP(M46,POs!$B$2:$E$46,4,FALSE))</f>
        <v>4.1500000000000004</v>
      </c>
      <c r="P46" s="17">
        <f>(Table5[[#This Row],[Min]]+0.05*Table5[[#This Row],[Min]])</f>
        <v>4.3574999999999999</v>
      </c>
    </row>
    <row r="47" spans="11:16" x14ac:dyDescent="0.3">
      <c r="K47" s="40">
        <v>6</v>
      </c>
      <c r="L47" s="40" t="s">
        <v>102</v>
      </c>
      <c r="M47" s="40" t="s">
        <v>105</v>
      </c>
      <c r="N47" t="s">
        <v>93</v>
      </c>
      <c r="O47" s="17">
        <f>MIN(VLOOKUP(M47,POs!$B$2:$E$46,4,FALSE))</f>
        <v>1.88</v>
      </c>
      <c r="P47" s="17">
        <f>(Table5[[#This Row],[Min]]+0.05*Table5[[#This Row],[Min]])</f>
        <v>1.974</v>
      </c>
    </row>
    <row r="48" spans="11:16" x14ac:dyDescent="0.3">
      <c r="K48" s="38">
        <v>7</v>
      </c>
      <c r="L48" s="38" t="s">
        <v>107</v>
      </c>
      <c r="M48" s="38" t="s">
        <v>108</v>
      </c>
      <c r="N48" t="s">
        <v>93</v>
      </c>
      <c r="O48" s="17">
        <f>MIN(VLOOKUP(M48,POs!$B$2:$E$46,4,FALSE))</f>
        <v>0.56999999999999995</v>
      </c>
      <c r="P48" s="17">
        <f>(Table5[[#This Row],[Min]]+0.05*Table5[[#This Row],[Min]])</f>
        <v>0.59849999999999992</v>
      </c>
    </row>
    <row r="49" spans="11:16" x14ac:dyDescent="0.3">
      <c r="K49" s="40">
        <v>8</v>
      </c>
      <c r="L49" s="40" t="s">
        <v>107</v>
      </c>
      <c r="M49" s="40" t="s">
        <v>110</v>
      </c>
      <c r="N49" t="s">
        <v>93</v>
      </c>
      <c r="O49" s="17">
        <f>MIN(VLOOKUP(M49,POs!$B$2:$E$46,4,FALSE))</f>
        <v>0.31</v>
      </c>
      <c r="P49" s="17">
        <f>(Table5[[#This Row],[Min]]+0.05*Table5[[#This Row],[Min]])</f>
        <v>0.32550000000000001</v>
      </c>
    </row>
    <row r="50" spans="11:16" x14ac:dyDescent="0.3">
      <c r="K50" s="38">
        <v>9</v>
      </c>
      <c r="L50" s="38" t="s">
        <v>112</v>
      </c>
      <c r="M50" s="38" t="s">
        <v>113</v>
      </c>
      <c r="N50" t="s">
        <v>93</v>
      </c>
      <c r="O50" s="17">
        <f>MIN(VLOOKUP(M50,POs!$B$2:$E$46,4,FALSE))</f>
        <v>38.15</v>
      </c>
      <c r="P50" s="17">
        <f>(Table5[[#This Row],[Min]]+0.05*Table5[[#This Row],[Min]])</f>
        <v>40.057499999999997</v>
      </c>
    </row>
    <row r="51" spans="11:16" x14ac:dyDescent="0.3">
      <c r="K51" s="40">
        <v>10</v>
      </c>
      <c r="L51" s="40" t="s">
        <v>115</v>
      </c>
      <c r="M51" s="40" t="s">
        <v>116</v>
      </c>
      <c r="N51" t="s">
        <v>93</v>
      </c>
      <c r="O51" s="17">
        <f>MIN(VLOOKUP(M51,POs!$B$2:$E$46,4,FALSE))</f>
        <v>4</v>
      </c>
      <c r="P51" s="17">
        <f>(Table5[[#This Row],[Min]]+0.05*Table5[[#This Row],[Min]])</f>
        <v>4.2</v>
      </c>
    </row>
    <row r="52" spans="11:16" x14ac:dyDescent="0.3">
      <c r="K52" s="38">
        <v>11</v>
      </c>
      <c r="L52" s="38" t="s">
        <v>118</v>
      </c>
      <c r="M52" s="38" t="s">
        <v>119</v>
      </c>
      <c r="N52" t="s">
        <v>93</v>
      </c>
      <c r="O52" s="17">
        <f>MIN(VLOOKUP(M52,POs!$B$2:$E$46,4,FALSE))</f>
        <v>2</v>
      </c>
      <c r="P52" s="17">
        <f>(Table5[[#This Row],[Min]]+0.05*Table5[[#This Row],[Min]])</f>
        <v>2.1</v>
      </c>
    </row>
    <row r="53" spans="11:16" x14ac:dyDescent="0.3">
      <c r="K53" s="40">
        <v>12</v>
      </c>
      <c r="L53" s="40" t="s">
        <v>121</v>
      </c>
      <c r="M53" s="40" t="s">
        <v>127</v>
      </c>
      <c r="N53" t="s">
        <v>39</v>
      </c>
      <c r="O53" s="17">
        <f>MIN(VLOOKUP(M53,POs!$B$2:$E$46,4,FALSE))</f>
        <v>10</v>
      </c>
      <c r="P53" s="17">
        <f>(Table5[[#This Row],[Min]]+0.05*Table5[[#This Row],[Min]])</f>
        <v>10.5</v>
      </c>
    </row>
    <row r="54" spans="11:16" x14ac:dyDescent="0.3">
      <c r="K54" s="38">
        <v>13</v>
      </c>
      <c r="L54" s="38" t="s">
        <v>121</v>
      </c>
      <c r="M54" s="38" t="s">
        <v>133</v>
      </c>
      <c r="N54" t="s">
        <v>39</v>
      </c>
      <c r="O54" s="17">
        <f>MIN(VLOOKUP(M54,POs!$B$2:$E$46,4,FALSE))</f>
        <v>4</v>
      </c>
      <c r="P54" s="17">
        <f>(Table5[[#This Row],[Min]]+0.05*Table5[[#This Row],[Min]])</f>
        <v>4.2</v>
      </c>
    </row>
    <row r="55" spans="11:16" x14ac:dyDescent="0.3">
      <c r="K55" s="41" t="s">
        <v>129</v>
      </c>
      <c r="L55" s="41"/>
      <c r="M55" s="41"/>
      <c r="P55" s="17">
        <f>SUBTOTAL(109,Table5[Max])</f>
        <v>109.36484999999999</v>
      </c>
    </row>
  </sheetData>
  <pageMargins left="0.7" right="0.7" top="0.75" bottom="0.75" header="0.3" footer="0.3"/>
  <pageSetup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4D45-3C24-44C3-874D-4E2DD4F736A5}">
  <dimension ref="A2:O53"/>
  <sheetViews>
    <sheetView topLeftCell="A24" workbookViewId="0">
      <selection activeCell="B31" sqref="B31:L43"/>
    </sheetView>
  </sheetViews>
  <sheetFormatPr defaultRowHeight="14.4" x14ac:dyDescent="0.3"/>
  <cols>
    <col min="1" max="1" width="3.33203125" customWidth="1"/>
    <col min="2" max="2" width="12.109375" customWidth="1"/>
    <col min="4" max="4" width="15.5546875" bestFit="1" customWidth="1"/>
    <col min="5" max="5" width="21.33203125" customWidth="1"/>
    <col min="6" max="6" width="8.88671875" customWidth="1"/>
    <col min="7" max="7" width="10.109375" customWidth="1"/>
    <col min="8" max="8" width="11.5546875" customWidth="1"/>
    <col min="9" max="9" width="10.88671875" customWidth="1"/>
    <col min="10" max="10" width="15.5546875" customWidth="1"/>
    <col min="11" max="11" width="11.109375" customWidth="1"/>
    <col min="12" max="12" width="11.44140625" customWidth="1"/>
  </cols>
  <sheetData>
    <row r="2" spans="1:15" x14ac:dyDescent="0.3">
      <c r="A2" t="s">
        <v>138</v>
      </c>
    </row>
    <row r="3" spans="1:15" x14ac:dyDescent="0.3">
      <c r="B3" t="s">
        <v>139</v>
      </c>
    </row>
    <row r="5" spans="1:15" x14ac:dyDescent="0.3">
      <c r="A5" t="s">
        <v>140</v>
      </c>
      <c r="C5" t="s">
        <v>141</v>
      </c>
      <c r="H5" s="14" t="s">
        <v>142</v>
      </c>
      <c r="I5" t="s">
        <v>84</v>
      </c>
      <c r="L5" t="s">
        <v>143</v>
      </c>
      <c r="M5" t="s">
        <v>144</v>
      </c>
    </row>
    <row r="6" spans="1:15" x14ac:dyDescent="0.3">
      <c r="B6">
        <v>1</v>
      </c>
      <c r="C6" t="s">
        <v>145</v>
      </c>
      <c r="L6" s="20">
        <v>1.1000000000000001</v>
      </c>
      <c r="N6" t="s">
        <v>146</v>
      </c>
      <c r="O6" t="s">
        <v>147</v>
      </c>
    </row>
    <row r="7" spans="1:15" x14ac:dyDescent="0.3">
      <c r="H7">
        <v>1</v>
      </c>
      <c r="I7" s="20">
        <v>1.1000000000000001</v>
      </c>
      <c r="J7" t="s">
        <v>146</v>
      </c>
      <c r="L7" t="s">
        <v>148</v>
      </c>
    </row>
    <row r="8" spans="1:15" x14ac:dyDescent="0.3">
      <c r="H8">
        <v>2</v>
      </c>
      <c r="I8" s="20">
        <v>1.1499999999999999</v>
      </c>
      <c r="J8" t="s">
        <v>146</v>
      </c>
    </row>
    <row r="9" spans="1:15" x14ac:dyDescent="0.3">
      <c r="H9">
        <v>3</v>
      </c>
      <c r="I9" s="20">
        <v>1.2</v>
      </c>
      <c r="J9" t="s">
        <v>146</v>
      </c>
    </row>
    <row r="11" spans="1:15" x14ac:dyDescent="0.3">
      <c r="B11">
        <v>2</v>
      </c>
      <c r="C11" t="s">
        <v>149</v>
      </c>
      <c r="L11" s="20">
        <v>1.8</v>
      </c>
      <c r="N11" t="s">
        <v>146</v>
      </c>
      <c r="O11" t="s">
        <v>150</v>
      </c>
    </row>
    <row r="12" spans="1:15" x14ac:dyDescent="0.3">
      <c r="H12">
        <v>1</v>
      </c>
      <c r="I12" s="20">
        <v>1.8</v>
      </c>
      <c r="J12" t="s">
        <v>146</v>
      </c>
      <c r="L12" t="s">
        <v>148</v>
      </c>
    </row>
    <row r="13" spans="1:15" x14ac:dyDescent="0.3">
      <c r="H13">
        <v>2</v>
      </c>
      <c r="I13" s="20">
        <v>1.9</v>
      </c>
      <c r="J13" t="s">
        <v>146</v>
      </c>
    </row>
    <row r="14" spans="1:15" x14ac:dyDescent="0.3">
      <c r="H14">
        <v>3</v>
      </c>
      <c r="I14" s="20">
        <v>1.95</v>
      </c>
      <c r="J14" t="s">
        <v>146</v>
      </c>
    </row>
    <row r="16" spans="1:15" x14ac:dyDescent="0.3">
      <c r="B16">
        <v>3</v>
      </c>
      <c r="C16" t="s">
        <v>151</v>
      </c>
    </row>
    <row r="17" spans="1:13" x14ac:dyDescent="0.3">
      <c r="H17">
        <v>1</v>
      </c>
      <c r="I17" s="20">
        <v>8</v>
      </c>
      <c r="J17" t="s">
        <v>152</v>
      </c>
    </row>
    <row r="18" spans="1:13" x14ac:dyDescent="0.3">
      <c r="H18">
        <v>2</v>
      </c>
      <c r="I18" s="20">
        <v>10</v>
      </c>
      <c r="J18" t="s">
        <v>152</v>
      </c>
    </row>
    <row r="20" spans="1:13" x14ac:dyDescent="0.3">
      <c r="A20" t="s">
        <v>153</v>
      </c>
    </row>
    <row r="21" spans="1:13" x14ac:dyDescent="0.3">
      <c r="B21">
        <v>1</v>
      </c>
      <c r="C21" t="s">
        <v>154</v>
      </c>
      <c r="E21" s="20" t="s">
        <v>155</v>
      </c>
    </row>
    <row r="22" spans="1:13" x14ac:dyDescent="0.3">
      <c r="C22" s="53" t="s">
        <v>156</v>
      </c>
      <c r="E22" s="20" t="s">
        <v>157</v>
      </c>
    </row>
    <row r="23" spans="1:13" x14ac:dyDescent="0.3">
      <c r="C23" s="53" t="s">
        <v>158</v>
      </c>
      <c r="E23" s="13"/>
      <c r="H23" s="20" t="s">
        <v>159</v>
      </c>
    </row>
    <row r="24" spans="1:13" x14ac:dyDescent="0.3">
      <c r="C24" t="s">
        <v>160</v>
      </c>
    </row>
    <row r="25" spans="1:13" x14ac:dyDescent="0.3">
      <c r="C25" s="12" t="s">
        <v>161</v>
      </c>
    </row>
    <row r="27" spans="1:13" x14ac:dyDescent="0.3">
      <c r="A27" t="s">
        <v>162</v>
      </c>
    </row>
    <row r="29" spans="1:13" x14ac:dyDescent="0.3">
      <c r="C29" t="s">
        <v>163</v>
      </c>
      <c r="G29" t="s">
        <v>164</v>
      </c>
      <c r="H29" s="12" t="s">
        <v>165</v>
      </c>
      <c r="K29" t="s">
        <v>166</v>
      </c>
    </row>
    <row r="30" spans="1:13" x14ac:dyDescent="0.3">
      <c r="B30" t="s">
        <v>167</v>
      </c>
      <c r="C30" t="s">
        <v>168</v>
      </c>
      <c r="D30" t="s">
        <v>169</v>
      </c>
      <c r="E30" t="s">
        <v>86</v>
      </c>
      <c r="F30" t="s">
        <v>87</v>
      </c>
      <c r="G30" t="s">
        <v>170</v>
      </c>
      <c r="H30" t="s">
        <v>171</v>
      </c>
      <c r="I30" t="s">
        <v>172</v>
      </c>
      <c r="J30" t="s">
        <v>173</v>
      </c>
      <c r="K30" t="s">
        <v>174</v>
      </c>
      <c r="L30" t="s">
        <v>175</v>
      </c>
    </row>
    <row r="31" spans="1:13" x14ac:dyDescent="0.3">
      <c r="B31" s="106">
        <v>4</v>
      </c>
      <c r="C31" s="106">
        <v>1</v>
      </c>
      <c r="D31" s="107" t="s">
        <v>91</v>
      </c>
      <c r="E31" s="107">
        <f>VLOOKUP(Table6[[#This Row],[Part '#]],Table1[[Part Number]:[Shelf]],4,FALSE)</f>
        <v>10</v>
      </c>
      <c r="F31" s="107" t="str">
        <f>VLOOKUP(Table6[[#This Row],[Part '#]],Table1[[Part Number]:[Bay]],5,FALSE)</f>
        <v>C</v>
      </c>
      <c r="G31" s="107">
        <v>4.7</v>
      </c>
      <c r="H31" s="107">
        <v>4.2729999999999997</v>
      </c>
      <c r="I31" s="107">
        <v>2.6110000000000002</v>
      </c>
      <c r="J31" s="107">
        <v>8</v>
      </c>
      <c r="K31" s="107">
        <f>Table6[[#This Row],[Slow Walk]]+Table6[[#This Row],[Pick from Shelf]]</f>
        <v>12.273</v>
      </c>
      <c r="L31" s="112">
        <f>Table6[[#This Row],[Fast Walk]]+Table6[[#This Row],[Pick from Shelf]]</f>
        <v>10.611000000000001</v>
      </c>
      <c r="M31" s="61"/>
    </row>
    <row r="32" spans="1:13" x14ac:dyDescent="0.3">
      <c r="B32" s="109">
        <v>5</v>
      </c>
      <c r="C32" s="109">
        <v>2</v>
      </c>
      <c r="D32" s="110" t="s">
        <v>94</v>
      </c>
      <c r="E32" s="107">
        <f>VLOOKUP(Table6[[#This Row],[Part '#]],Table1[[Part Number]:[Shelf]],4,FALSE)</f>
        <v>10</v>
      </c>
      <c r="F32" s="107" t="str">
        <f>VLOOKUP(Table6[[#This Row],[Part '#]],Table1[[Part Number]:[Bay]],5,FALSE)</f>
        <v>E</v>
      </c>
      <c r="G32" s="110">
        <v>4.7</v>
      </c>
      <c r="H32" s="110">
        <v>4.2729999999999997</v>
      </c>
      <c r="I32" s="110">
        <v>2.6110000000000002</v>
      </c>
      <c r="J32" s="110">
        <v>8</v>
      </c>
      <c r="K32" s="110">
        <f>K31+Table6[[#This Row],[Slow Walk]]+Table6[[#This Row],[Pick from Shelf]]</f>
        <v>24.545999999999999</v>
      </c>
      <c r="L32" s="113">
        <f>L31+Table6[[#This Row],[Fast Walk]]+Table6[[#This Row],[Pick from Shelf]]</f>
        <v>21.222000000000001</v>
      </c>
      <c r="M32" s="61"/>
    </row>
    <row r="33" spans="2:13" x14ac:dyDescent="0.3">
      <c r="B33" s="106">
        <v>12</v>
      </c>
      <c r="C33" s="106">
        <v>3</v>
      </c>
      <c r="D33" s="107" t="s">
        <v>97</v>
      </c>
      <c r="E33" s="107">
        <f>VLOOKUP(Table6[[#This Row],[Part '#]],Table1[[Part Number]:[Shelf]],4,FALSE)</f>
        <v>2</v>
      </c>
      <c r="F33" s="107" t="str">
        <f>VLOOKUP(Table6[[#This Row],[Part '#]],Table1[[Part Number]:[Bay]],5,FALSE)</f>
        <v>A</v>
      </c>
      <c r="G33" s="107">
        <v>3.69</v>
      </c>
      <c r="H33" s="107">
        <v>3.355</v>
      </c>
      <c r="I33" s="107">
        <v>2.0499999999999998</v>
      </c>
      <c r="J33" s="107">
        <v>8</v>
      </c>
      <c r="K33" s="110">
        <f>K32+Table6[[#This Row],[Slow Walk]]+Table6[[#This Row],[Pick from Shelf]]</f>
        <v>35.900999999999996</v>
      </c>
      <c r="L33" s="113">
        <f>L32+Table6[[#This Row],[Fast Walk]]+Table6[[#This Row],[Pick from Shelf]]</f>
        <v>31.272000000000002</v>
      </c>
      <c r="M33" s="61"/>
    </row>
    <row r="34" spans="2:13" x14ac:dyDescent="0.3">
      <c r="B34" s="109">
        <v>10</v>
      </c>
      <c r="C34" s="109">
        <v>4</v>
      </c>
      <c r="D34" s="110" t="s">
        <v>100</v>
      </c>
      <c r="E34" s="107">
        <f>VLOOKUP(Table6[[#This Row],[Part '#]],Table1[[Part Number]:[Shelf]],4,FALSE)</f>
        <v>4</v>
      </c>
      <c r="F34" s="107" t="str">
        <f>VLOOKUP(Table6[[#This Row],[Part '#]],Table1[[Part Number]:[Bay]],5,FALSE)</f>
        <v>D</v>
      </c>
      <c r="G34" s="110">
        <v>2.1800000000000002</v>
      </c>
      <c r="H34" s="110">
        <v>1.982</v>
      </c>
      <c r="I34" s="110">
        <v>1.2110000000000001</v>
      </c>
      <c r="J34" s="110">
        <v>8</v>
      </c>
      <c r="K34" s="110">
        <f>K33+Table6[[#This Row],[Slow Walk]]+Table6[[#This Row],[Pick from Shelf]]</f>
        <v>45.882999999999996</v>
      </c>
      <c r="L34" s="113">
        <f>L33+Table6[[#This Row],[Fast Walk]]+Table6[[#This Row],[Pick from Shelf]]</f>
        <v>40.483000000000004</v>
      </c>
      <c r="M34" s="61"/>
    </row>
    <row r="35" spans="2:13" x14ac:dyDescent="0.3">
      <c r="B35" s="106">
        <v>9</v>
      </c>
      <c r="C35" s="106">
        <v>5</v>
      </c>
      <c r="D35" s="107" t="s">
        <v>103</v>
      </c>
      <c r="E35" s="107">
        <f>VLOOKUP(Table6[[#This Row],[Part '#]],Table1[[Part Number]:[Shelf]],4,FALSE)</f>
        <v>5</v>
      </c>
      <c r="F35" s="107" t="str">
        <f>VLOOKUP(Table6[[#This Row],[Part '#]],Table1[[Part Number]:[Bay]],5,FALSE)</f>
        <v>E</v>
      </c>
      <c r="G35" s="107">
        <v>3.23</v>
      </c>
      <c r="H35" s="107">
        <v>2.9359999999999999</v>
      </c>
      <c r="I35" s="107">
        <v>1.794</v>
      </c>
      <c r="J35" s="107">
        <v>8</v>
      </c>
      <c r="K35" s="110">
        <f>K34+Table6[[#This Row],[Slow Walk]]+Table6[[#This Row],[Pick from Shelf]]</f>
        <v>56.818999999999996</v>
      </c>
      <c r="L35" s="113">
        <f>L34+Table6[[#This Row],[Fast Walk]]+Table6[[#This Row],[Pick from Shelf]]</f>
        <v>50.277000000000001</v>
      </c>
      <c r="M35" s="61"/>
    </row>
    <row r="36" spans="2:13" x14ac:dyDescent="0.3">
      <c r="B36" s="109">
        <v>8</v>
      </c>
      <c r="C36" s="109">
        <v>6</v>
      </c>
      <c r="D36" s="110" t="s">
        <v>105</v>
      </c>
      <c r="E36" s="107">
        <f>VLOOKUP(Table6[[#This Row],[Part '#]],Table1[[Part Number]:[Shelf]],4,FALSE)</f>
        <v>6</v>
      </c>
      <c r="F36" s="107" t="str">
        <f>VLOOKUP(Table6[[#This Row],[Part '#]],Table1[[Part Number]:[Bay]],5,FALSE)</f>
        <v>B</v>
      </c>
      <c r="G36" s="110">
        <v>2.76</v>
      </c>
      <c r="H36" s="110">
        <v>2.5089999999999999</v>
      </c>
      <c r="I36" s="110">
        <v>1.5329999999999999</v>
      </c>
      <c r="J36" s="110">
        <v>8</v>
      </c>
      <c r="K36" s="110">
        <f>K35+Table6[[#This Row],[Slow Walk]]+Table6[[#This Row],[Pick from Shelf]]</f>
        <v>67.328000000000003</v>
      </c>
      <c r="L36" s="113">
        <f>L35+Table6[[#This Row],[Fast Walk]]+Table6[[#This Row],[Pick from Shelf]]</f>
        <v>59.81</v>
      </c>
      <c r="M36" s="61"/>
    </row>
    <row r="37" spans="2:13" x14ac:dyDescent="0.3">
      <c r="B37" s="106">
        <v>6</v>
      </c>
      <c r="C37" s="106">
        <v>7</v>
      </c>
      <c r="D37" s="107" t="s">
        <v>108</v>
      </c>
      <c r="E37" s="107">
        <f>VLOOKUP(Table6[[#This Row],[Part '#]],Table1[[Part Number]:[Shelf]],4,FALSE)</f>
        <v>7</v>
      </c>
      <c r="F37" s="107" t="str">
        <f>VLOOKUP(Table6[[#This Row],[Part '#]],Table1[[Part Number]:[Bay]],5,FALSE)</f>
        <v>B</v>
      </c>
      <c r="G37" s="107">
        <v>85.11</v>
      </c>
      <c r="H37" s="107">
        <v>77.373000000000005</v>
      </c>
      <c r="I37" s="107">
        <v>47.283000000000001</v>
      </c>
      <c r="J37" s="107">
        <v>8</v>
      </c>
      <c r="K37" s="110">
        <f>K36+Table6[[#This Row],[Slow Walk]]+Table6[[#This Row],[Pick from Shelf]]</f>
        <v>152.70100000000002</v>
      </c>
      <c r="L37" s="113">
        <f>L36+Table6[[#This Row],[Fast Walk]]+Table6[[#This Row],[Pick from Shelf]]</f>
        <v>115.093</v>
      </c>
      <c r="M37" s="61"/>
    </row>
    <row r="38" spans="2:13" x14ac:dyDescent="0.3">
      <c r="B38" s="109">
        <v>3</v>
      </c>
      <c r="C38" s="109">
        <v>8</v>
      </c>
      <c r="D38" s="110" t="s">
        <v>110</v>
      </c>
      <c r="E38" s="107">
        <f>VLOOKUP(Table6[[#This Row],[Part '#]],Table1[[Part Number]:[Shelf]],4,FALSE)</f>
        <v>8</v>
      </c>
      <c r="F38" s="107" t="str">
        <f>VLOOKUP(Table6[[#This Row],[Part '#]],Table1[[Part Number]:[Bay]],5,FALSE)</f>
        <v>E</v>
      </c>
      <c r="G38" s="110">
        <v>7.45</v>
      </c>
      <c r="H38" s="110">
        <v>6.7729999999999997</v>
      </c>
      <c r="I38" s="110">
        <v>4.1390000000000002</v>
      </c>
      <c r="J38" s="110">
        <v>8</v>
      </c>
      <c r="K38" s="110">
        <f>K37+Table6[[#This Row],[Slow Walk]]+Table6[[#This Row],[Pick from Shelf]]</f>
        <v>167.47400000000002</v>
      </c>
      <c r="L38" s="113">
        <f>L37+Table6[[#This Row],[Fast Walk]]+Table6[[#This Row],[Pick from Shelf]]</f>
        <v>127.232</v>
      </c>
      <c r="M38" s="61"/>
    </row>
    <row r="39" spans="2:13" x14ac:dyDescent="0.3">
      <c r="B39" s="106">
        <v>7</v>
      </c>
      <c r="C39" s="106">
        <v>9</v>
      </c>
      <c r="D39" s="107" t="s">
        <v>113</v>
      </c>
      <c r="E39" s="107">
        <f>VLOOKUP(Table6[[#This Row],[Part '#]],Table1[[Part Number]:[Shelf]],4,FALSE)</f>
        <v>7</v>
      </c>
      <c r="F39" s="107" t="str">
        <f>VLOOKUP(Table6[[#This Row],[Part '#]],Table1[[Part Number]:[Bay]],5,FALSE)</f>
        <v>E</v>
      </c>
      <c r="G39" s="107">
        <v>85.11</v>
      </c>
      <c r="H39" s="107">
        <v>77.373000000000005</v>
      </c>
      <c r="I39" s="107">
        <v>47.283000000000001</v>
      </c>
      <c r="J39" s="107">
        <v>8</v>
      </c>
      <c r="K39" s="110">
        <f>K38+Table6[[#This Row],[Slow Walk]]+Table6[[#This Row],[Pick from Shelf]]</f>
        <v>252.84700000000004</v>
      </c>
      <c r="L39" s="113">
        <f>L38+Table6[[#This Row],[Fast Walk]]+Table6[[#This Row],[Pick from Shelf]]</f>
        <v>182.51499999999999</v>
      </c>
      <c r="M39" s="61"/>
    </row>
    <row r="40" spans="2:13" x14ac:dyDescent="0.3">
      <c r="B40" s="109">
        <v>11</v>
      </c>
      <c r="C40" s="109">
        <v>10</v>
      </c>
      <c r="D40" s="110" t="s">
        <v>116</v>
      </c>
      <c r="E40" s="107">
        <f>VLOOKUP(Table6[[#This Row],[Part '#]],Table1[[Part Number]:[Shelf]],4,FALSE)</f>
        <v>3</v>
      </c>
      <c r="F40" s="107" t="str">
        <f>VLOOKUP(Table6[[#This Row],[Part '#]],Table1[[Part Number]:[Bay]],5,FALSE)</f>
        <v>C</v>
      </c>
      <c r="G40" s="110">
        <v>4.26</v>
      </c>
      <c r="H40" s="110">
        <v>3.8730000000000002</v>
      </c>
      <c r="I40" s="110">
        <v>2.367</v>
      </c>
      <c r="J40" s="110">
        <v>8</v>
      </c>
      <c r="K40" s="110">
        <f>K39+Table6[[#This Row],[Slow Walk]]+Table6[[#This Row],[Pick from Shelf]]</f>
        <v>264.72000000000003</v>
      </c>
      <c r="L40" s="113">
        <f>L39+Table6[[#This Row],[Fast Walk]]+Table6[[#This Row],[Pick from Shelf]]</f>
        <v>192.88199999999998</v>
      </c>
      <c r="M40" s="61"/>
    </row>
    <row r="41" spans="2:13" x14ac:dyDescent="0.3">
      <c r="B41" s="106">
        <v>13</v>
      </c>
      <c r="C41" s="106">
        <v>11</v>
      </c>
      <c r="D41" s="107" t="s">
        <v>119</v>
      </c>
      <c r="E41" s="107">
        <f>VLOOKUP(Table6[[#This Row],[Part '#]],Table1[[Part Number]:[Shelf]],4,FALSE)</f>
        <v>1</v>
      </c>
      <c r="F41" s="107" t="str">
        <f>VLOOKUP(Table6[[#This Row],[Part '#]],Table1[[Part Number]:[Bay]],5,FALSE)</f>
        <v>A</v>
      </c>
      <c r="G41" s="107">
        <v>4.33</v>
      </c>
      <c r="H41" s="107">
        <v>3.9359999999999999</v>
      </c>
      <c r="I41" s="107">
        <v>2.4060000000000001</v>
      </c>
      <c r="J41" s="107">
        <v>8</v>
      </c>
      <c r="K41" s="110">
        <f>K40+Table6[[#This Row],[Slow Walk]]+Table6[[#This Row],[Pick from Shelf]]</f>
        <v>276.65600000000001</v>
      </c>
      <c r="L41" s="113">
        <f>L40+Table6[[#This Row],[Fast Walk]]+Table6[[#This Row],[Pick from Shelf]]</f>
        <v>203.28799999999998</v>
      </c>
      <c r="M41" s="61"/>
    </row>
    <row r="42" spans="2:13" x14ac:dyDescent="0.3">
      <c r="B42" s="109">
        <v>1</v>
      </c>
      <c r="C42" s="109">
        <v>12</v>
      </c>
      <c r="D42" s="110" t="s">
        <v>122</v>
      </c>
      <c r="E42" s="107">
        <f>VLOOKUP(Table6[[#This Row],[Part '#]],Table1[[Part Number]:[Shelf]],4,FALSE)</f>
        <v>14</v>
      </c>
      <c r="F42" s="107" t="str">
        <f>VLOOKUP(Table6[[#This Row],[Part '#]],Table1[[Part Number]:[Bay]],5,FALSE)</f>
        <v>A</v>
      </c>
      <c r="G42" s="110">
        <v>25.47</v>
      </c>
      <c r="H42" s="110">
        <v>23.155000000000001</v>
      </c>
      <c r="I42" s="110">
        <v>14.15</v>
      </c>
      <c r="J42" s="110">
        <v>8</v>
      </c>
      <c r="K42" s="110">
        <f>K41+Table6[[#This Row],[Slow Walk]]+Table6[[#This Row],[Pick from Shelf]]</f>
        <v>307.81100000000004</v>
      </c>
      <c r="L42" s="113">
        <f>L41+Table6[[#This Row],[Fast Walk]]+Table6[[#This Row],[Pick from Shelf]]</f>
        <v>225.43799999999999</v>
      </c>
      <c r="M42" s="61"/>
    </row>
    <row r="43" spans="2:13" x14ac:dyDescent="0.3">
      <c r="B43" s="106">
        <v>2</v>
      </c>
      <c r="C43" s="106">
        <v>13</v>
      </c>
      <c r="D43" s="107" t="s">
        <v>126</v>
      </c>
      <c r="E43" s="107">
        <f>VLOOKUP(Table6[[#This Row],[Part '#]],Table1[[Part Number]:[Shelf]],4,FALSE)</f>
        <v>14</v>
      </c>
      <c r="F43" s="107" t="str">
        <f>VLOOKUP(Table6[[#This Row],[Part '#]],Table1[[Part Number]:[Bay]],5,FALSE)</f>
        <v>B</v>
      </c>
      <c r="G43" s="107">
        <v>25.47</v>
      </c>
      <c r="H43" s="107">
        <v>23.155000000000001</v>
      </c>
      <c r="I43" s="107">
        <v>14.15</v>
      </c>
      <c r="J43" s="107">
        <v>8</v>
      </c>
      <c r="K43" s="110">
        <f>K42+Table6[[#This Row],[Slow Walk]]+Table6[[#This Row],[Pick from Shelf]]</f>
        <v>338.96600000000001</v>
      </c>
      <c r="L43" s="113">
        <f>L42+Table6[[#This Row],[Fast Walk]]+Table6[[#This Row],[Pick from Shelf]]</f>
        <v>247.58799999999999</v>
      </c>
      <c r="M43" s="61"/>
    </row>
    <row r="44" spans="2:13" x14ac:dyDescent="0.3">
      <c r="B44" s="62"/>
      <c r="C44" s="62" t="s">
        <v>176</v>
      </c>
      <c r="D44" s="63" t="s">
        <v>176</v>
      </c>
      <c r="E44" s="63"/>
      <c r="F44" s="63"/>
      <c r="G44" s="63"/>
      <c r="H44" s="63"/>
      <c r="I44" s="63"/>
      <c r="J44" s="63"/>
      <c r="K44" s="63"/>
      <c r="L44" s="64"/>
      <c r="M44" s="61"/>
    </row>
    <row r="45" spans="2:13" x14ac:dyDescent="0.3">
      <c r="B45" s="58"/>
      <c r="C45" s="58" t="s">
        <v>176</v>
      </c>
      <c r="D45" s="59" t="s">
        <v>176</v>
      </c>
      <c r="E45" s="59"/>
      <c r="F45" s="59"/>
      <c r="G45" s="59"/>
      <c r="H45" s="59"/>
      <c r="I45" s="59"/>
      <c r="J45" s="59"/>
      <c r="K45" s="59"/>
      <c r="L45" s="60"/>
      <c r="M45" s="61"/>
    </row>
    <row r="46" spans="2:13" x14ac:dyDescent="0.3">
      <c r="B46" s="62"/>
      <c r="C46" s="62" t="s">
        <v>176</v>
      </c>
      <c r="D46" s="63" t="s">
        <v>176</v>
      </c>
      <c r="E46" s="63"/>
      <c r="F46" s="63"/>
      <c r="G46" s="63"/>
      <c r="H46" s="63"/>
      <c r="I46" s="63"/>
      <c r="J46" s="63"/>
      <c r="K46" s="63"/>
      <c r="L46" s="64"/>
      <c r="M46" s="61"/>
    </row>
    <row r="47" spans="2:13" x14ac:dyDescent="0.3">
      <c r="B47" s="58"/>
      <c r="C47" s="58" t="s">
        <v>176</v>
      </c>
      <c r="D47" s="59" t="s">
        <v>176</v>
      </c>
      <c r="E47" s="59"/>
      <c r="F47" s="59"/>
      <c r="G47" s="59"/>
      <c r="H47" s="59"/>
      <c r="I47" s="59"/>
      <c r="J47" s="59"/>
      <c r="K47" s="59"/>
      <c r="L47" s="60"/>
      <c r="M47" s="61"/>
    </row>
    <row r="48" spans="2:13" x14ac:dyDescent="0.3">
      <c r="B48" s="61"/>
      <c r="C48" s="61"/>
      <c r="D48" s="61"/>
      <c r="E48" s="61"/>
      <c r="F48" s="61"/>
      <c r="G48" s="61"/>
      <c r="H48" s="61"/>
      <c r="I48" s="61"/>
      <c r="J48" s="61"/>
      <c r="K48" s="61"/>
      <c r="L48" s="61"/>
      <c r="M48" s="61"/>
    </row>
    <row r="49" spans="2:13" x14ac:dyDescent="0.3">
      <c r="B49" s="61"/>
      <c r="C49" s="61"/>
      <c r="D49" s="61"/>
      <c r="E49" s="61"/>
      <c r="F49" s="61"/>
      <c r="G49" s="61"/>
      <c r="H49" s="61"/>
      <c r="I49" s="61"/>
      <c r="J49" s="61"/>
      <c r="K49" s="61"/>
      <c r="L49" s="61"/>
      <c r="M49" s="61"/>
    </row>
    <row r="50" spans="2:13" x14ac:dyDescent="0.3">
      <c r="B50" s="61"/>
      <c r="C50" s="61"/>
      <c r="D50" s="61"/>
      <c r="E50" s="61"/>
      <c r="F50" s="61"/>
      <c r="G50" s="61"/>
      <c r="H50" s="61"/>
      <c r="I50" s="61"/>
      <c r="J50" s="61"/>
      <c r="K50" s="61"/>
      <c r="L50" s="61"/>
      <c r="M50" s="61"/>
    </row>
    <row r="51" spans="2:13" x14ac:dyDescent="0.3">
      <c r="B51" s="61" t="s">
        <v>177</v>
      </c>
      <c r="C51" s="61"/>
      <c r="D51" s="61"/>
      <c r="E51" s="65">
        <f>MIN(L31:L43)</f>
        <v>10.611000000000001</v>
      </c>
      <c r="F51" s="61"/>
      <c r="G51" s="61"/>
      <c r="H51" s="61"/>
      <c r="I51" s="61"/>
      <c r="J51" s="61"/>
      <c r="K51" s="61"/>
      <c r="L51" s="61"/>
      <c r="M51" s="61"/>
    </row>
    <row r="52" spans="2:13" x14ac:dyDescent="0.3">
      <c r="B52" s="61" t="s">
        <v>178</v>
      </c>
      <c r="C52" s="61"/>
      <c r="D52" s="61"/>
      <c r="E52" s="65">
        <f>MAX(K31:K43)</f>
        <v>338.96600000000001</v>
      </c>
      <c r="F52" s="61"/>
      <c r="G52" s="61"/>
      <c r="H52" s="61"/>
      <c r="I52" s="61"/>
      <c r="J52" s="61"/>
      <c r="K52" s="61"/>
      <c r="L52" s="61"/>
      <c r="M52" s="61"/>
    </row>
    <row r="53" spans="2:13" x14ac:dyDescent="0.3">
      <c r="B53" s="61"/>
      <c r="C53" s="61"/>
      <c r="D53" s="61"/>
      <c r="E53" s="61"/>
      <c r="F53" s="61"/>
      <c r="G53" s="61"/>
      <c r="H53" s="61"/>
      <c r="I53" s="61"/>
      <c r="J53" s="61"/>
      <c r="K53" s="61"/>
      <c r="L53" s="61"/>
      <c r="M53" s="61"/>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2CBA-73D6-4C7E-9498-C3AE304681B7}">
  <dimension ref="A2:O53"/>
  <sheetViews>
    <sheetView topLeftCell="A27" workbookViewId="0">
      <selection activeCell="K31" sqref="K31"/>
    </sheetView>
  </sheetViews>
  <sheetFormatPr defaultRowHeight="14.4" x14ac:dyDescent="0.3"/>
  <cols>
    <col min="1" max="1" width="3.33203125" customWidth="1"/>
    <col min="2" max="2" width="12.109375" customWidth="1"/>
    <col min="4" max="4" width="15.5546875" bestFit="1" customWidth="1"/>
    <col min="5" max="5" width="21.33203125" customWidth="1"/>
    <col min="6" max="6" width="8.88671875" customWidth="1"/>
    <col min="7" max="7" width="10.109375" customWidth="1"/>
    <col min="8" max="8" width="11.5546875" customWidth="1"/>
    <col min="9" max="9" width="10.88671875" customWidth="1"/>
    <col min="10" max="10" width="15.5546875" customWidth="1"/>
    <col min="11" max="11" width="11.109375" customWidth="1"/>
    <col min="12" max="12" width="11.44140625" customWidth="1"/>
  </cols>
  <sheetData>
    <row r="2" spans="1:15" x14ac:dyDescent="0.3">
      <c r="A2" t="s">
        <v>138</v>
      </c>
    </row>
    <row r="3" spans="1:15" x14ac:dyDescent="0.3">
      <c r="B3" t="s">
        <v>139</v>
      </c>
    </row>
    <row r="5" spans="1:15" x14ac:dyDescent="0.3">
      <c r="A5" t="s">
        <v>140</v>
      </c>
      <c r="C5" t="s">
        <v>141</v>
      </c>
      <c r="H5" s="14" t="s">
        <v>142</v>
      </c>
      <c r="I5" t="s">
        <v>84</v>
      </c>
      <c r="L5" t="s">
        <v>143</v>
      </c>
      <c r="M5" t="s">
        <v>144</v>
      </c>
    </row>
    <row r="6" spans="1:15" x14ac:dyDescent="0.3">
      <c r="B6">
        <v>1</v>
      </c>
      <c r="C6" t="s">
        <v>145</v>
      </c>
      <c r="L6" s="20">
        <v>1.1000000000000001</v>
      </c>
      <c r="N6" t="s">
        <v>146</v>
      </c>
      <c r="O6" t="s">
        <v>147</v>
      </c>
    </row>
    <row r="7" spans="1:15" x14ac:dyDescent="0.3">
      <c r="H7">
        <v>1</v>
      </c>
      <c r="I7" s="20">
        <v>1.1000000000000001</v>
      </c>
      <c r="J7" t="s">
        <v>146</v>
      </c>
      <c r="L7" t="s">
        <v>148</v>
      </c>
    </row>
    <row r="8" spans="1:15" x14ac:dyDescent="0.3">
      <c r="H8">
        <v>2</v>
      </c>
      <c r="I8" s="20">
        <v>1.1499999999999999</v>
      </c>
      <c r="J8" t="s">
        <v>146</v>
      </c>
    </row>
    <row r="9" spans="1:15" x14ac:dyDescent="0.3">
      <c r="H9">
        <v>3</v>
      </c>
      <c r="I9" s="20">
        <v>1.2</v>
      </c>
      <c r="J9" t="s">
        <v>146</v>
      </c>
    </row>
    <row r="11" spans="1:15" x14ac:dyDescent="0.3">
      <c r="B11">
        <v>2</v>
      </c>
      <c r="C11" t="s">
        <v>149</v>
      </c>
      <c r="L11" s="20">
        <v>1.8</v>
      </c>
      <c r="N11" t="s">
        <v>146</v>
      </c>
      <c r="O11" t="s">
        <v>150</v>
      </c>
    </row>
    <row r="12" spans="1:15" x14ac:dyDescent="0.3">
      <c r="H12">
        <v>1</v>
      </c>
      <c r="I12" s="20">
        <v>1.8</v>
      </c>
      <c r="J12" t="s">
        <v>146</v>
      </c>
      <c r="L12" t="s">
        <v>148</v>
      </c>
    </row>
    <row r="13" spans="1:15" x14ac:dyDescent="0.3">
      <c r="H13">
        <v>2</v>
      </c>
      <c r="I13" s="20">
        <v>1.9</v>
      </c>
      <c r="J13" t="s">
        <v>146</v>
      </c>
    </row>
    <row r="14" spans="1:15" x14ac:dyDescent="0.3">
      <c r="H14">
        <v>3</v>
      </c>
      <c r="I14" s="20">
        <v>1.95</v>
      </c>
      <c r="J14" t="s">
        <v>146</v>
      </c>
    </row>
    <row r="16" spans="1:15" x14ac:dyDescent="0.3">
      <c r="B16">
        <v>3</v>
      </c>
      <c r="C16" t="s">
        <v>151</v>
      </c>
    </row>
    <row r="17" spans="1:13" x14ac:dyDescent="0.3">
      <c r="H17">
        <v>1</v>
      </c>
      <c r="I17" s="20">
        <v>8</v>
      </c>
      <c r="J17" t="s">
        <v>152</v>
      </c>
    </row>
    <row r="18" spans="1:13" x14ac:dyDescent="0.3">
      <c r="H18">
        <v>2</v>
      </c>
      <c r="I18" s="20">
        <v>10</v>
      </c>
      <c r="J18" t="s">
        <v>152</v>
      </c>
    </row>
    <row r="20" spans="1:13" x14ac:dyDescent="0.3">
      <c r="A20" t="s">
        <v>153</v>
      </c>
    </row>
    <row r="21" spans="1:13" x14ac:dyDescent="0.3">
      <c r="B21">
        <v>1</v>
      </c>
      <c r="C21" t="s">
        <v>154</v>
      </c>
      <c r="E21" s="20" t="s">
        <v>155</v>
      </c>
    </row>
    <row r="22" spans="1:13" x14ac:dyDescent="0.3">
      <c r="C22" s="53" t="s">
        <v>156</v>
      </c>
      <c r="E22" s="20" t="s">
        <v>157</v>
      </c>
    </row>
    <row r="23" spans="1:13" x14ac:dyDescent="0.3">
      <c r="C23" s="53" t="s">
        <v>158</v>
      </c>
      <c r="E23" s="13"/>
      <c r="H23" s="20" t="s">
        <v>159</v>
      </c>
    </row>
    <row r="24" spans="1:13" x14ac:dyDescent="0.3">
      <c r="C24" t="s">
        <v>160</v>
      </c>
    </row>
    <row r="25" spans="1:13" x14ac:dyDescent="0.3">
      <c r="C25" s="12" t="s">
        <v>161</v>
      </c>
    </row>
    <row r="27" spans="1:13" x14ac:dyDescent="0.3">
      <c r="A27" t="s">
        <v>162</v>
      </c>
    </row>
    <row r="29" spans="1:13" x14ac:dyDescent="0.3">
      <c r="C29" t="s">
        <v>163</v>
      </c>
      <c r="G29" t="s">
        <v>164</v>
      </c>
      <c r="H29" s="12" t="s">
        <v>165</v>
      </c>
      <c r="K29" t="s">
        <v>166</v>
      </c>
    </row>
    <row r="30" spans="1:13" x14ac:dyDescent="0.3">
      <c r="B30" t="s">
        <v>167</v>
      </c>
      <c r="C30" t="s">
        <v>168</v>
      </c>
      <c r="D30" t="s">
        <v>169</v>
      </c>
      <c r="E30" t="s">
        <v>86</v>
      </c>
      <c r="F30" t="s">
        <v>87</v>
      </c>
      <c r="G30" t="s">
        <v>170</v>
      </c>
      <c r="H30" t="s">
        <v>171</v>
      </c>
      <c r="I30" t="s">
        <v>172</v>
      </c>
      <c r="J30" t="s">
        <v>173</v>
      </c>
      <c r="K30" t="s">
        <v>174</v>
      </c>
      <c r="L30" t="s">
        <v>175</v>
      </c>
    </row>
    <row r="31" spans="1:13" x14ac:dyDescent="0.3">
      <c r="B31" s="106">
        <v>12</v>
      </c>
      <c r="C31" s="106">
        <v>1</v>
      </c>
      <c r="D31" s="107" t="s">
        <v>91</v>
      </c>
      <c r="E31" s="107">
        <f>VLOOKUP(Table616[[#This Row],[Part '#]],Table1[[Part Number]:[Shelf]],4,FALSE)</f>
        <v>10</v>
      </c>
      <c r="F31" s="107" t="str">
        <f>VLOOKUP(Table616[[#This Row],[Part '#]],Table1[[Part Number]:[Bay]],5,FALSE)</f>
        <v>C</v>
      </c>
      <c r="G31" s="108">
        <v>2.6</v>
      </c>
      <c r="H31" s="108">
        <f t="shared" ref="H31:H43" si="0">G31/1.1</f>
        <v>2.3636363636363633</v>
      </c>
      <c r="I31" s="108">
        <f>Table616[[#This Row],[(Meters)]]/1.8</f>
        <v>1.4444444444444444</v>
      </c>
      <c r="J31" s="108">
        <v>8</v>
      </c>
      <c r="K31" s="108">
        <f>Table616[[#This Row],[Slow Walk]]+Table616[[#This Row],[Pick from Shelf]]</f>
        <v>10.363636363636363</v>
      </c>
      <c r="L31" s="114">
        <f>Table616[[#This Row],[Fast Walk]]+Table616[[#This Row],[Pick from Shelf]]</f>
        <v>9.4444444444444446</v>
      </c>
      <c r="M31" s="61"/>
    </row>
    <row r="32" spans="1:13" x14ac:dyDescent="0.3">
      <c r="B32" s="109">
        <v>13</v>
      </c>
      <c r="C32" s="109">
        <v>2</v>
      </c>
      <c r="D32" s="110" t="s">
        <v>94</v>
      </c>
      <c r="E32" s="107">
        <f>VLOOKUP(Table616[[#This Row],[Part '#]],Table1[[Part Number]:[Shelf]],4,FALSE)</f>
        <v>10</v>
      </c>
      <c r="F32" s="107" t="str">
        <f>VLOOKUP(Table616[[#This Row],[Part '#]],Table1[[Part Number]:[Bay]],5,FALSE)</f>
        <v>E</v>
      </c>
      <c r="G32" s="111">
        <v>2.6</v>
      </c>
      <c r="H32" s="111">
        <f t="shared" si="0"/>
        <v>2.3636363636363633</v>
      </c>
      <c r="I32" s="111">
        <f>Table616[[#This Row],[(Meters)]]/1.8</f>
        <v>1.4444444444444444</v>
      </c>
      <c r="J32" s="111">
        <v>8</v>
      </c>
      <c r="K32" s="111">
        <f>H32+J32+K31</f>
        <v>20.727272727272727</v>
      </c>
      <c r="L32" s="115">
        <f>I32+J32+L31</f>
        <v>18.888888888888889</v>
      </c>
      <c r="M32" s="61"/>
    </row>
    <row r="33" spans="2:13" x14ac:dyDescent="0.3">
      <c r="B33" s="106">
        <v>2</v>
      </c>
      <c r="C33" s="106">
        <v>3</v>
      </c>
      <c r="D33" s="107" t="s">
        <v>97</v>
      </c>
      <c r="E33" s="107">
        <f>VLOOKUP(Table616[[#This Row],[Part '#]],Table1[[Part Number]:[Shelf]],4,FALSE)</f>
        <v>2</v>
      </c>
      <c r="F33" s="107" t="str">
        <f>VLOOKUP(Table616[[#This Row],[Part '#]],Table1[[Part Number]:[Bay]],5,FALSE)</f>
        <v>A</v>
      </c>
      <c r="G33" s="108">
        <v>2.1</v>
      </c>
      <c r="H33" s="108">
        <f t="shared" si="0"/>
        <v>1.9090909090909089</v>
      </c>
      <c r="I33" s="108">
        <f>Table616[[#This Row],[(Meters)]]/1.8</f>
        <v>1.1666666666666667</v>
      </c>
      <c r="J33" s="108">
        <v>8</v>
      </c>
      <c r="K33" s="111">
        <f t="shared" ref="K33:K43" si="1">H33+J33+K32</f>
        <v>30.636363636363633</v>
      </c>
      <c r="L33" s="115">
        <f t="shared" ref="L33:L43" si="2">I33+J33+L32</f>
        <v>28.055555555555557</v>
      </c>
      <c r="M33" s="61"/>
    </row>
    <row r="34" spans="2:13" x14ac:dyDescent="0.3">
      <c r="B34" s="109">
        <v>7</v>
      </c>
      <c r="C34" s="109">
        <v>4</v>
      </c>
      <c r="D34" s="110" t="s">
        <v>100</v>
      </c>
      <c r="E34" s="107">
        <f>VLOOKUP(Table616[[#This Row],[Part '#]],Table1[[Part Number]:[Shelf]],4,FALSE)</f>
        <v>4</v>
      </c>
      <c r="F34" s="107" t="str">
        <f>VLOOKUP(Table616[[#This Row],[Part '#]],Table1[[Part Number]:[Bay]],5,FALSE)</f>
        <v>D</v>
      </c>
      <c r="G34" s="111">
        <v>0.6</v>
      </c>
      <c r="H34" s="111">
        <f t="shared" si="0"/>
        <v>0.54545454545454541</v>
      </c>
      <c r="I34" s="111">
        <f>Table616[[#This Row],[(Meters)]]/1.8</f>
        <v>0.33333333333333331</v>
      </c>
      <c r="J34" s="111">
        <v>8</v>
      </c>
      <c r="K34" s="111">
        <f t="shared" si="1"/>
        <v>39.18181818181818</v>
      </c>
      <c r="L34" s="115">
        <f t="shared" si="2"/>
        <v>36.388888888888893</v>
      </c>
      <c r="M34" s="61"/>
    </row>
    <row r="35" spans="2:13" x14ac:dyDescent="0.3">
      <c r="B35" s="106">
        <v>6</v>
      </c>
      <c r="C35" s="106">
        <v>5</v>
      </c>
      <c r="D35" s="107" t="s">
        <v>103</v>
      </c>
      <c r="E35" s="107">
        <f>VLOOKUP(Table616[[#This Row],[Part '#]],Table1[[Part Number]:[Shelf]],4,FALSE)</f>
        <v>5</v>
      </c>
      <c r="F35" s="107" t="str">
        <f>VLOOKUP(Table616[[#This Row],[Part '#]],Table1[[Part Number]:[Bay]],5,FALSE)</f>
        <v>E</v>
      </c>
      <c r="G35" s="108">
        <v>2.2999999999999998</v>
      </c>
      <c r="H35" s="108">
        <f t="shared" si="0"/>
        <v>2.0909090909090904</v>
      </c>
      <c r="I35" s="108">
        <f>Table616[[#This Row],[(Meters)]]/1.8</f>
        <v>1.2777777777777777</v>
      </c>
      <c r="J35" s="108">
        <v>8</v>
      </c>
      <c r="K35" s="111">
        <f t="shared" si="1"/>
        <v>49.272727272727266</v>
      </c>
      <c r="L35" s="115">
        <f t="shared" si="2"/>
        <v>45.666666666666671</v>
      </c>
      <c r="M35" s="61"/>
    </row>
    <row r="36" spans="2:13" x14ac:dyDescent="0.3">
      <c r="B36" s="109">
        <v>10</v>
      </c>
      <c r="C36" s="109">
        <v>6</v>
      </c>
      <c r="D36" s="110" t="s">
        <v>105</v>
      </c>
      <c r="E36" s="107">
        <f>VLOOKUP(Table616[[#This Row],[Part '#]],Table1[[Part Number]:[Shelf]],4,FALSE)</f>
        <v>6</v>
      </c>
      <c r="F36" s="107" t="str">
        <f>VLOOKUP(Table616[[#This Row],[Part '#]],Table1[[Part Number]:[Bay]],5,FALSE)</f>
        <v>B</v>
      </c>
      <c r="G36" s="111">
        <v>0.5</v>
      </c>
      <c r="H36" s="111">
        <f t="shared" si="0"/>
        <v>0.45454545454545453</v>
      </c>
      <c r="I36" s="111">
        <f>Table616[[#This Row],[(Meters)]]/1.8</f>
        <v>0.27777777777777779</v>
      </c>
      <c r="J36" s="111">
        <v>8</v>
      </c>
      <c r="K36" s="111">
        <f t="shared" si="1"/>
        <v>57.72727272727272</v>
      </c>
      <c r="L36" s="115">
        <f t="shared" si="2"/>
        <v>53.94444444444445</v>
      </c>
      <c r="M36" s="61"/>
    </row>
    <row r="37" spans="2:13" x14ac:dyDescent="0.3">
      <c r="B37" s="106">
        <v>8</v>
      </c>
      <c r="C37" s="106">
        <v>7</v>
      </c>
      <c r="D37" s="107" t="s">
        <v>108</v>
      </c>
      <c r="E37" s="107">
        <f>VLOOKUP(Table616[[#This Row],[Part '#]],Table1[[Part Number]:[Shelf]],4,FALSE)</f>
        <v>7</v>
      </c>
      <c r="F37" s="107" t="str">
        <f>VLOOKUP(Table616[[#This Row],[Part '#]],Table1[[Part Number]:[Bay]],5,FALSE)</f>
        <v>B</v>
      </c>
      <c r="G37" s="108">
        <v>8.1</v>
      </c>
      <c r="H37" s="108">
        <f t="shared" si="0"/>
        <v>7.3636363636363624</v>
      </c>
      <c r="I37" s="108">
        <f>Table616[[#This Row],[(Meters)]]/1.8</f>
        <v>4.5</v>
      </c>
      <c r="J37" s="108">
        <v>8</v>
      </c>
      <c r="K37" s="111">
        <f t="shared" si="1"/>
        <v>73.090909090909079</v>
      </c>
      <c r="L37" s="115">
        <f t="shared" si="2"/>
        <v>66.444444444444457</v>
      </c>
      <c r="M37" s="61"/>
    </row>
    <row r="38" spans="2:13" x14ac:dyDescent="0.3">
      <c r="B38" s="109">
        <v>11</v>
      </c>
      <c r="C38" s="109">
        <v>8</v>
      </c>
      <c r="D38" s="110" t="s">
        <v>110</v>
      </c>
      <c r="E38" s="107">
        <f>VLOOKUP(Table616[[#This Row],[Part '#]],Table1[[Part Number]:[Shelf]],4,FALSE)</f>
        <v>8</v>
      </c>
      <c r="F38" s="107" t="str">
        <f>VLOOKUP(Table616[[#This Row],[Part '#]],Table1[[Part Number]:[Bay]],5,FALSE)</f>
        <v>E</v>
      </c>
      <c r="G38" s="111">
        <v>18.2</v>
      </c>
      <c r="H38" s="111">
        <f t="shared" si="0"/>
        <v>16.545454545454543</v>
      </c>
      <c r="I38" s="111">
        <f>Table616[[#This Row],[(Meters)]]/1.8</f>
        <v>10.111111111111111</v>
      </c>
      <c r="J38" s="111">
        <v>8</v>
      </c>
      <c r="K38" s="111">
        <f t="shared" si="1"/>
        <v>97.636363636363626</v>
      </c>
      <c r="L38" s="115">
        <f t="shared" si="2"/>
        <v>84.555555555555571</v>
      </c>
      <c r="M38" s="61"/>
    </row>
    <row r="39" spans="2:13" x14ac:dyDescent="0.3">
      <c r="B39" s="106">
        <v>9</v>
      </c>
      <c r="C39" s="106">
        <v>9</v>
      </c>
      <c r="D39" s="107" t="s">
        <v>113</v>
      </c>
      <c r="E39" s="107">
        <f>VLOOKUP(Table616[[#This Row],[Part '#]],Table1[[Part Number]:[Shelf]],4,FALSE)</f>
        <v>7</v>
      </c>
      <c r="F39" s="107" t="str">
        <f>VLOOKUP(Table616[[#This Row],[Part '#]],Table1[[Part Number]:[Bay]],5,FALSE)</f>
        <v>E</v>
      </c>
      <c r="G39" s="108">
        <v>4.0999999999999996</v>
      </c>
      <c r="H39" s="108">
        <f t="shared" si="0"/>
        <v>3.7272727272727266</v>
      </c>
      <c r="I39" s="108">
        <f>Table616[[#This Row],[(Meters)]]/1.8</f>
        <v>2.2777777777777777</v>
      </c>
      <c r="J39" s="108">
        <v>8</v>
      </c>
      <c r="K39" s="111">
        <f t="shared" si="1"/>
        <v>109.36363636363635</v>
      </c>
      <c r="L39" s="115">
        <f t="shared" si="2"/>
        <v>94.833333333333343</v>
      </c>
      <c r="M39" s="61"/>
    </row>
    <row r="40" spans="2:13" x14ac:dyDescent="0.3">
      <c r="B40" s="109">
        <v>3</v>
      </c>
      <c r="C40" s="109">
        <v>10</v>
      </c>
      <c r="D40" s="110" t="s">
        <v>116</v>
      </c>
      <c r="E40" s="107">
        <f>VLOOKUP(Table616[[#This Row],[Part '#]],Table1[[Part Number]:[Shelf]],4,FALSE)</f>
        <v>3</v>
      </c>
      <c r="F40" s="107" t="str">
        <f>VLOOKUP(Table616[[#This Row],[Part '#]],Table1[[Part Number]:[Bay]],5,FALSE)</f>
        <v>C</v>
      </c>
      <c r="G40" s="111">
        <v>1.3</v>
      </c>
      <c r="H40" s="111">
        <f t="shared" si="0"/>
        <v>1.1818181818181817</v>
      </c>
      <c r="I40" s="111">
        <f>Table616[[#This Row],[(Meters)]]/1.8</f>
        <v>0.72222222222222221</v>
      </c>
      <c r="J40" s="111">
        <v>8</v>
      </c>
      <c r="K40" s="111">
        <f t="shared" si="1"/>
        <v>118.54545454545453</v>
      </c>
      <c r="L40" s="115">
        <f t="shared" si="2"/>
        <v>103.55555555555557</v>
      </c>
      <c r="M40" s="61"/>
    </row>
    <row r="41" spans="2:13" x14ac:dyDescent="0.3">
      <c r="B41" s="106">
        <v>1</v>
      </c>
      <c r="C41" s="106">
        <v>11</v>
      </c>
      <c r="D41" s="107" t="s">
        <v>119</v>
      </c>
      <c r="E41" s="107">
        <f>VLOOKUP(Table616[[#This Row],[Part '#]],Table1[[Part Number]:[Shelf]],4,FALSE)</f>
        <v>1</v>
      </c>
      <c r="F41" s="107" t="str">
        <f>VLOOKUP(Table616[[#This Row],[Part '#]],Table1[[Part Number]:[Bay]],5,FALSE)</f>
        <v>A</v>
      </c>
      <c r="G41" s="108">
        <v>5.9</v>
      </c>
      <c r="H41" s="108">
        <f t="shared" si="0"/>
        <v>5.3636363636363633</v>
      </c>
      <c r="I41" s="108">
        <f>Table616[[#This Row],[(Meters)]]/1.8</f>
        <v>3.2777777777777777</v>
      </c>
      <c r="J41" s="108">
        <v>8</v>
      </c>
      <c r="K41" s="111">
        <f t="shared" si="1"/>
        <v>131.90909090909091</v>
      </c>
      <c r="L41" s="115">
        <f t="shared" si="2"/>
        <v>114.83333333333334</v>
      </c>
      <c r="M41" s="61"/>
    </row>
    <row r="42" spans="2:13" x14ac:dyDescent="0.3">
      <c r="B42" s="109">
        <v>4</v>
      </c>
      <c r="C42" s="109">
        <v>12</v>
      </c>
      <c r="D42" s="110" t="s">
        <v>122</v>
      </c>
      <c r="E42" s="107">
        <f>VLOOKUP(Table616[[#This Row],[Part '#]],Table1[[Part Number]:[Shelf]],4,FALSE)</f>
        <v>14</v>
      </c>
      <c r="F42" s="107" t="str">
        <f>VLOOKUP(Table616[[#This Row],[Part '#]],Table1[[Part Number]:[Bay]],5,FALSE)</f>
        <v>A</v>
      </c>
      <c r="G42" s="111">
        <v>3</v>
      </c>
      <c r="H42" s="111">
        <f t="shared" si="0"/>
        <v>2.7272727272727271</v>
      </c>
      <c r="I42" s="111">
        <f>Table616[[#This Row],[(Meters)]]/1.8</f>
        <v>1.6666666666666665</v>
      </c>
      <c r="J42" s="111">
        <v>8</v>
      </c>
      <c r="K42" s="111">
        <f t="shared" si="1"/>
        <v>142.63636363636363</v>
      </c>
      <c r="L42" s="115">
        <f t="shared" si="2"/>
        <v>124.50000000000001</v>
      </c>
      <c r="M42" s="61"/>
    </row>
    <row r="43" spans="2:13" x14ac:dyDescent="0.3">
      <c r="B43" s="106">
        <v>5</v>
      </c>
      <c r="C43" s="106">
        <v>13</v>
      </c>
      <c r="D43" s="107" t="s">
        <v>126</v>
      </c>
      <c r="E43" s="107">
        <f>VLOOKUP(Table616[[#This Row],[Part '#]],Table1[[Part Number]:[Shelf]],4,FALSE)</f>
        <v>14</v>
      </c>
      <c r="F43" s="107" t="str">
        <f>VLOOKUP(Table616[[#This Row],[Part '#]],Table1[[Part Number]:[Bay]],5,FALSE)</f>
        <v>B</v>
      </c>
      <c r="G43" s="108">
        <v>3</v>
      </c>
      <c r="H43" s="108">
        <f t="shared" si="0"/>
        <v>2.7272727272727271</v>
      </c>
      <c r="I43" s="108">
        <f>Table616[[#This Row],[(Meters)]]/1.8</f>
        <v>1.6666666666666665</v>
      </c>
      <c r="J43" s="108">
        <v>8</v>
      </c>
      <c r="K43" s="111">
        <f t="shared" si="1"/>
        <v>153.36363636363635</v>
      </c>
      <c r="L43" s="115">
        <f t="shared" si="2"/>
        <v>134.16666666666669</v>
      </c>
      <c r="M43" s="61"/>
    </row>
    <row r="44" spans="2:13" x14ac:dyDescent="0.3">
      <c r="B44" s="62"/>
      <c r="C44" s="62" t="s">
        <v>176</v>
      </c>
      <c r="D44" s="63" t="s">
        <v>176</v>
      </c>
      <c r="E44" s="63"/>
      <c r="F44" s="63"/>
      <c r="G44" s="63"/>
      <c r="H44" s="63"/>
      <c r="I44" s="63"/>
      <c r="J44" s="63"/>
      <c r="K44" s="63"/>
      <c r="L44" s="87"/>
      <c r="M44" s="61"/>
    </row>
    <row r="45" spans="2:13" x14ac:dyDescent="0.3">
      <c r="B45" s="58"/>
      <c r="C45" s="58" t="s">
        <v>176</v>
      </c>
      <c r="D45" s="59" t="s">
        <v>176</v>
      </c>
      <c r="E45" s="59"/>
      <c r="F45" s="59"/>
      <c r="G45" s="59"/>
      <c r="H45" s="59"/>
      <c r="I45" s="59"/>
      <c r="J45" s="59"/>
      <c r="K45" s="59"/>
      <c r="L45" s="86"/>
      <c r="M45" s="61"/>
    </row>
    <row r="46" spans="2:13" x14ac:dyDescent="0.3">
      <c r="B46" s="62"/>
      <c r="C46" s="62" t="s">
        <v>176</v>
      </c>
      <c r="D46" s="63" t="s">
        <v>176</v>
      </c>
      <c r="E46" s="63"/>
      <c r="F46" s="63"/>
      <c r="G46" s="63"/>
      <c r="H46" s="63"/>
      <c r="I46" s="63"/>
      <c r="J46" s="63"/>
      <c r="K46" s="63"/>
      <c r="L46" s="87"/>
      <c r="M46" s="61"/>
    </row>
    <row r="47" spans="2:13" x14ac:dyDescent="0.3">
      <c r="B47" s="58"/>
      <c r="C47" s="58" t="s">
        <v>176</v>
      </c>
      <c r="D47" s="59" t="s">
        <v>176</v>
      </c>
      <c r="E47" s="59"/>
      <c r="F47" s="59"/>
      <c r="G47" s="59"/>
      <c r="H47" s="59"/>
      <c r="I47" s="59"/>
      <c r="J47" s="59"/>
      <c r="K47" s="59"/>
      <c r="L47" s="86"/>
      <c r="M47" s="61"/>
    </row>
    <row r="48" spans="2:13" x14ac:dyDescent="0.3">
      <c r="B48" s="61"/>
      <c r="C48" s="61"/>
      <c r="D48" s="61"/>
      <c r="E48" s="61"/>
      <c r="F48" s="61"/>
      <c r="G48" s="61"/>
      <c r="H48" s="61"/>
      <c r="I48" s="61"/>
      <c r="J48" s="61"/>
      <c r="K48" s="61"/>
      <c r="L48" s="66"/>
      <c r="M48" s="61"/>
    </row>
    <row r="49" spans="2:13" x14ac:dyDescent="0.3">
      <c r="B49" s="61"/>
      <c r="C49" s="61"/>
      <c r="D49" s="61"/>
      <c r="E49" s="61"/>
      <c r="F49" s="61"/>
      <c r="G49" s="61"/>
      <c r="H49" s="61"/>
      <c r="I49" s="61"/>
      <c r="J49" s="61"/>
      <c r="K49" s="61"/>
      <c r="L49" s="66"/>
      <c r="M49" s="61"/>
    </row>
    <row r="50" spans="2:13" x14ac:dyDescent="0.3">
      <c r="B50" s="61"/>
      <c r="C50" s="61"/>
      <c r="D50" s="61"/>
      <c r="E50" s="61"/>
      <c r="F50" s="61"/>
      <c r="G50" s="61"/>
      <c r="H50" s="61"/>
      <c r="I50" s="61"/>
      <c r="J50" s="61"/>
      <c r="K50" s="61"/>
      <c r="L50" s="66"/>
      <c r="M50" s="61"/>
    </row>
    <row r="51" spans="2:13" x14ac:dyDescent="0.3">
      <c r="B51" s="61" t="s">
        <v>177</v>
      </c>
      <c r="C51" s="61"/>
      <c r="D51" s="61"/>
      <c r="E51" s="88">
        <f>MAX(L31:L43)</f>
        <v>134.16666666666669</v>
      </c>
      <c r="F51" s="61"/>
      <c r="G51" s="61"/>
      <c r="H51" s="61"/>
      <c r="I51" s="61"/>
      <c r="J51" s="61"/>
      <c r="K51" s="61"/>
      <c r="L51" s="66"/>
      <c r="M51" s="61"/>
    </row>
    <row r="52" spans="2:13" x14ac:dyDescent="0.3">
      <c r="B52" s="61" t="s">
        <v>178</v>
      </c>
      <c r="C52" s="61"/>
      <c r="D52" s="61"/>
      <c r="E52" s="88">
        <f>MAX(K31:K43)</f>
        <v>153.36363636363635</v>
      </c>
      <c r="F52" s="61"/>
      <c r="G52" s="61"/>
      <c r="H52" s="61"/>
      <c r="I52" s="61"/>
      <c r="J52" s="61"/>
      <c r="K52" s="61"/>
      <c r="L52" s="66"/>
      <c r="M52" s="61"/>
    </row>
    <row r="53" spans="2:13" x14ac:dyDescent="0.3">
      <c r="B53" s="61"/>
      <c r="C53" s="61"/>
      <c r="D53" s="61"/>
      <c r="E53" s="61"/>
      <c r="F53" s="61"/>
      <c r="G53" s="61"/>
      <c r="H53" s="61"/>
      <c r="I53" s="61"/>
      <c r="J53" s="61"/>
      <c r="K53" s="61"/>
      <c r="L53" s="66"/>
      <c r="M53" s="61"/>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46082-347D-4E48-B9EC-0EFC6118EF9D}">
  <dimension ref="A2:AB174"/>
  <sheetViews>
    <sheetView topLeftCell="A52" workbookViewId="0">
      <selection activeCell="Y73" sqref="Y73"/>
    </sheetView>
  </sheetViews>
  <sheetFormatPr defaultRowHeight="14.4" x14ac:dyDescent="0.3"/>
  <cols>
    <col min="1" max="1" width="3.33203125" customWidth="1"/>
    <col min="2" max="2" width="10.88671875" customWidth="1"/>
    <col min="3" max="3" width="35.109375" bestFit="1" customWidth="1"/>
    <col min="4" max="4" width="14.6640625" customWidth="1"/>
    <col min="5" max="5" width="15.5546875" customWidth="1"/>
    <col min="6" max="6" width="12.88671875" bestFit="1" customWidth="1"/>
    <col min="7" max="8" width="22.88671875" bestFit="1" customWidth="1"/>
    <col min="9" max="9" width="28.5546875" customWidth="1"/>
    <col min="10" max="10" width="29.44140625" customWidth="1"/>
    <col min="11" max="11" width="19.88671875" bestFit="1" customWidth="1"/>
    <col min="12" max="13" width="22.88671875" bestFit="1" customWidth="1"/>
    <col min="14" max="14" width="24.88671875" customWidth="1"/>
    <col min="15" max="15" width="25.6640625" customWidth="1"/>
    <col min="16" max="16" width="10.33203125" customWidth="1"/>
    <col min="17" max="17" width="19.6640625" customWidth="1"/>
    <col min="18" max="18" width="20.5546875" customWidth="1"/>
    <col min="19" max="19" width="23" customWidth="1"/>
    <col min="20" max="20" width="23.33203125" customWidth="1"/>
    <col min="21" max="21" width="26.77734375" customWidth="1"/>
    <col min="22" max="22" width="27.109375" customWidth="1"/>
    <col min="23" max="23" width="41.6640625" customWidth="1"/>
    <col min="24" max="24" width="25.33203125" customWidth="1"/>
    <col min="25" max="25" width="26.5546875" customWidth="1"/>
    <col min="26" max="26" width="11" customWidth="1"/>
    <col min="27" max="27" width="17.44140625" customWidth="1"/>
  </cols>
  <sheetData>
    <row r="2" spans="1:11" x14ac:dyDescent="0.3">
      <c r="A2" t="s">
        <v>179</v>
      </c>
    </row>
    <row r="3" spans="1:11" x14ac:dyDescent="0.3">
      <c r="B3" t="s">
        <v>180</v>
      </c>
      <c r="C3" t="s">
        <v>181</v>
      </c>
      <c r="D3" t="s">
        <v>182</v>
      </c>
      <c r="E3" t="s">
        <v>183</v>
      </c>
    </row>
    <row r="4" spans="1:11" x14ac:dyDescent="0.3">
      <c r="B4" t="s">
        <v>88</v>
      </c>
      <c r="C4" t="s">
        <v>400</v>
      </c>
      <c r="D4">
        <f>VLOOKUP(C4,Employees!$B$21:$C$33,2,FALSE)</f>
        <v>22</v>
      </c>
      <c r="E4" s="54">
        <v>6.1000000000000004E-3</v>
      </c>
    </row>
    <row r="5" spans="1:11" x14ac:dyDescent="0.3">
      <c r="B5" t="s">
        <v>89</v>
      </c>
      <c r="C5" t="s">
        <v>370</v>
      </c>
      <c r="D5">
        <f>VLOOKUP(C5,Employees!$B$21:$C$33,2,FALSE)</f>
        <v>26</v>
      </c>
      <c r="E5" s="54">
        <v>7.1999999999999998E-3</v>
      </c>
    </row>
    <row r="7" spans="1:11" x14ac:dyDescent="0.3">
      <c r="A7" t="s">
        <v>140</v>
      </c>
      <c r="C7" t="s">
        <v>141</v>
      </c>
      <c r="D7" s="14" t="s">
        <v>142</v>
      </c>
      <c r="E7" t="s">
        <v>84</v>
      </c>
      <c r="H7" t="s">
        <v>143</v>
      </c>
      <c r="I7" t="s">
        <v>144</v>
      </c>
    </row>
    <row r="8" spans="1:11" x14ac:dyDescent="0.3">
      <c r="B8">
        <v>1</v>
      </c>
      <c r="C8" t="s">
        <v>184</v>
      </c>
      <c r="H8" t="s">
        <v>19</v>
      </c>
      <c r="J8" t="s">
        <v>146</v>
      </c>
      <c r="K8" t="s">
        <v>185</v>
      </c>
    </row>
    <row r="9" spans="1:11" x14ac:dyDescent="0.3">
      <c r="D9">
        <v>1</v>
      </c>
      <c r="E9" t="s">
        <v>186</v>
      </c>
      <c r="H9">
        <v>1.18</v>
      </c>
      <c r="I9" t="s">
        <v>187</v>
      </c>
      <c r="J9" t="s">
        <v>146</v>
      </c>
    </row>
    <row r="10" spans="1:11" x14ac:dyDescent="0.3">
      <c r="D10">
        <v>2</v>
      </c>
      <c r="E10" t="s">
        <v>188</v>
      </c>
      <c r="H10">
        <v>1.75</v>
      </c>
      <c r="I10" t="s">
        <v>187</v>
      </c>
      <c r="J10" t="s">
        <v>146</v>
      </c>
    </row>
    <row r="11" spans="1:11" x14ac:dyDescent="0.3">
      <c r="D11">
        <v>3</v>
      </c>
      <c r="E11" t="s">
        <v>189</v>
      </c>
      <c r="H11">
        <v>1.47</v>
      </c>
      <c r="J11" t="s">
        <v>146</v>
      </c>
    </row>
    <row r="13" spans="1:11" x14ac:dyDescent="0.3">
      <c r="B13">
        <v>2</v>
      </c>
      <c r="C13" t="s">
        <v>190</v>
      </c>
      <c r="H13" t="str">
        <f>E14</f>
        <v>Maintenance Workers</v>
      </c>
    </row>
    <row r="14" spans="1:11" x14ac:dyDescent="0.3">
      <c r="D14">
        <v>1</v>
      </c>
      <c r="E14" t="s">
        <v>191</v>
      </c>
    </row>
    <row r="15" spans="1:11" x14ac:dyDescent="0.3">
      <c r="D15">
        <v>2</v>
      </c>
      <c r="E15" t="s">
        <v>192</v>
      </c>
    </row>
    <row r="16" spans="1:11" x14ac:dyDescent="0.3">
      <c r="D16">
        <v>3</v>
      </c>
      <c r="E16" t="s">
        <v>193</v>
      </c>
    </row>
    <row r="18" spans="1:8" x14ac:dyDescent="0.3">
      <c r="B18">
        <v>3</v>
      </c>
      <c r="C18" t="s">
        <v>194</v>
      </c>
      <c r="H18" t="str">
        <f>E19</f>
        <v>Maintenance Workers</v>
      </c>
    </row>
    <row r="19" spans="1:8" x14ac:dyDescent="0.3">
      <c r="D19">
        <v>1</v>
      </c>
      <c r="E19" t="s">
        <v>191</v>
      </c>
    </row>
    <row r="20" spans="1:8" x14ac:dyDescent="0.3">
      <c r="D20">
        <v>2</v>
      </c>
      <c r="E20" t="s">
        <v>192</v>
      </c>
    </row>
    <row r="21" spans="1:8" x14ac:dyDescent="0.3">
      <c r="D21">
        <v>3</v>
      </c>
      <c r="E21" t="s">
        <v>193</v>
      </c>
    </row>
    <row r="23" spans="1:8" x14ac:dyDescent="0.3">
      <c r="B23">
        <v>4</v>
      </c>
    </row>
    <row r="27" spans="1:8" x14ac:dyDescent="0.3">
      <c r="A27" t="s">
        <v>153</v>
      </c>
    </row>
    <row r="28" spans="1:8" x14ac:dyDescent="0.3">
      <c r="C28" t="s">
        <v>195</v>
      </c>
      <c r="D28" t="s">
        <v>196</v>
      </c>
    </row>
    <row r="29" spans="1:8" x14ac:dyDescent="0.3">
      <c r="D29" t="s">
        <v>197</v>
      </c>
    </row>
    <row r="31" spans="1:8" x14ac:dyDescent="0.3">
      <c r="A31" t="s">
        <v>198</v>
      </c>
    </row>
    <row r="32" spans="1:8" x14ac:dyDescent="0.3">
      <c r="B32">
        <v>1</v>
      </c>
      <c r="C32" t="s">
        <v>199</v>
      </c>
      <c r="E32" t="s">
        <v>200</v>
      </c>
      <c r="F32" t="s">
        <v>201</v>
      </c>
    </row>
    <row r="33" spans="1:28" x14ac:dyDescent="0.3">
      <c r="B33">
        <v>2</v>
      </c>
      <c r="C33" t="s">
        <v>202</v>
      </c>
      <c r="H33" t="s">
        <v>203</v>
      </c>
    </row>
    <row r="34" spans="1:28" x14ac:dyDescent="0.3">
      <c r="B34">
        <v>3</v>
      </c>
      <c r="C34" t="s">
        <v>204</v>
      </c>
      <c r="H34" t="s">
        <v>203</v>
      </c>
    </row>
    <row r="35" spans="1:28" x14ac:dyDescent="0.3">
      <c r="B35">
        <v>4</v>
      </c>
      <c r="C35" t="s">
        <v>205</v>
      </c>
      <c r="H35" t="s">
        <v>203</v>
      </c>
    </row>
    <row r="37" spans="1:28" x14ac:dyDescent="0.3">
      <c r="A37" t="s">
        <v>206</v>
      </c>
      <c r="D37" t="s">
        <v>207</v>
      </c>
    </row>
    <row r="38" spans="1:28" x14ac:dyDescent="0.3">
      <c r="B38" s="77" t="s">
        <v>208</v>
      </c>
      <c r="C38" s="77" t="s">
        <v>209</v>
      </c>
      <c r="D38" s="77" t="s">
        <v>590</v>
      </c>
      <c r="E38" s="77" t="s">
        <v>210</v>
      </c>
      <c r="F38" s="78" t="s">
        <v>211</v>
      </c>
      <c r="G38" s="78" t="s">
        <v>212</v>
      </c>
      <c r="H38" s="78" t="s">
        <v>213</v>
      </c>
      <c r="I38" s="78" t="s">
        <v>214</v>
      </c>
      <c r="J38" s="78" t="s">
        <v>215</v>
      </c>
      <c r="K38" s="78" t="s">
        <v>216</v>
      </c>
      <c r="L38" s="78" t="s">
        <v>217</v>
      </c>
      <c r="M38" s="78" t="s">
        <v>218</v>
      </c>
      <c r="N38" s="78" t="s">
        <v>219</v>
      </c>
      <c r="O38" s="78" t="s">
        <v>220</v>
      </c>
      <c r="P38" s="77" t="s">
        <v>221</v>
      </c>
      <c r="Q38" s="77" t="s">
        <v>222</v>
      </c>
      <c r="R38" s="77" t="s">
        <v>223</v>
      </c>
      <c r="S38" s="77" t="s">
        <v>224</v>
      </c>
      <c r="T38" s="78" t="s">
        <v>225</v>
      </c>
      <c r="U38" s="78" t="s">
        <v>226</v>
      </c>
      <c r="V38" s="78" t="s">
        <v>227</v>
      </c>
      <c r="W38" s="78" t="s">
        <v>228</v>
      </c>
      <c r="X38" s="78" t="s">
        <v>229</v>
      </c>
      <c r="Y38" s="78" t="s">
        <v>591</v>
      </c>
      <c r="Z38" s="78" t="s">
        <v>230</v>
      </c>
      <c r="AA38" s="78" t="s">
        <v>231</v>
      </c>
      <c r="AB38" s="13"/>
    </row>
    <row r="39" spans="1:28" x14ac:dyDescent="0.3">
      <c r="B39">
        <v>1</v>
      </c>
      <c r="C39" t="s">
        <v>232</v>
      </c>
      <c r="E39" s="97">
        <v>14</v>
      </c>
      <c r="F39" s="97">
        <v>14</v>
      </c>
      <c r="G39" s="98">
        <f t="shared" ref="G39:G69" si="0">E39*$E$4</f>
        <v>8.5400000000000004E-2</v>
      </c>
      <c r="H39" s="98">
        <f t="shared" ref="H39:H69" si="1">E39*$E$5</f>
        <v>0.1008</v>
      </c>
      <c r="I39" s="98">
        <f>G39</f>
        <v>8.5400000000000004E-2</v>
      </c>
      <c r="J39" s="98">
        <f>H39</f>
        <v>0.1008</v>
      </c>
      <c r="K39" s="97">
        <v>1</v>
      </c>
      <c r="L39" s="99">
        <f>VLOOKUP($K39,Components!$A$3:$I$23,8,FALSE)</f>
        <v>6.6059999999999999</v>
      </c>
      <c r="M39" s="100">
        <f>VLOOKUP($K39,Components!$A$3:$I$23,9,FALSE)</f>
        <v>6.9363000000000001</v>
      </c>
      <c r="N39" s="98">
        <f>L39+G39</f>
        <v>6.6913999999999998</v>
      </c>
      <c r="O39" s="98">
        <f>M39+H39</f>
        <v>7.0371000000000006</v>
      </c>
      <c r="P39" s="97"/>
      <c r="Q39" s="97"/>
      <c r="R39" s="97"/>
      <c r="S39" s="97"/>
      <c r="T39" s="97"/>
      <c r="U39" s="97"/>
      <c r="V39" s="97"/>
      <c r="W39" s="97">
        <f>F39</f>
        <v>14</v>
      </c>
      <c r="X39" s="98">
        <f>SUM(G39,L39,S39,U39)</f>
        <v>6.6913999999999998</v>
      </c>
      <c r="Y39" s="98">
        <f>SUM(H39,M39,T39,V39)</f>
        <v>7.0371000000000006</v>
      </c>
      <c r="Z39" s="94">
        <v>1</v>
      </c>
      <c r="AA39" s="94">
        <f>Z39</f>
        <v>1</v>
      </c>
    </row>
    <row r="40" spans="1:28" x14ac:dyDescent="0.3">
      <c r="B40">
        <v>2</v>
      </c>
      <c r="C40" t="s">
        <v>233</v>
      </c>
      <c r="E40" s="97">
        <v>5</v>
      </c>
      <c r="F40" s="97">
        <f t="shared" ref="F40:F69" si="2">F39+E40</f>
        <v>19</v>
      </c>
      <c r="G40" s="98">
        <f t="shared" si="0"/>
        <v>3.0500000000000003E-2</v>
      </c>
      <c r="H40" s="98">
        <f t="shared" si="1"/>
        <v>3.5999999999999997E-2</v>
      </c>
      <c r="I40" s="98">
        <f t="shared" ref="I40:I69" si="3">I39+G40</f>
        <v>0.1159</v>
      </c>
      <c r="J40" s="98">
        <f t="shared" ref="J40:J69" si="4">J39+H40</f>
        <v>0.1368</v>
      </c>
      <c r="K40" s="97"/>
      <c r="L40" s="99"/>
      <c r="M40" s="100"/>
      <c r="N40" s="98">
        <f t="shared" ref="N40:N69" si="5">N39+L40+G40</f>
        <v>6.7218999999999998</v>
      </c>
      <c r="O40" s="98">
        <f t="shared" ref="O40:O69" si="6">O39+M40+H40</f>
        <v>7.0731000000000002</v>
      </c>
      <c r="P40" s="97">
        <v>2</v>
      </c>
      <c r="Q40" s="101" t="s">
        <v>234</v>
      </c>
      <c r="R40" s="102">
        <f>F83</f>
        <v>45.673469387755105</v>
      </c>
      <c r="S40" s="98">
        <f>$R40*$E$4</f>
        <v>0.27860816326530619</v>
      </c>
      <c r="T40" s="98">
        <f>$R40*$E$5</f>
        <v>0.32884897959183673</v>
      </c>
      <c r="U40" s="98">
        <f>L77</f>
        <v>6.6059999999999999</v>
      </c>
      <c r="V40" s="98">
        <f>M77</f>
        <v>6.9363000000000001</v>
      </c>
      <c r="W40" s="102">
        <f>W39+E40+R40</f>
        <v>64.673469387755105</v>
      </c>
      <c r="X40" s="98">
        <f t="shared" ref="X40:X69" si="7">SUM(X39,G40,L40,S40,U40)</f>
        <v>13.606508163265307</v>
      </c>
      <c r="Y40" s="98">
        <f t="shared" ref="Y40:Y69" si="8">SUM(Y39,H40,M40,T40,V40)</f>
        <v>14.338248979591837</v>
      </c>
      <c r="Z40" s="90">
        <f t="shared" ref="Z40:Z69" si="9">1-P40/100</f>
        <v>0.98</v>
      </c>
      <c r="AA40" s="90">
        <f>Z40*AA39</f>
        <v>0.98</v>
      </c>
    </row>
    <row r="41" spans="1:28" x14ac:dyDescent="0.3">
      <c r="B41">
        <v>3</v>
      </c>
      <c r="C41" t="s">
        <v>235</v>
      </c>
      <c r="E41" s="97">
        <v>3</v>
      </c>
      <c r="F41" s="97">
        <f t="shared" si="2"/>
        <v>22</v>
      </c>
      <c r="G41" s="98">
        <f t="shared" si="0"/>
        <v>1.83E-2</v>
      </c>
      <c r="H41" s="98">
        <f t="shared" si="1"/>
        <v>2.1600000000000001E-2</v>
      </c>
      <c r="I41" s="98">
        <f t="shared" si="3"/>
        <v>0.13420000000000001</v>
      </c>
      <c r="J41" s="98">
        <f t="shared" si="4"/>
        <v>0.15840000000000001</v>
      </c>
      <c r="K41" s="97">
        <v>2</v>
      </c>
      <c r="L41" s="99">
        <f>VLOOKUP($K41,Components!$A$3:$I$23,8,FALSE)</f>
        <v>8.1000000000000003E-2</v>
      </c>
      <c r="M41" s="100">
        <f>VLOOKUP($K41,Components!$A$3:$I$23,9,FALSE)</f>
        <v>8.5050000000000001E-2</v>
      </c>
      <c r="N41" s="98">
        <f t="shared" si="5"/>
        <v>6.8212000000000002</v>
      </c>
      <c r="O41" s="98">
        <f t="shared" si="6"/>
        <v>7.1797500000000003</v>
      </c>
      <c r="P41" s="97"/>
      <c r="Q41" s="97"/>
      <c r="R41" s="97"/>
      <c r="S41" s="97"/>
      <c r="T41" s="97"/>
      <c r="U41" s="97"/>
      <c r="V41" s="97"/>
      <c r="W41" s="102">
        <f t="shared" ref="W41:W69" si="10">W40+E41+R41</f>
        <v>67.673469387755105</v>
      </c>
      <c r="X41" s="98">
        <f t="shared" si="7"/>
        <v>13.705808163265306</v>
      </c>
      <c r="Y41" s="98">
        <f t="shared" si="8"/>
        <v>14.444898979591837</v>
      </c>
      <c r="Z41" s="90">
        <f t="shared" si="9"/>
        <v>1</v>
      </c>
      <c r="AA41" s="90">
        <f t="shared" ref="AA41:AA69" si="11">Z41*AA40</f>
        <v>0.98</v>
      </c>
    </row>
    <row r="42" spans="1:28" x14ac:dyDescent="0.3">
      <c r="B42">
        <v>4</v>
      </c>
      <c r="C42" t="s">
        <v>236</v>
      </c>
      <c r="E42" s="97">
        <v>7</v>
      </c>
      <c r="F42" s="97">
        <f t="shared" si="2"/>
        <v>29</v>
      </c>
      <c r="G42" s="98">
        <f t="shared" si="0"/>
        <v>4.2700000000000002E-2</v>
      </c>
      <c r="H42" s="98">
        <f t="shared" si="1"/>
        <v>5.04E-2</v>
      </c>
      <c r="I42" s="98">
        <f t="shared" si="3"/>
        <v>0.1769</v>
      </c>
      <c r="J42" s="98">
        <f t="shared" si="4"/>
        <v>0.20880000000000001</v>
      </c>
      <c r="K42" s="97">
        <v>12</v>
      </c>
      <c r="L42" s="99">
        <f>VLOOKUP($K42,Components!$A$3:$I$23,8,FALSE)</f>
        <v>3</v>
      </c>
      <c r="M42" s="100">
        <f>VLOOKUP($K42,Components!$A$3:$I$23,9,FALSE)</f>
        <v>3.15</v>
      </c>
      <c r="N42" s="98">
        <f t="shared" si="5"/>
        <v>9.863900000000001</v>
      </c>
      <c r="O42" s="98">
        <f t="shared" si="6"/>
        <v>10.38015</v>
      </c>
      <c r="P42" s="97"/>
      <c r="Q42" s="97"/>
      <c r="R42" s="97"/>
      <c r="S42" s="97"/>
      <c r="T42" s="97"/>
      <c r="U42" s="97"/>
      <c r="V42" s="97"/>
      <c r="W42" s="102">
        <f t="shared" si="10"/>
        <v>74.673469387755105</v>
      </c>
      <c r="X42" s="98">
        <f t="shared" si="7"/>
        <v>16.748508163265306</v>
      </c>
      <c r="Y42" s="98">
        <f t="shared" si="8"/>
        <v>17.645298979591836</v>
      </c>
      <c r="Z42" s="90">
        <f t="shared" si="9"/>
        <v>1</v>
      </c>
      <c r="AA42" s="90">
        <f t="shared" si="11"/>
        <v>0.98</v>
      </c>
    </row>
    <row r="43" spans="1:28" x14ac:dyDescent="0.3">
      <c r="B43">
        <v>5</v>
      </c>
      <c r="C43" t="s">
        <v>237</v>
      </c>
      <c r="E43" s="97">
        <v>2</v>
      </c>
      <c r="F43" s="97">
        <f t="shared" si="2"/>
        <v>31</v>
      </c>
      <c r="G43" s="98">
        <f t="shared" si="0"/>
        <v>1.2200000000000001E-2</v>
      </c>
      <c r="H43" s="98">
        <f t="shared" si="1"/>
        <v>1.44E-2</v>
      </c>
      <c r="I43" s="98">
        <f t="shared" si="3"/>
        <v>0.18909999999999999</v>
      </c>
      <c r="J43" s="98">
        <f t="shared" si="4"/>
        <v>0.22320000000000001</v>
      </c>
      <c r="K43" s="97"/>
      <c r="L43" s="99"/>
      <c r="M43" s="100"/>
      <c r="N43" s="98">
        <f t="shared" si="5"/>
        <v>9.876100000000001</v>
      </c>
      <c r="O43" s="98">
        <f t="shared" si="6"/>
        <v>10.394550000000001</v>
      </c>
      <c r="P43" s="97">
        <v>5.2</v>
      </c>
      <c r="Q43" s="101" t="s">
        <v>238</v>
      </c>
      <c r="R43" s="102">
        <f>F94</f>
        <v>36.673469387755105</v>
      </c>
      <c r="S43" s="98">
        <f>$R43*$E$4</f>
        <v>0.22370816326530615</v>
      </c>
      <c r="T43" s="98">
        <f>$R43*$E$5</f>
        <v>0.26404897959183676</v>
      </c>
      <c r="U43" s="98">
        <f>SUM(L87:L94)</f>
        <v>3.081</v>
      </c>
      <c r="V43" s="98">
        <f>SUM(M87:M94)</f>
        <v>3.2350499999999998</v>
      </c>
      <c r="W43" s="102">
        <f t="shared" si="10"/>
        <v>113.34693877551021</v>
      </c>
      <c r="X43" s="98">
        <f t="shared" si="7"/>
        <v>20.065416326530613</v>
      </c>
      <c r="Y43" s="98">
        <f t="shared" si="8"/>
        <v>21.158797959183673</v>
      </c>
      <c r="Z43" s="90">
        <f t="shared" si="9"/>
        <v>0.94799999999999995</v>
      </c>
      <c r="AA43" s="90">
        <f t="shared" si="11"/>
        <v>0.92903999999999998</v>
      </c>
    </row>
    <row r="44" spans="1:28" x14ac:dyDescent="0.3">
      <c r="B44">
        <v>6</v>
      </c>
      <c r="C44" t="s">
        <v>239</v>
      </c>
      <c r="E44" s="97">
        <v>6.6</v>
      </c>
      <c r="F44" s="97">
        <f t="shared" si="2"/>
        <v>37.6</v>
      </c>
      <c r="G44" s="98">
        <f t="shared" si="0"/>
        <v>4.0259999999999997E-2</v>
      </c>
      <c r="H44" s="98">
        <f t="shared" si="1"/>
        <v>4.7519999999999993E-2</v>
      </c>
      <c r="I44" s="98">
        <f t="shared" si="3"/>
        <v>0.22935999999999998</v>
      </c>
      <c r="J44" s="98">
        <f t="shared" si="4"/>
        <v>0.27072000000000002</v>
      </c>
      <c r="K44" s="97">
        <v>10</v>
      </c>
      <c r="L44" s="99">
        <f>VLOOKUP($K44,Components!$A$3:$I$23,8,FALSE)</f>
        <v>4</v>
      </c>
      <c r="M44" s="100">
        <f>VLOOKUP($K44,Components!$A$3:$I$23,9,FALSE)</f>
        <v>4.2</v>
      </c>
      <c r="N44" s="98">
        <f t="shared" si="5"/>
        <v>13.916360000000001</v>
      </c>
      <c r="O44" s="98">
        <f t="shared" si="6"/>
        <v>14.642070000000002</v>
      </c>
      <c r="P44" s="97"/>
      <c r="Q44" s="97"/>
      <c r="R44" s="97"/>
      <c r="S44" s="97"/>
      <c r="T44" s="97"/>
      <c r="U44" s="97"/>
      <c r="V44" s="97"/>
      <c r="W44" s="102">
        <f t="shared" si="10"/>
        <v>119.9469387755102</v>
      </c>
      <c r="X44" s="98">
        <f t="shared" si="7"/>
        <v>24.105676326530613</v>
      </c>
      <c r="Y44" s="98">
        <f t="shared" si="8"/>
        <v>25.406317959183671</v>
      </c>
      <c r="Z44" s="90">
        <f t="shared" si="9"/>
        <v>1</v>
      </c>
      <c r="AA44" s="90">
        <f t="shared" si="11"/>
        <v>0.92903999999999998</v>
      </c>
    </row>
    <row r="45" spans="1:28" x14ac:dyDescent="0.3">
      <c r="B45">
        <v>7</v>
      </c>
      <c r="C45" t="s">
        <v>240</v>
      </c>
      <c r="E45" s="97">
        <v>20</v>
      </c>
      <c r="F45" s="97">
        <f t="shared" si="2"/>
        <v>57.6</v>
      </c>
      <c r="G45" s="98">
        <f t="shared" si="0"/>
        <v>0.12200000000000001</v>
      </c>
      <c r="H45" s="98">
        <f t="shared" si="1"/>
        <v>0.14399999999999999</v>
      </c>
      <c r="I45" s="98">
        <f t="shared" si="3"/>
        <v>0.35136000000000001</v>
      </c>
      <c r="J45" s="98">
        <f t="shared" si="4"/>
        <v>0.41471999999999998</v>
      </c>
      <c r="K45" s="97">
        <v>4</v>
      </c>
      <c r="L45" s="99">
        <f>VLOOKUP($K45,Components!$A$3:$I$23,8,FALSE)</f>
        <v>14.99</v>
      </c>
      <c r="M45" s="100">
        <f>VLOOKUP($K45,Components!$A$3:$I$23,9,FALSE)</f>
        <v>15.7395</v>
      </c>
      <c r="N45" s="98">
        <f t="shared" si="5"/>
        <v>29.028359999999999</v>
      </c>
      <c r="O45" s="98">
        <f t="shared" si="6"/>
        <v>30.525570000000002</v>
      </c>
      <c r="P45" s="97"/>
      <c r="Q45" s="97"/>
      <c r="R45" s="97"/>
      <c r="S45" s="97"/>
      <c r="T45" s="97"/>
      <c r="U45" s="97"/>
      <c r="V45" s="97"/>
      <c r="W45" s="102">
        <f t="shared" si="10"/>
        <v>139.9469387755102</v>
      </c>
      <c r="X45" s="98">
        <f t="shared" si="7"/>
        <v>39.217676326530615</v>
      </c>
      <c r="Y45" s="98">
        <f t="shared" si="8"/>
        <v>41.289817959183665</v>
      </c>
      <c r="Z45" s="90">
        <f t="shared" si="9"/>
        <v>1</v>
      </c>
      <c r="AA45" s="90">
        <f t="shared" si="11"/>
        <v>0.92903999999999998</v>
      </c>
    </row>
    <row r="46" spans="1:28" x14ac:dyDescent="0.3">
      <c r="B46">
        <v>8</v>
      </c>
      <c r="C46" t="s">
        <v>241</v>
      </c>
      <c r="E46" s="97">
        <v>30</v>
      </c>
      <c r="F46" s="97">
        <f t="shared" si="2"/>
        <v>87.6</v>
      </c>
      <c r="G46" s="98">
        <f t="shared" si="0"/>
        <v>0.18300000000000002</v>
      </c>
      <c r="H46" s="98">
        <f t="shared" si="1"/>
        <v>0.216</v>
      </c>
      <c r="I46" s="98">
        <f t="shared" si="3"/>
        <v>0.53436000000000006</v>
      </c>
      <c r="J46" s="98">
        <f t="shared" si="4"/>
        <v>0.63071999999999995</v>
      </c>
      <c r="K46" s="97"/>
      <c r="L46" s="99"/>
      <c r="M46" s="100"/>
      <c r="N46" s="98">
        <f t="shared" si="5"/>
        <v>29.211359999999999</v>
      </c>
      <c r="O46" s="98">
        <f t="shared" si="6"/>
        <v>30.741570000000003</v>
      </c>
      <c r="P46" s="97">
        <v>2</v>
      </c>
      <c r="Q46" s="101" t="s">
        <v>242</v>
      </c>
      <c r="R46" s="97">
        <f>F102</f>
        <v>37.6</v>
      </c>
      <c r="S46" s="98">
        <f>$R46*$E$4</f>
        <v>0.22936000000000004</v>
      </c>
      <c r="T46" s="98">
        <f>$R46*$E$5</f>
        <v>0.27072000000000002</v>
      </c>
      <c r="U46" s="98">
        <f>SUM(L100:L102)</f>
        <v>18.990000000000002</v>
      </c>
      <c r="V46" s="98">
        <f>SUM(M100:M102)</f>
        <v>19.939499999999999</v>
      </c>
      <c r="W46" s="102">
        <f t="shared" si="10"/>
        <v>207.5469387755102</v>
      </c>
      <c r="X46" s="98">
        <f t="shared" si="7"/>
        <v>58.620036326530617</v>
      </c>
      <c r="Y46" s="98">
        <f t="shared" si="8"/>
        <v>61.716037959183666</v>
      </c>
      <c r="Z46" s="90">
        <f t="shared" si="9"/>
        <v>0.98</v>
      </c>
      <c r="AA46" s="90">
        <f t="shared" si="11"/>
        <v>0.91045919999999991</v>
      </c>
    </row>
    <row r="47" spans="1:28" x14ac:dyDescent="0.3">
      <c r="B47">
        <v>9</v>
      </c>
      <c r="C47" t="s">
        <v>243</v>
      </c>
      <c r="E47" s="97">
        <v>24</v>
      </c>
      <c r="F47" s="97">
        <f t="shared" si="2"/>
        <v>111.6</v>
      </c>
      <c r="G47" s="98">
        <f t="shared" si="0"/>
        <v>0.1464</v>
      </c>
      <c r="H47" s="98">
        <f t="shared" si="1"/>
        <v>0.17280000000000001</v>
      </c>
      <c r="I47" s="98">
        <f t="shared" si="3"/>
        <v>0.68076000000000003</v>
      </c>
      <c r="J47" s="98">
        <f t="shared" si="4"/>
        <v>0.80352000000000001</v>
      </c>
      <c r="K47" s="97"/>
      <c r="L47" s="99"/>
      <c r="M47" s="100"/>
      <c r="N47" s="98">
        <f t="shared" si="5"/>
        <v>29.357759999999999</v>
      </c>
      <c r="O47" s="98">
        <f t="shared" si="6"/>
        <v>30.914370000000002</v>
      </c>
      <c r="P47" s="97"/>
      <c r="Q47" s="97"/>
      <c r="R47" s="97"/>
      <c r="S47" s="97"/>
      <c r="T47" s="97"/>
      <c r="U47" s="97"/>
      <c r="V47" s="97"/>
      <c r="W47" s="102">
        <f t="shared" si="10"/>
        <v>231.5469387755102</v>
      </c>
      <c r="X47" s="98">
        <f t="shared" si="7"/>
        <v>58.766436326530616</v>
      </c>
      <c r="Y47" s="98">
        <f t="shared" si="8"/>
        <v>61.888837959183668</v>
      </c>
      <c r="Z47" s="90">
        <f t="shared" si="9"/>
        <v>1</v>
      </c>
      <c r="AA47" s="90">
        <f t="shared" si="11"/>
        <v>0.91045919999999991</v>
      </c>
    </row>
    <row r="48" spans="1:28" x14ac:dyDescent="0.3">
      <c r="B48">
        <v>10</v>
      </c>
      <c r="C48" t="s">
        <v>244</v>
      </c>
      <c r="E48" s="97">
        <v>12</v>
      </c>
      <c r="F48" s="97">
        <f t="shared" si="2"/>
        <v>123.6</v>
      </c>
      <c r="G48" s="98">
        <f t="shared" si="0"/>
        <v>7.3200000000000001E-2</v>
      </c>
      <c r="H48" s="98">
        <f t="shared" si="1"/>
        <v>8.6400000000000005E-2</v>
      </c>
      <c r="I48" s="98">
        <f t="shared" si="3"/>
        <v>0.75396000000000007</v>
      </c>
      <c r="J48" s="98">
        <f t="shared" si="4"/>
        <v>0.88992000000000004</v>
      </c>
      <c r="K48" s="97">
        <v>7</v>
      </c>
      <c r="L48" s="99">
        <f>VLOOKUP($K48,Components!$A$3:$I$23,8,FALSE)</f>
        <v>0.56999999999999995</v>
      </c>
      <c r="M48" s="100">
        <f>VLOOKUP($K48,Components!$A$3:$I$23,9,FALSE)</f>
        <v>0.59849999999999992</v>
      </c>
      <c r="N48" s="98">
        <f t="shared" si="5"/>
        <v>30.000959999999999</v>
      </c>
      <c r="O48" s="98">
        <f t="shared" si="6"/>
        <v>31.599270000000004</v>
      </c>
      <c r="P48" s="97"/>
      <c r="Q48" s="97"/>
      <c r="R48" s="97"/>
      <c r="S48" s="97"/>
      <c r="T48" s="97"/>
      <c r="U48" s="97"/>
      <c r="V48" s="97"/>
      <c r="W48" s="102">
        <f t="shared" si="10"/>
        <v>243.5469387755102</v>
      </c>
      <c r="X48" s="98">
        <f t="shared" si="7"/>
        <v>59.409636326530617</v>
      </c>
      <c r="Y48" s="98">
        <f t="shared" si="8"/>
        <v>62.573737959183667</v>
      </c>
      <c r="Z48" s="90">
        <f t="shared" si="9"/>
        <v>1</v>
      </c>
      <c r="AA48" s="90">
        <f t="shared" si="11"/>
        <v>0.91045919999999991</v>
      </c>
    </row>
    <row r="49" spans="2:27" x14ac:dyDescent="0.3">
      <c r="B49">
        <v>11</v>
      </c>
      <c r="C49" t="s">
        <v>245</v>
      </c>
      <c r="E49" s="97">
        <v>6</v>
      </c>
      <c r="F49" s="97">
        <f t="shared" si="2"/>
        <v>129.6</v>
      </c>
      <c r="G49" s="98">
        <f t="shared" si="0"/>
        <v>3.6600000000000001E-2</v>
      </c>
      <c r="H49" s="98">
        <f t="shared" si="1"/>
        <v>4.3200000000000002E-2</v>
      </c>
      <c r="I49" s="98">
        <f t="shared" si="3"/>
        <v>0.79056000000000004</v>
      </c>
      <c r="J49" s="98">
        <f t="shared" si="4"/>
        <v>0.93312000000000006</v>
      </c>
      <c r="K49" s="97"/>
      <c r="L49" s="99"/>
      <c r="M49" s="100"/>
      <c r="N49" s="98">
        <f t="shared" si="5"/>
        <v>30.037559999999999</v>
      </c>
      <c r="O49" s="98">
        <f t="shared" si="6"/>
        <v>31.642470000000003</v>
      </c>
      <c r="P49" s="97"/>
      <c r="Q49" s="97"/>
      <c r="R49" s="97"/>
      <c r="S49" s="97"/>
      <c r="T49" s="97"/>
      <c r="U49" s="97"/>
      <c r="V49" s="97"/>
      <c r="W49" s="102">
        <f t="shared" si="10"/>
        <v>249.5469387755102</v>
      </c>
      <c r="X49" s="98">
        <f t="shared" si="7"/>
        <v>59.446236326530617</v>
      </c>
      <c r="Y49" s="98">
        <f t="shared" si="8"/>
        <v>62.616937959183666</v>
      </c>
      <c r="Z49" s="90">
        <f t="shared" si="9"/>
        <v>1</v>
      </c>
      <c r="AA49" s="90">
        <f t="shared" si="11"/>
        <v>0.91045919999999991</v>
      </c>
    </row>
    <row r="50" spans="2:27" x14ac:dyDescent="0.3">
      <c r="B50">
        <v>12</v>
      </c>
      <c r="C50" t="s">
        <v>246</v>
      </c>
      <c r="E50" s="97">
        <v>2</v>
      </c>
      <c r="F50" s="97">
        <f t="shared" si="2"/>
        <v>131.6</v>
      </c>
      <c r="G50" s="98">
        <f t="shared" si="0"/>
        <v>1.2200000000000001E-2</v>
      </c>
      <c r="H50" s="98">
        <f t="shared" si="1"/>
        <v>1.44E-2</v>
      </c>
      <c r="I50" s="98">
        <f t="shared" si="3"/>
        <v>0.80276000000000003</v>
      </c>
      <c r="J50" s="98">
        <f t="shared" si="4"/>
        <v>0.94752000000000003</v>
      </c>
      <c r="K50" s="97"/>
      <c r="L50" s="99"/>
      <c r="M50" s="100"/>
      <c r="N50" s="98">
        <f t="shared" si="5"/>
        <v>30.049759999999999</v>
      </c>
      <c r="O50" s="98">
        <f t="shared" si="6"/>
        <v>31.656870000000001</v>
      </c>
      <c r="P50" s="97">
        <v>7.5</v>
      </c>
      <c r="Q50" s="101" t="s">
        <v>247</v>
      </c>
      <c r="R50" s="102">
        <f>F115</f>
        <v>58.673469387755105</v>
      </c>
      <c r="S50" s="98">
        <f>$R50*$E$4</f>
        <v>0.35790816326530617</v>
      </c>
      <c r="T50" s="98">
        <f>$R50*$E$5</f>
        <v>0.42244897959183675</v>
      </c>
      <c r="U50" s="98">
        <f>SUM(L107:L115)</f>
        <v>0.56999999999999995</v>
      </c>
      <c r="V50" s="98">
        <f>SUM(M107:M115)</f>
        <v>0.59849999999999992</v>
      </c>
      <c r="W50" s="102">
        <f t="shared" si="10"/>
        <v>310.22040816326529</v>
      </c>
      <c r="X50" s="98">
        <f t="shared" si="7"/>
        <v>60.386344489795924</v>
      </c>
      <c r="Y50" s="98">
        <f t="shared" si="8"/>
        <v>63.652286938775504</v>
      </c>
      <c r="Z50" s="90">
        <f t="shared" si="9"/>
        <v>0.92500000000000004</v>
      </c>
      <c r="AA50" s="90">
        <f t="shared" si="11"/>
        <v>0.84217475999999991</v>
      </c>
    </row>
    <row r="51" spans="2:27" x14ac:dyDescent="0.3">
      <c r="B51">
        <v>13</v>
      </c>
      <c r="C51" t="s">
        <v>248</v>
      </c>
      <c r="E51" s="97">
        <v>4.4000000000000004</v>
      </c>
      <c r="F51" s="97">
        <f t="shared" si="2"/>
        <v>136</v>
      </c>
      <c r="G51" s="98">
        <f t="shared" si="0"/>
        <v>2.6840000000000003E-2</v>
      </c>
      <c r="H51" s="98">
        <f t="shared" si="1"/>
        <v>3.168E-2</v>
      </c>
      <c r="I51" s="98">
        <f t="shared" si="3"/>
        <v>0.8296</v>
      </c>
      <c r="J51" s="98">
        <f t="shared" si="4"/>
        <v>0.97920000000000007</v>
      </c>
      <c r="K51" s="97">
        <v>5</v>
      </c>
      <c r="L51" s="99">
        <f>VLOOKUP($K51,Components!$A$3:$I$23,8,FALSE)</f>
        <v>4.1500000000000004</v>
      </c>
      <c r="M51" s="100">
        <f>VLOOKUP($K51,Components!$A$3:$I$23,9,FALSE)</f>
        <v>4.3574999999999999</v>
      </c>
      <c r="N51" s="98">
        <f t="shared" si="5"/>
        <v>34.226599999999998</v>
      </c>
      <c r="O51" s="98">
        <f t="shared" si="6"/>
        <v>36.046050000000001</v>
      </c>
      <c r="P51" s="97"/>
      <c r="Q51" s="97"/>
      <c r="R51" s="97"/>
      <c r="S51" s="97"/>
      <c r="T51" s="97"/>
      <c r="U51" s="97"/>
      <c r="V51" s="97"/>
      <c r="W51" s="102">
        <f t="shared" si="10"/>
        <v>314.62040816326527</v>
      </c>
      <c r="X51" s="98">
        <f t="shared" si="7"/>
        <v>64.56318448979593</v>
      </c>
      <c r="Y51" s="98">
        <f t="shared" si="8"/>
        <v>68.0414669387755</v>
      </c>
      <c r="Z51" s="90">
        <f t="shared" si="9"/>
        <v>1</v>
      </c>
      <c r="AA51" s="90">
        <f t="shared" si="11"/>
        <v>0.84217475999999991</v>
      </c>
    </row>
    <row r="52" spans="2:27" x14ac:dyDescent="0.3">
      <c r="B52">
        <v>14</v>
      </c>
      <c r="C52" t="s">
        <v>245</v>
      </c>
      <c r="E52" s="97">
        <v>6</v>
      </c>
      <c r="F52" s="97">
        <f t="shared" si="2"/>
        <v>142</v>
      </c>
      <c r="G52" s="98">
        <f t="shared" si="0"/>
        <v>3.6600000000000001E-2</v>
      </c>
      <c r="H52" s="98">
        <f t="shared" si="1"/>
        <v>4.3200000000000002E-2</v>
      </c>
      <c r="I52" s="98">
        <f t="shared" si="3"/>
        <v>0.86619999999999997</v>
      </c>
      <c r="J52" s="98">
        <f t="shared" si="4"/>
        <v>1.0224</v>
      </c>
      <c r="K52" s="97"/>
      <c r="L52" s="99"/>
      <c r="M52" s="100"/>
      <c r="N52" s="98">
        <f t="shared" si="5"/>
        <v>34.263199999999998</v>
      </c>
      <c r="O52" s="98">
        <f t="shared" si="6"/>
        <v>36.08925</v>
      </c>
      <c r="P52" s="97"/>
      <c r="Q52" s="97"/>
      <c r="R52" s="97"/>
      <c r="S52" s="97"/>
      <c r="T52" s="97"/>
      <c r="U52" s="97"/>
      <c r="V52" s="97"/>
      <c r="W52" s="102">
        <f t="shared" si="10"/>
        <v>320.62040816326527</v>
      </c>
      <c r="X52" s="98">
        <f t="shared" si="7"/>
        <v>64.599784489795937</v>
      </c>
      <c r="Y52" s="98">
        <f t="shared" si="8"/>
        <v>68.084666938775499</v>
      </c>
      <c r="Z52" s="90">
        <f t="shared" si="9"/>
        <v>1</v>
      </c>
      <c r="AA52" s="90">
        <f t="shared" si="11"/>
        <v>0.84217475999999991</v>
      </c>
    </row>
    <row r="53" spans="2:27" x14ac:dyDescent="0.3">
      <c r="B53">
        <v>15</v>
      </c>
      <c r="C53" t="s">
        <v>249</v>
      </c>
      <c r="E53" s="97">
        <v>2</v>
      </c>
      <c r="F53" s="97">
        <f t="shared" si="2"/>
        <v>144</v>
      </c>
      <c r="G53" s="98">
        <f t="shared" si="0"/>
        <v>1.2200000000000001E-2</v>
      </c>
      <c r="H53" s="98">
        <f t="shared" si="1"/>
        <v>1.44E-2</v>
      </c>
      <c r="I53" s="98">
        <f t="shared" si="3"/>
        <v>0.87839999999999996</v>
      </c>
      <c r="J53" s="98">
        <f t="shared" si="4"/>
        <v>1.0367999999999999</v>
      </c>
      <c r="K53" s="97"/>
      <c r="L53" s="99"/>
      <c r="M53" s="100"/>
      <c r="N53" s="98">
        <f t="shared" si="5"/>
        <v>34.275399999999998</v>
      </c>
      <c r="O53" s="98">
        <f t="shared" si="6"/>
        <v>36.103650000000002</v>
      </c>
      <c r="P53" s="97">
        <v>0</v>
      </c>
      <c r="Q53" s="101" t="s">
        <v>250</v>
      </c>
      <c r="R53" s="102">
        <f>F128</f>
        <v>51.073469387755104</v>
      </c>
      <c r="S53" s="98">
        <f>$R53*$E$4</f>
        <v>0.31154816326530616</v>
      </c>
      <c r="T53" s="103">
        <f>$R53*$E$5</f>
        <v>0.36772897959183676</v>
      </c>
      <c r="U53" s="98">
        <f>SUM(L120:L128)</f>
        <v>4.1500000000000004</v>
      </c>
      <c r="V53" s="103">
        <v>4.1500000000000004</v>
      </c>
      <c r="W53" s="102">
        <f t="shared" si="10"/>
        <v>373.69387755102036</v>
      </c>
      <c r="X53" s="98">
        <f t="shared" si="7"/>
        <v>69.07353265306125</v>
      </c>
      <c r="Y53" s="98">
        <f t="shared" si="8"/>
        <v>72.61679591836733</v>
      </c>
      <c r="Z53" s="90">
        <f t="shared" si="9"/>
        <v>1</v>
      </c>
      <c r="AA53" s="90">
        <f t="shared" si="11"/>
        <v>0.84217475999999991</v>
      </c>
    </row>
    <row r="54" spans="2:27" x14ac:dyDescent="0.3">
      <c r="B54">
        <v>16</v>
      </c>
      <c r="C54" t="s">
        <v>251</v>
      </c>
      <c r="E54" s="97">
        <v>8.8000000000000007</v>
      </c>
      <c r="F54" s="97">
        <f t="shared" si="2"/>
        <v>152.80000000000001</v>
      </c>
      <c r="G54" s="98">
        <f t="shared" si="0"/>
        <v>5.3680000000000005E-2</v>
      </c>
      <c r="H54" s="98">
        <f t="shared" si="1"/>
        <v>6.336E-2</v>
      </c>
      <c r="I54" s="98">
        <f t="shared" si="3"/>
        <v>0.93208000000000002</v>
      </c>
      <c r="J54" s="98">
        <f t="shared" si="4"/>
        <v>1.10016</v>
      </c>
      <c r="K54" s="97">
        <v>8</v>
      </c>
      <c r="L54" s="99">
        <f>VLOOKUP($K54,Components!$A$3:$I$23,8,FALSE)</f>
        <v>0.31</v>
      </c>
      <c r="M54" s="100">
        <f>VLOOKUP($K54,Components!$A$3:$I$23,9,FALSE)</f>
        <v>0.32550000000000001</v>
      </c>
      <c r="N54" s="98">
        <f t="shared" si="5"/>
        <v>34.63908</v>
      </c>
      <c r="O54" s="98">
        <f t="shared" si="6"/>
        <v>36.492510000000003</v>
      </c>
      <c r="P54" s="97"/>
      <c r="Q54" s="97"/>
      <c r="R54" s="97"/>
      <c r="S54" s="97"/>
      <c r="T54" s="97"/>
      <c r="U54" s="97"/>
      <c r="V54" s="97"/>
      <c r="W54" s="102">
        <f t="shared" si="10"/>
        <v>382.49387755102038</v>
      </c>
      <c r="X54" s="98">
        <f t="shared" si="7"/>
        <v>69.437212653061252</v>
      </c>
      <c r="Y54" s="98">
        <f t="shared" si="8"/>
        <v>73.005655918367339</v>
      </c>
      <c r="Z54" s="90">
        <f t="shared" si="9"/>
        <v>1</v>
      </c>
      <c r="AA54" s="90">
        <f t="shared" si="11"/>
        <v>0.84217475999999991</v>
      </c>
    </row>
    <row r="55" spans="2:27" x14ac:dyDescent="0.3">
      <c r="B55">
        <v>17</v>
      </c>
      <c r="C55" t="s">
        <v>245</v>
      </c>
      <c r="E55" s="97">
        <v>6</v>
      </c>
      <c r="F55" s="97">
        <f t="shared" si="2"/>
        <v>158.80000000000001</v>
      </c>
      <c r="G55" s="98">
        <f t="shared" si="0"/>
        <v>3.6600000000000001E-2</v>
      </c>
      <c r="H55" s="98">
        <f t="shared" si="1"/>
        <v>4.3200000000000002E-2</v>
      </c>
      <c r="I55" s="98">
        <f t="shared" si="3"/>
        <v>0.96867999999999999</v>
      </c>
      <c r="J55" s="98">
        <f t="shared" si="4"/>
        <v>1.1433599999999999</v>
      </c>
      <c r="K55" s="97"/>
      <c r="L55" s="99"/>
      <c r="M55" s="100"/>
      <c r="N55" s="98">
        <f t="shared" si="5"/>
        <v>34.67568</v>
      </c>
      <c r="O55" s="98">
        <f t="shared" si="6"/>
        <v>36.535710000000002</v>
      </c>
      <c r="P55" s="97"/>
      <c r="Q55" s="97"/>
      <c r="R55" s="97"/>
      <c r="S55" s="97"/>
      <c r="T55" s="97"/>
      <c r="U55" s="97"/>
      <c r="V55" s="97"/>
      <c r="W55" s="102">
        <f t="shared" si="10"/>
        <v>388.49387755102038</v>
      </c>
      <c r="X55" s="98">
        <f t="shared" si="7"/>
        <v>69.473812653061259</v>
      </c>
      <c r="Y55" s="98">
        <f t="shared" si="8"/>
        <v>73.048855918367337</v>
      </c>
      <c r="Z55" s="90">
        <f t="shared" si="9"/>
        <v>1</v>
      </c>
      <c r="AA55" s="90">
        <f t="shared" si="11"/>
        <v>0.84217475999999991</v>
      </c>
    </row>
    <row r="56" spans="2:27" x14ac:dyDescent="0.3">
      <c r="B56">
        <v>18</v>
      </c>
      <c r="C56" t="s">
        <v>252</v>
      </c>
      <c r="E56" s="97">
        <v>2</v>
      </c>
      <c r="F56" s="97">
        <f t="shared" si="2"/>
        <v>160.80000000000001</v>
      </c>
      <c r="G56" s="98">
        <f t="shared" si="0"/>
        <v>1.2200000000000001E-2</v>
      </c>
      <c r="H56" s="98">
        <f t="shared" si="1"/>
        <v>1.44E-2</v>
      </c>
      <c r="I56" s="98">
        <f t="shared" si="3"/>
        <v>0.98087999999999997</v>
      </c>
      <c r="J56" s="98">
        <f t="shared" si="4"/>
        <v>1.1577599999999999</v>
      </c>
      <c r="K56" s="97"/>
      <c r="L56" s="99"/>
      <c r="M56" s="100"/>
      <c r="N56" s="98">
        <f t="shared" si="5"/>
        <v>34.68788</v>
      </c>
      <c r="O56" s="98">
        <f t="shared" si="6"/>
        <v>36.550110000000004</v>
      </c>
      <c r="P56" s="97"/>
      <c r="Q56" s="97"/>
      <c r="R56" s="97"/>
      <c r="S56" s="98"/>
      <c r="T56" s="98"/>
      <c r="U56" s="98"/>
      <c r="V56" s="98"/>
      <c r="W56" s="102">
        <f t="shared" si="10"/>
        <v>390.49387755102038</v>
      </c>
      <c r="X56" s="98">
        <f t="shared" si="7"/>
        <v>69.486012653061266</v>
      </c>
      <c r="Y56" s="98">
        <f t="shared" si="8"/>
        <v>73.063255918367332</v>
      </c>
      <c r="Z56" s="90">
        <f t="shared" si="9"/>
        <v>1</v>
      </c>
      <c r="AA56" s="90">
        <f t="shared" si="11"/>
        <v>0.84217475999999991</v>
      </c>
    </row>
    <row r="57" spans="2:27" x14ac:dyDescent="0.3">
      <c r="B57">
        <v>19</v>
      </c>
      <c r="C57" t="s">
        <v>253</v>
      </c>
      <c r="E57" s="97">
        <v>1.2</v>
      </c>
      <c r="F57" s="97">
        <f t="shared" si="2"/>
        <v>162</v>
      </c>
      <c r="G57" s="98">
        <f t="shared" si="0"/>
        <v>7.3200000000000001E-3</v>
      </c>
      <c r="H57" s="98">
        <f t="shared" si="1"/>
        <v>8.6400000000000001E-3</v>
      </c>
      <c r="I57" s="98">
        <f t="shared" si="3"/>
        <v>0.98819999999999997</v>
      </c>
      <c r="J57" s="98">
        <f t="shared" si="4"/>
        <v>1.1663999999999999</v>
      </c>
      <c r="K57" s="97">
        <v>11</v>
      </c>
      <c r="L57" s="99">
        <f>VLOOKUP($K57,Components!$A$3:$I$23,8,FALSE)</f>
        <v>2</v>
      </c>
      <c r="M57" s="100">
        <f>VLOOKUP($K57,Components!$A$3:$I$23,9,FALSE)</f>
        <v>2.1</v>
      </c>
      <c r="N57" s="98">
        <f t="shared" si="5"/>
        <v>36.6952</v>
      </c>
      <c r="O57" s="98">
        <f t="shared" si="6"/>
        <v>38.658750000000005</v>
      </c>
      <c r="P57" s="97">
        <v>0</v>
      </c>
      <c r="Q57" s="101" t="s">
        <v>254</v>
      </c>
      <c r="R57" s="102">
        <f>F141</f>
        <v>55.473469387755102</v>
      </c>
      <c r="S57" s="100">
        <f>$R57*$E$4</f>
        <v>0.33838816326530613</v>
      </c>
      <c r="T57" s="100">
        <f>$R57*$E$5</f>
        <v>0.39940897959183674</v>
      </c>
      <c r="U57" s="100">
        <f>SUM(L133:L141)</f>
        <v>0.31</v>
      </c>
      <c r="V57" s="100">
        <f>SUM(M133:M141)</f>
        <v>0.32550000000000001</v>
      </c>
      <c r="W57" s="102">
        <f t="shared" si="10"/>
        <v>447.16734693877549</v>
      </c>
      <c r="X57" s="98">
        <f t="shared" si="7"/>
        <v>72.141720816326583</v>
      </c>
      <c r="Y57" s="98">
        <f t="shared" si="8"/>
        <v>75.896804897959171</v>
      </c>
      <c r="Z57" s="90">
        <f t="shared" si="9"/>
        <v>1</v>
      </c>
      <c r="AA57" s="90">
        <f t="shared" si="11"/>
        <v>0.84217475999999991</v>
      </c>
    </row>
    <row r="58" spans="2:27" x14ac:dyDescent="0.3">
      <c r="B58">
        <v>20</v>
      </c>
      <c r="C58" t="s">
        <v>255</v>
      </c>
      <c r="E58" s="97">
        <v>1.2</v>
      </c>
      <c r="F58" s="97">
        <f t="shared" si="2"/>
        <v>163.19999999999999</v>
      </c>
      <c r="G58" s="98">
        <f t="shared" si="0"/>
        <v>7.3200000000000001E-3</v>
      </c>
      <c r="H58" s="98">
        <f t="shared" si="1"/>
        <v>8.6400000000000001E-3</v>
      </c>
      <c r="I58" s="98">
        <f t="shared" si="3"/>
        <v>0.99551999999999996</v>
      </c>
      <c r="J58" s="98">
        <f t="shared" si="4"/>
        <v>1.1750399999999999</v>
      </c>
      <c r="K58" s="97">
        <v>6</v>
      </c>
      <c r="L58" s="99">
        <f>VLOOKUP($K58,Components!$A$3:$I$23,8,FALSE)</f>
        <v>1.88</v>
      </c>
      <c r="M58" s="100">
        <f>VLOOKUP($K58,Components!$A$3:$I$23,9,FALSE)</f>
        <v>1.974</v>
      </c>
      <c r="N58" s="98">
        <f t="shared" si="5"/>
        <v>38.582520000000002</v>
      </c>
      <c r="O58" s="98">
        <f t="shared" si="6"/>
        <v>40.641390000000001</v>
      </c>
      <c r="P58" s="97"/>
      <c r="Q58" s="97"/>
      <c r="R58" s="97"/>
      <c r="S58" s="97"/>
      <c r="T58" s="97"/>
      <c r="U58" s="97"/>
      <c r="V58" s="97"/>
      <c r="W58" s="102">
        <f t="shared" si="10"/>
        <v>448.36734693877548</v>
      </c>
      <c r="X58" s="98">
        <f t="shared" si="7"/>
        <v>74.029040816326585</v>
      </c>
      <c r="Y58" s="98">
        <f t="shared" si="8"/>
        <v>77.879444897959175</v>
      </c>
      <c r="Z58" s="90">
        <f t="shared" si="9"/>
        <v>1</v>
      </c>
      <c r="AA58" s="90">
        <f t="shared" si="11"/>
        <v>0.84217475999999991</v>
      </c>
    </row>
    <row r="59" spans="2:27" x14ac:dyDescent="0.3">
      <c r="B59">
        <v>21</v>
      </c>
      <c r="C59" t="s">
        <v>256</v>
      </c>
      <c r="E59" s="97">
        <v>12</v>
      </c>
      <c r="F59" s="97">
        <f t="shared" si="2"/>
        <v>175.2</v>
      </c>
      <c r="G59" s="98">
        <f t="shared" si="0"/>
        <v>7.3200000000000001E-2</v>
      </c>
      <c r="H59" s="98">
        <f t="shared" si="1"/>
        <v>8.6400000000000005E-2</v>
      </c>
      <c r="I59" s="98">
        <f t="shared" si="3"/>
        <v>1.0687199999999999</v>
      </c>
      <c r="J59" s="98">
        <f t="shared" si="4"/>
        <v>1.2614399999999999</v>
      </c>
      <c r="K59" s="97">
        <v>3</v>
      </c>
      <c r="L59" s="99">
        <f>VLOOKUP($K59,Components!$A$3:$I$23,8,FALSE)</f>
        <v>17.420000000000002</v>
      </c>
      <c r="M59" s="100">
        <f>VLOOKUP($K59,Components!$A$3:$I$23,9,FALSE)</f>
        <v>18.291</v>
      </c>
      <c r="N59" s="98">
        <f t="shared" si="5"/>
        <v>56.075720000000004</v>
      </c>
      <c r="O59" s="98">
        <f t="shared" si="6"/>
        <v>59.018789999999996</v>
      </c>
      <c r="P59" s="97"/>
      <c r="Q59" s="97"/>
      <c r="R59" s="97"/>
      <c r="S59" s="97"/>
      <c r="T59" s="97"/>
      <c r="U59" s="97"/>
      <c r="V59" s="97"/>
      <c r="W59" s="102">
        <f t="shared" si="10"/>
        <v>460.36734693877548</v>
      </c>
      <c r="X59" s="98">
        <f t="shared" si="7"/>
        <v>91.522240816326587</v>
      </c>
      <c r="Y59" s="98">
        <f t="shared" si="8"/>
        <v>96.256844897959169</v>
      </c>
      <c r="Z59" s="90">
        <f t="shared" si="9"/>
        <v>1</v>
      </c>
      <c r="AA59" s="90">
        <f t="shared" si="11"/>
        <v>0.84217475999999991</v>
      </c>
    </row>
    <row r="60" spans="2:27" x14ac:dyDescent="0.3">
      <c r="B60">
        <v>22</v>
      </c>
      <c r="C60" t="s">
        <v>257</v>
      </c>
      <c r="E60" s="97">
        <v>5</v>
      </c>
      <c r="F60" s="97">
        <f t="shared" si="2"/>
        <v>180.2</v>
      </c>
      <c r="G60" s="98">
        <f t="shared" si="0"/>
        <v>3.0500000000000003E-2</v>
      </c>
      <c r="H60" s="98">
        <f t="shared" si="1"/>
        <v>3.5999999999999997E-2</v>
      </c>
      <c r="I60" s="98">
        <f t="shared" si="3"/>
        <v>1.0992199999999999</v>
      </c>
      <c r="J60" s="98">
        <f t="shared" si="4"/>
        <v>1.2974399999999999</v>
      </c>
      <c r="K60" s="97"/>
      <c r="L60" s="99"/>
      <c r="M60" s="100"/>
      <c r="N60" s="98">
        <f t="shared" si="5"/>
        <v>56.106220000000008</v>
      </c>
      <c r="O60" s="98">
        <f t="shared" si="6"/>
        <v>59.054789999999997</v>
      </c>
      <c r="P60" s="97"/>
      <c r="Q60" s="97"/>
      <c r="R60" s="97"/>
      <c r="S60" s="98"/>
      <c r="T60" s="98"/>
      <c r="U60" s="98"/>
      <c r="V60" s="98"/>
      <c r="W60" s="102">
        <f t="shared" si="10"/>
        <v>465.36734693877548</v>
      </c>
      <c r="X60" s="98">
        <f t="shared" si="7"/>
        <v>91.55274081632659</v>
      </c>
      <c r="Y60" s="98">
        <f t="shared" si="8"/>
        <v>96.292844897959171</v>
      </c>
      <c r="Z60" s="90">
        <f t="shared" si="9"/>
        <v>1</v>
      </c>
      <c r="AA60" s="90">
        <f t="shared" si="11"/>
        <v>0.84217475999999991</v>
      </c>
    </row>
    <row r="61" spans="2:27" x14ac:dyDescent="0.3">
      <c r="B61">
        <v>23</v>
      </c>
      <c r="C61" t="s">
        <v>258</v>
      </c>
      <c r="E61" s="97">
        <v>8</v>
      </c>
      <c r="F61" s="97">
        <f t="shared" si="2"/>
        <v>188.2</v>
      </c>
      <c r="G61" s="98">
        <f t="shared" si="0"/>
        <v>4.8800000000000003E-2</v>
      </c>
      <c r="H61" s="98">
        <f t="shared" si="1"/>
        <v>5.7599999999999998E-2</v>
      </c>
      <c r="I61" s="98">
        <f t="shared" si="3"/>
        <v>1.1480199999999998</v>
      </c>
      <c r="J61" s="98">
        <f t="shared" si="4"/>
        <v>1.35504</v>
      </c>
      <c r="K61" s="97">
        <v>9</v>
      </c>
      <c r="L61" s="99">
        <f>VLOOKUP($K61,Components!$A$3:$I$23,8,FALSE)</f>
        <v>38.15</v>
      </c>
      <c r="M61" s="100">
        <f>VLOOKUP($K61,Components!$A$3:$I$23,9,FALSE)</f>
        <v>40.057499999999997</v>
      </c>
      <c r="N61" s="98">
        <f t="shared" si="5"/>
        <v>94.305020000000013</v>
      </c>
      <c r="O61" s="98">
        <f t="shared" si="6"/>
        <v>99.169889999999995</v>
      </c>
      <c r="P61" s="97">
        <v>3</v>
      </c>
      <c r="Q61" s="101" t="s">
        <v>259</v>
      </c>
      <c r="R61" s="97">
        <v>0</v>
      </c>
      <c r="S61" s="104">
        <v>0</v>
      </c>
      <c r="T61" s="104">
        <v>0</v>
      </c>
      <c r="U61" s="104">
        <v>0</v>
      </c>
      <c r="V61" s="104">
        <v>0</v>
      </c>
      <c r="W61" s="102">
        <f t="shared" si="10"/>
        <v>473.36734693877548</v>
      </c>
      <c r="X61" s="98">
        <f t="shared" si="7"/>
        <v>129.75154081632658</v>
      </c>
      <c r="Y61" s="98">
        <f t="shared" si="8"/>
        <v>136.40794489795917</v>
      </c>
      <c r="Z61" s="90">
        <f t="shared" si="9"/>
        <v>0.97</v>
      </c>
      <c r="AA61" s="90">
        <f t="shared" si="11"/>
        <v>0.81690951719999993</v>
      </c>
    </row>
    <row r="62" spans="2:27" x14ac:dyDescent="0.3">
      <c r="B62">
        <v>24</v>
      </c>
      <c r="C62" t="s">
        <v>260</v>
      </c>
      <c r="E62" s="97">
        <v>13.3</v>
      </c>
      <c r="F62" s="97">
        <f t="shared" si="2"/>
        <v>201.5</v>
      </c>
      <c r="G62" s="98">
        <f t="shared" si="0"/>
        <v>8.1130000000000008E-2</v>
      </c>
      <c r="H62" s="98">
        <f t="shared" si="1"/>
        <v>9.5759999999999998E-2</v>
      </c>
      <c r="I62" s="98">
        <f t="shared" si="3"/>
        <v>1.2291499999999997</v>
      </c>
      <c r="J62" s="98">
        <f t="shared" si="4"/>
        <v>1.4508000000000001</v>
      </c>
      <c r="K62" s="97"/>
      <c r="L62" s="105"/>
      <c r="M62" s="98"/>
      <c r="N62" s="98">
        <f t="shared" si="5"/>
        <v>94.386150000000015</v>
      </c>
      <c r="O62" s="98">
        <f t="shared" si="6"/>
        <v>99.265649999999994</v>
      </c>
      <c r="P62" s="97"/>
      <c r="Q62" s="97"/>
      <c r="R62" s="97"/>
      <c r="S62" s="97"/>
      <c r="T62" s="97"/>
      <c r="U62" s="97"/>
      <c r="V62" s="97"/>
      <c r="W62" s="102">
        <f t="shared" si="10"/>
        <v>486.66734693877549</v>
      </c>
      <c r="X62" s="98">
        <f t="shared" si="7"/>
        <v>129.83267081632658</v>
      </c>
      <c r="Y62" s="98">
        <f t="shared" si="8"/>
        <v>136.50370489795918</v>
      </c>
      <c r="Z62" s="90">
        <f t="shared" si="9"/>
        <v>1</v>
      </c>
      <c r="AA62" s="90">
        <f t="shared" si="11"/>
        <v>0.81690951719999993</v>
      </c>
    </row>
    <row r="63" spans="2:27" x14ac:dyDescent="0.3">
      <c r="B63">
        <v>24</v>
      </c>
      <c r="C63" t="s">
        <v>261</v>
      </c>
      <c r="E63" s="97">
        <v>5</v>
      </c>
      <c r="F63" s="97">
        <f t="shared" si="2"/>
        <v>206.5</v>
      </c>
      <c r="G63" s="98">
        <f t="shared" si="0"/>
        <v>3.0500000000000003E-2</v>
      </c>
      <c r="H63" s="98">
        <f t="shared" si="1"/>
        <v>3.5999999999999997E-2</v>
      </c>
      <c r="I63" s="98">
        <f t="shared" si="3"/>
        <v>1.2596499999999997</v>
      </c>
      <c r="J63" s="98">
        <f t="shared" si="4"/>
        <v>1.4868000000000001</v>
      </c>
      <c r="K63" s="97"/>
      <c r="L63" s="105"/>
      <c r="M63" s="98"/>
      <c r="N63" s="98">
        <f t="shared" si="5"/>
        <v>94.416650000000018</v>
      </c>
      <c r="O63" s="98">
        <f t="shared" si="6"/>
        <v>99.301649999999995</v>
      </c>
      <c r="P63" s="97"/>
      <c r="Q63" s="97"/>
      <c r="R63" s="97"/>
      <c r="S63" s="97"/>
      <c r="T63" s="97"/>
      <c r="U63" s="97"/>
      <c r="V63" s="97"/>
      <c r="W63" s="102">
        <f t="shared" si="10"/>
        <v>491.66734693877549</v>
      </c>
      <c r="X63" s="98">
        <f t="shared" si="7"/>
        <v>129.86317081632657</v>
      </c>
      <c r="Y63" s="98">
        <f t="shared" si="8"/>
        <v>136.53970489795918</v>
      </c>
      <c r="Z63" s="90">
        <f t="shared" si="9"/>
        <v>1</v>
      </c>
      <c r="AA63" s="90">
        <f t="shared" si="11"/>
        <v>0.81690951719999993</v>
      </c>
    </row>
    <row r="64" spans="2:27" x14ac:dyDescent="0.3">
      <c r="B64">
        <v>25</v>
      </c>
      <c r="C64" t="s">
        <v>262</v>
      </c>
      <c r="E64" s="97">
        <v>10</v>
      </c>
      <c r="F64" s="97">
        <f t="shared" si="2"/>
        <v>216.5</v>
      </c>
      <c r="G64" s="98">
        <f t="shared" si="0"/>
        <v>6.1000000000000006E-2</v>
      </c>
      <c r="H64" s="98">
        <f t="shared" si="1"/>
        <v>7.1999999999999995E-2</v>
      </c>
      <c r="I64" s="98">
        <f t="shared" si="3"/>
        <v>1.3206499999999997</v>
      </c>
      <c r="J64" s="98">
        <f t="shared" si="4"/>
        <v>1.5588000000000002</v>
      </c>
      <c r="K64" s="97"/>
      <c r="L64" s="105"/>
      <c r="M64" s="98"/>
      <c r="N64" s="98">
        <f t="shared" si="5"/>
        <v>94.477650000000025</v>
      </c>
      <c r="O64" s="98">
        <f t="shared" si="6"/>
        <v>99.373649999999998</v>
      </c>
      <c r="P64" s="97">
        <v>9.5</v>
      </c>
      <c r="Q64" s="101" t="s">
        <v>263</v>
      </c>
      <c r="R64" s="97">
        <v>0</v>
      </c>
      <c r="S64" s="98">
        <v>0</v>
      </c>
      <c r="T64" s="98">
        <v>0</v>
      </c>
      <c r="U64" s="98">
        <v>0</v>
      </c>
      <c r="V64" s="98">
        <v>0</v>
      </c>
      <c r="W64" s="102">
        <f t="shared" si="10"/>
        <v>501.66734693877549</v>
      </c>
      <c r="X64" s="98">
        <f t="shared" si="7"/>
        <v>129.92417081632658</v>
      </c>
      <c r="Y64" s="98">
        <f t="shared" si="8"/>
        <v>136.61170489795919</v>
      </c>
      <c r="Z64" s="90">
        <f t="shared" si="9"/>
        <v>0.90500000000000003</v>
      </c>
      <c r="AA64" s="90">
        <f t="shared" si="11"/>
        <v>0.73930311306599994</v>
      </c>
    </row>
    <row r="65" spans="1:27" x14ac:dyDescent="0.3">
      <c r="B65">
        <v>25</v>
      </c>
      <c r="C65" t="s">
        <v>264</v>
      </c>
      <c r="E65" s="97">
        <v>15</v>
      </c>
      <c r="F65" s="97">
        <f t="shared" si="2"/>
        <v>231.5</v>
      </c>
      <c r="G65" s="98">
        <f t="shared" si="0"/>
        <v>9.1500000000000012E-2</v>
      </c>
      <c r="H65" s="98">
        <f t="shared" si="1"/>
        <v>0.108</v>
      </c>
      <c r="I65" s="98">
        <f t="shared" si="3"/>
        <v>1.4121499999999996</v>
      </c>
      <c r="J65" s="98">
        <f t="shared" si="4"/>
        <v>1.6668000000000003</v>
      </c>
      <c r="K65" s="97"/>
      <c r="L65" s="105"/>
      <c r="M65" s="98"/>
      <c r="N65" s="98">
        <f t="shared" si="5"/>
        <v>94.569150000000022</v>
      </c>
      <c r="O65" s="98">
        <f t="shared" si="6"/>
        <v>99.481650000000002</v>
      </c>
      <c r="P65" s="97"/>
      <c r="Q65" s="97"/>
      <c r="R65" s="97"/>
      <c r="S65" s="97"/>
      <c r="T65" s="97"/>
      <c r="U65" s="97"/>
      <c r="V65" s="97"/>
      <c r="W65" s="102">
        <f t="shared" si="10"/>
        <v>516.66734693877549</v>
      </c>
      <c r="X65" s="98">
        <f t="shared" si="7"/>
        <v>130.01567081632658</v>
      </c>
      <c r="Y65" s="98">
        <f t="shared" si="8"/>
        <v>136.71970489795919</v>
      </c>
      <c r="Z65" s="90">
        <f t="shared" si="9"/>
        <v>1</v>
      </c>
      <c r="AA65" s="90">
        <f t="shared" si="11"/>
        <v>0.73930311306599994</v>
      </c>
    </row>
    <row r="66" spans="1:27" x14ac:dyDescent="0.3">
      <c r="B66">
        <v>26</v>
      </c>
      <c r="C66" t="s">
        <v>265</v>
      </c>
      <c r="E66" s="97">
        <v>3</v>
      </c>
      <c r="F66" s="97">
        <f t="shared" si="2"/>
        <v>234.5</v>
      </c>
      <c r="G66" s="98">
        <f t="shared" si="0"/>
        <v>1.83E-2</v>
      </c>
      <c r="H66" s="98">
        <f t="shared" si="1"/>
        <v>2.1600000000000001E-2</v>
      </c>
      <c r="I66" s="98">
        <f t="shared" si="3"/>
        <v>1.4304499999999996</v>
      </c>
      <c r="J66" s="98">
        <f t="shared" si="4"/>
        <v>1.6884000000000003</v>
      </c>
      <c r="K66" s="97"/>
      <c r="L66" s="105"/>
      <c r="M66" s="98"/>
      <c r="N66" s="98">
        <f t="shared" si="5"/>
        <v>94.587450000000018</v>
      </c>
      <c r="O66" s="98">
        <f t="shared" si="6"/>
        <v>99.503250000000008</v>
      </c>
      <c r="P66" s="97"/>
      <c r="Q66" s="97"/>
      <c r="R66" s="97"/>
      <c r="S66" s="97"/>
      <c r="T66" s="97"/>
      <c r="U66" s="97"/>
      <c r="V66" s="97"/>
      <c r="W66" s="102">
        <f t="shared" si="10"/>
        <v>519.66734693877549</v>
      </c>
      <c r="X66" s="98">
        <f t="shared" si="7"/>
        <v>130.03397081632659</v>
      </c>
      <c r="Y66" s="98">
        <f t="shared" si="8"/>
        <v>136.7413048979592</v>
      </c>
      <c r="Z66" s="90">
        <f t="shared" si="9"/>
        <v>1</v>
      </c>
      <c r="AA66" s="90">
        <f t="shared" si="11"/>
        <v>0.73930311306599994</v>
      </c>
    </row>
    <row r="67" spans="1:27" x14ac:dyDescent="0.3">
      <c r="B67">
        <v>27</v>
      </c>
      <c r="C67" t="s">
        <v>266</v>
      </c>
      <c r="E67" s="97">
        <v>40</v>
      </c>
      <c r="F67" s="97">
        <f t="shared" si="2"/>
        <v>274.5</v>
      </c>
      <c r="G67" s="98">
        <f t="shared" si="0"/>
        <v>0.24400000000000002</v>
      </c>
      <c r="H67" s="98">
        <f t="shared" si="1"/>
        <v>0.28799999999999998</v>
      </c>
      <c r="I67" s="98">
        <f t="shared" si="3"/>
        <v>1.6744499999999995</v>
      </c>
      <c r="J67" s="98">
        <f t="shared" si="4"/>
        <v>1.9764000000000004</v>
      </c>
      <c r="K67" s="97"/>
      <c r="L67" s="105"/>
      <c r="M67" s="98"/>
      <c r="N67" s="98">
        <f t="shared" si="5"/>
        <v>94.831450000000018</v>
      </c>
      <c r="O67" s="98">
        <f t="shared" si="6"/>
        <v>99.791250000000005</v>
      </c>
      <c r="P67" s="97">
        <v>2</v>
      </c>
      <c r="Q67" s="101" t="s">
        <v>267</v>
      </c>
      <c r="R67" s="97">
        <v>0</v>
      </c>
      <c r="S67" s="98">
        <v>0</v>
      </c>
      <c r="T67" s="98">
        <v>0</v>
      </c>
      <c r="U67" s="98">
        <v>0</v>
      </c>
      <c r="V67" s="98">
        <v>0</v>
      </c>
      <c r="W67" s="102">
        <f t="shared" si="10"/>
        <v>559.66734693877549</v>
      </c>
      <c r="X67" s="98">
        <f t="shared" si="7"/>
        <v>130.27797081632659</v>
      </c>
      <c r="Y67" s="98">
        <f t="shared" si="8"/>
        <v>137.02930489795921</v>
      </c>
      <c r="Z67" s="90">
        <f t="shared" si="9"/>
        <v>0.98</v>
      </c>
      <c r="AA67" s="90">
        <f t="shared" si="11"/>
        <v>0.72451705080467987</v>
      </c>
    </row>
    <row r="68" spans="1:27" x14ac:dyDescent="0.3">
      <c r="B68">
        <v>28</v>
      </c>
      <c r="C68" t="s">
        <v>268</v>
      </c>
      <c r="E68" s="97">
        <v>19</v>
      </c>
      <c r="F68" s="97">
        <f t="shared" si="2"/>
        <v>293.5</v>
      </c>
      <c r="G68" s="98">
        <f t="shared" si="0"/>
        <v>0.1159</v>
      </c>
      <c r="H68" s="98">
        <f t="shared" si="1"/>
        <v>0.1368</v>
      </c>
      <c r="I68" s="98">
        <f t="shared" si="3"/>
        <v>1.7903499999999997</v>
      </c>
      <c r="J68" s="98">
        <f t="shared" si="4"/>
        <v>2.1132000000000004</v>
      </c>
      <c r="K68" s="97"/>
      <c r="L68" s="105"/>
      <c r="M68" s="98"/>
      <c r="N68" s="98">
        <f t="shared" si="5"/>
        <v>94.947350000000014</v>
      </c>
      <c r="O68" s="98">
        <f t="shared" si="6"/>
        <v>99.928049999999999</v>
      </c>
      <c r="P68" s="97"/>
      <c r="Q68" s="97"/>
      <c r="R68" s="97"/>
      <c r="S68" s="97"/>
      <c r="T68" s="97"/>
      <c r="U68" s="97"/>
      <c r="V68" s="97"/>
      <c r="W68" s="102">
        <f t="shared" si="10"/>
        <v>578.66734693877549</v>
      </c>
      <c r="X68" s="98">
        <f t="shared" si="7"/>
        <v>130.3938708163266</v>
      </c>
      <c r="Y68" s="98">
        <f t="shared" si="8"/>
        <v>137.1661048979592</v>
      </c>
      <c r="Z68" s="90">
        <f t="shared" si="9"/>
        <v>1</v>
      </c>
      <c r="AA68" s="90">
        <f t="shared" si="11"/>
        <v>0.72451705080467987</v>
      </c>
    </row>
    <row r="69" spans="1:27" x14ac:dyDescent="0.3">
      <c r="B69">
        <v>29</v>
      </c>
      <c r="C69" t="s">
        <v>269</v>
      </c>
      <c r="E69" s="97">
        <v>2</v>
      </c>
      <c r="F69" s="97">
        <f t="shared" si="2"/>
        <v>295.5</v>
      </c>
      <c r="G69" s="98">
        <f t="shared" si="0"/>
        <v>1.2200000000000001E-2</v>
      </c>
      <c r="H69" s="98">
        <f t="shared" si="1"/>
        <v>1.44E-2</v>
      </c>
      <c r="I69" s="98">
        <f t="shared" si="3"/>
        <v>1.8025499999999997</v>
      </c>
      <c r="J69" s="98">
        <f t="shared" si="4"/>
        <v>2.1276000000000006</v>
      </c>
      <c r="K69" s="97"/>
      <c r="L69" s="105"/>
      <c r="M69" s="98"/>
      <c r="N69" s="98">
        <f t="shared" si="5"/>
        <v>94.959550000000021</v>
      </c>
      <c r="O69" s="98">
        <f t="shared" si="6"/>
        <v>99.942449999999994</v>
      </c>
      <c r="P69" s="97"/>
      <c r="Q69" s="97"/>
      <c r="R69" s="97"/>
      <c r="S69" s="97"/>
      <c r="T69" s="97"/>
      <c r="U69" s="97"/>
      <c r="V69" s="97"/>
      <c r="W69" s="102">
        <f t="shared" si="10"/>
        <v>580.66734693877549</v>
      </c>
      <c r="X69" s="98">
        <f t="shared" si="7"/>
        <v>130.4060708163266</v>
      </c>
      <c r="Y69" s="98">
        <f t="shared" si="8"/>
        <v>137.1805048979592</v>
      </c>
      <c r="Z69" s="90">
        <f t="shared" si="9"/>
        <v>1</v>
      </c>
      <c r="AA69" s="90">
        <f t="shared" si="11"/>
        <v>0.72451705080467987</v>
      </c>
    </row>
    <row r="71" spans="1:27" x14ac:dyDescent="0.3">
      <c r="A71" t="s">
        <v>270</v>
      </c>
    </row>
    <row r="73" spans="1:27" x14ac:dyDescent="0.3">
      <c r="B73" t="s">
        <v>271</v>
      </c>
    </row>
    <row r="74" spans="1:27" x14ac:dyDescent="0.3">
      <c r="B74" s="20" t="s">
        <v>272</v>
      </c>
      <c r="C74" t="s">
        <v>273</v>
      </c>
    </row>
    <row r="75" spans="1:27" x14ac:dyDescent="0.3">
      <c r="B75" s="77" t="s">
        <v>208</v>
      </c>
      <c r="C75" s="77" t="s">
        <v>209</v>
      </c>
      <c r="D75" s="77" t="s">
        <v>274</v>
      </c>
      <c r="E75" s="77" t="s">
        <v>210</v>
      </c>
      <c r="F75" s="78" t="s">
        <v>211</v>
      </c>
      <c r="G75" s="78" t="s">
        <v>212</v>
      </c>
      <c r="H75" s="78" t="s">
        <v>213</v>
      </c>
      <c r="I75" s="78" t="s">
        <v>214</v>
      </c>
      <c r="J75" s="78" t="s">
        <v>215</v>
      </c>
      <c r="K75" s="78" t="s">
        <v>216</v>
      </c>
      <c r="L75" s="78" t="s">
        <v>217</v>
      </c>
      <c r="M75" s="78" t="s">
        <v>218</v>
      </c>
      <c r="N75" s="78" t="s">
        <v>219</v>
      </c>
      <c r="O75" s="78" t="s">
        <v>220</v>
      </c>
      <c r="P75" s="13"/>
      <c r="Q75" s="13"/>
      <c r="R75" s="13"/>
      <c r="S75" s="13"/>
      <c r="T75" s="13"/>
      <c r="U75" s="13"/>
      <c r="V75" s="13"/>
      <c r="W75" s="13"/>
      <c r="X75" s="13"/>
      <c r="Y75" s="13"/>
      <c r="Z75" s="13"/>
      <c r="AA75" s="13"/>
    </row>
    <row r="76" spans="1:27" x14ac:dyDescent="0.3">
      <c r="B76">
        <v>1</v>
      </c>
      <c r="C76" t="s">
        <v>275</v>
      </c>
      <c r="D76" s="54">
        <v>5.37</v>
      </c>
      <c r="E76" s="57">
        <f>D76/$H$11</f>
        <v>3.6530612244897962</v>
      </c>
      <c r="F76" s="56">
        <f>E76</f>
        <v>3.6530612244897962</v>
      </c>
      <c r="G76" s="55">
        <f>E76*$E$4</f>
        <v>2.2283673469387758E-2</v>
      </c>
      <c r="H76" s="55">
        <f>E76*$E$5</f>
        <v>2.6302040816326533E-2</v>
      </c>
      <c r="I76" s="55">
        <f>G76</f>
        <v>2.2283673469387758E-2</v>
      </c>
      <c r="J76" s="55">
        <f>H76</f>
        <v>2.6302040816326533E-2</v>
      </c>
      <c r="K76" s="54"/>
      <c r="L76" s="54"/>
      <c r="M76" s="54"/>
      <c r="N76" s="55">
        <f>L76+G76</f>
        <v>2.2283673469387758E-2</v>
      </c>
      <c r="O76" s="55">
        <f>M76+H76</f>
        <v>2.6302040816326533E-2</v>
      </c>
      <c r="P76" s="13"/>
      <c r="Q76" s="13"/>
      <c r="R76" s="13"/>
      <c r="S76" s="13"/>
      <c r="T76" s="13"/>
      <c r="U76" s="13"/>
      <c r="V76" s="13"/>
      <c r="W76" s="13"/>
      <c r="X76" s="13"/>
      <c r="Y76" s="13"/>
      <c r="Z76" s="13"/>
      <c r="AA76" s="13"/>
    </row>
    <row r="77" spans="1:27" x14ac:dyDescent="0.3">
      <c r="B77">
        <v>2</v>
      </c>
      <c r="C77" t="s">
        <v>276</v>
      </c>
      <c r="D77" s="54"/>
      <c r="E77" s="54">
        <v>2</v>
      </c>
      <c r="F77" s="57">
        <f>F76+E77</f>
        <v>5.6530612244897966</v>
      </c>
      <c r="G77" s="55">
        <f t="shared" ref="G77:G83" si="12">E77*$E$4</f>
        <v>1.2200000000000001E-2</v>
      </c>
      <c r="H77" s="55">
        <f t="shared" ref="H77:H83" si="13">E77*$E$5</f>
        <v>1.44E-2</v>
      </c>
      <c r="I77" s="55">
        <f>I76+G77</f>
        <v>3.4483673469387757E-2</v>
      </c>
      <c r="J77" s="55">
        <f>J76+H77</f>
        <v>4.0702040816326529E-2</v>
      </c>
      <c r="K77" s="54">
        <v>1</v>
      </c>
      <c r="L77" s="55">
        <f>VLOOKUP($K77,Components!$A$3:$I$23,8,FALSE)</f>
        <v>6.6059999999999999</v>
      </c>
      <c r="M77" s="55">
        <f>VLOOKUP($K77,Components!$A$3:$I$23,9,FALSE)</f>
        <v>6.9363000000000001</v>
      </c>
      <c r="N77" s="55">
        <f>N76+L77+G77</f>
        <v>6.6404836734693875</v>
      </c>
      <c r="O77" s="55">
        <f>O76+M77+H77</f>
        <v>6.9770020408163269</v>
      </c>
      <c r="P77" s="13"/>
      <c r="Q77" s="13"/>
      <c r="R77" s="13"/>
      <c r="S77" s="13"/>
      <c r="T77" s="13"/>
      <c r="U77" s="13"/>
      <c r="V77" s="13"/>
      <c r="W77" s="13"/>
      <c r="X77" s="13"/>
      <c r="Y77" s="13"/>
      <c r="Z77" s="13"/>
      <c r="AA77" s="13"/>
    </row>
    <row r="78" spans="1:27" x14ac:dyDescent="0.3">
      <c r="B78">
        <v>3</v>
      </c>
      <c r="C78" t="s">
        <v>277</v>
      </c>
      <c r="D78" s="54"/>
      <c r="E78" s="54">
        <v>8</v>
      </c>
      <c r="F78" s="57">
        <f t="shared" ref="F78:F83" si="14">F77+E78</f>
        <v>13.653061224489797</v>
      </c>
      <c r="G78" s="55">
        <f t="shared" si="12"/>
        <v>4.8800000000000003E-2</v>
      </c>
      <c r="H78" s="55">
        <f t="shared" si="13"/>
        <v>5.7599999999999998E-2</v>
      </c>
      <c r="I78" s="55">
        <f t="shared" ref="I78:I83" si="15">I77+G78</f>
        <v>8.3283673469387753E-2</v>
      </c>
      <c r="J78" s="55">
        <f t="shared" ref="J78:J83" si="16">J77+H78</f>
        <v>9.8302040816326527E-2</v>
      </c>
      <c r="K78" s="56"/>
      <c r="L78" s="56"/>
      <c r="M78" s="56"/>
      <c r="N78" s="55">
        <f t="shared" ref="N78:N83" si="17">N77+L78+G78</f>
        <v>6.6892836734693875</v>
      </c>
      <c r="O78" s="55">
        <f t="shared" ref="O78:O83" si="18">O77+M78+H78</f>
        <v>7.0346020408163268</v>
      </c>
      <c r="P78" s="13"/>
      <c r="Q78" s="13"/>
      <c r="R78" s="13"/>
      <c r="S78" s="13"/>
      <c r="T78" s="13"/>
      <c r="U78" s="13"/>
      <c r="V78" s="13"/>
      <c r="W78" s="13"/>
      <c r="X78" s="13"/>
      <c r="Y78" s="13"/>
      <c r="Z78" s="13"/>
      <c r="AA78" s="13"/>
    </row>
    <row r="79" spans="1:27" x14ac:dyDescent="0.3">
      <c r="B79">
        <v>4</v>
      </c>
      <c r="C79" t="s">
        <v>278</v>
      </c>
      <c r="D79" s="54">
        <v>8.06</v>
      </c>
      <c r="E79" s="57">
        <f>D79/$H$11</f>
        <v>5.4829931972789119</v>
      </c>
      <c r="F79" s="57">
        <f t="shared" si="14"/>
        <v>19.136054421768709</v>
      </c>
      <c r="G79" s="55">
        <f t="shared" si="12"/>
        <v>3.3446258503401362E-2</v>
      </c>
      <c r="H79" s="55">
        <f t="shared" si="13"/>
        <v>3.9477551020408168E-2</v>
      </c>
      <c r="I79" s="55">
        <f t="shared" si="15"/>
        <v>0.11672993197278911</v>
      </c>
      <c r="J79" s="55">
        <f t="shared" si="16"/>
        <v>0.13777959183673469</v>
      </c>
      <c r="K79" s="56"/>
      <c r="L79" s="56"/>
      <c r="M79" s="56"/>
      <c r="N79" s="55">
        <f t="shared" si="17"/>
        <v>6.7227299319727889</v>
      </c>
      <c r="O79" s="55">
        <f t="shared" si="18"/>
        <v>7.0740795918367345</v>
      </c>
      <c r="P79" s="13"/>
      <c r="Q79" s="13"/>
      <c r="R79" s="13"/>
      <c r="S79" s="13"/>
      <c r="T79" s="13"/>
      <c r="U79" s="13"/>
      <c r="V79" s="13"/>
      <c r="W79" s="13"/>
      <c r="X79" s="13"/>
      <c r="Y79" s="13"/>
      <c r="Z79" s="13"/>
      <c r="AA79" s="13"/>
    </row>
    <row r="80" spans="1:27" x14ac:dyDescent="0.3">
      <c r="B80">
        <v>5</v>
      </c>
      <c r="C80" t="s">
        <v>279</v>
      </c>
      <c r="D80" s="54"/>
      <c r="E80" s="54">
        <v>3</v>
      </c>
      <c r="F80" s="57">
        <f t="shared" si="14"/>
        <v>22.136054421768709</v>
      </c>
      <c r="G80" s="55">
        <f t="shared" si="12"/>
        <v>1.83E-2</v>
      </c>
      <c r="H80" s="55">
        <f t="shared" si="13"/>
        <v>2.1600000000000001E-2</v>
      </c>
      <c r="I80" s="55">
        <f t="shared" si="15"/>
        <v>0.13502993197278912</v>
      </c>
      <c r="J80" s="55">
        <f t="shared" si="16"/>
        <v>0.1593795918367347</v>
      </c>
      <c r="K80" s="54"/>
      <c r="L80" s="54"/>
      <c r="M80" s="54"/>
      <c r="N80" s="55">
        <f t="shared" si="17"/>
        <v>6.7410299319727889</v>
      </c>
      <c r="O80" s="55">
        <f t="shared" si="18"/>
        <v>7.0956795918367348</v>
      </c>
      <c r="P80" s="13"/>
      <c r="Q80" s="13"/>
      <c r="R80" s="13"/>
      <c r="S80" s="13"/>
      <c r="T80" s="13"/>
      <c r="U80" s="13"/>
      <c r="V80" s="13"/>
      <c r="W80" s="13"/>
      <c r="X80" s="13"/>
      <c r="Y80" s="13"/>
      <c r="Z80" s="13"/>
      <c r="AA80" s="13"/>
    </row>
    <row r="81" spans="2:27" x14ac:dyDescent="0.3">
      <c r="B81">
        <v>6</v>
      </c>
      <c r="C81" t="s">
        <v>280</v>
      </c>
      <c r="D81" s="54">
        <v>6.67</v>
      </c>
      <c r="E81" s="57">
        <f>D81/$H$11</f>
        <v>4.5374149659863949</v>
      </c>
      <c r="F81" s="57">
        <f t="shared" si="14"/>
        <v>26.673469387755105</v>
      </c>
      <c r="G81" s="55">
        <f t="shared" si="12"/>
        <v>2.7678231292517012E-2</v>
      </c>
      <c r="H81" s="55">
        <f t="shared" si="13"/>
        <v>3.2669387755102045E-2</v>
      </c>
      <c r="I81" s="55">
        <f t="shared" si="15"/>
        <v>0.16270816326530613</v>
      </c>
      <c r="J81" s="55">
        <f t="shared" si="16"/>
        <v>0.19204897959183675</v>
      </c>
      <c r="K81" s="56"/>
      <c r="L81" s="56"/>
      <c r="M81" s="56"/>
      <c r="N81" s="55">
        <f t="shared" si="17"/>
        <v>6.7687081632653063</v>
      </c>
      <c r="O81" s="55">
        <f t="shared" si="18"/>
        <v>7.1283489795918369</v>
      </c>
      <c r="P81" s="13"/>
      <c r="Q81" s="13"/>
      <c r="R81" s="13"/>
      <c r="S81" s="13"/>
      <c r="T81" s="13"/>
      <c r="U81" s="13"/>
      <c r="V81" s="13"/>
      <c r="W81" s="13"/>
      <c r="X81" s="13"/>
      <c r="Y81" s="13"/>
      <c r="Z81" s="13"/>
      <c r="AA81" s="13"/>
    </row>
    <row r="82" spans="2:27" x14ac:dyDescent="0.3">
      <c r="B82">
        <v>2</v>
      </c>
      <c r="C82" t="s">
        <v>232</v>
      </c>
      <c r="D82" s="54"/>
      <c r="E82" s="54">
        <v>14</v>
      </c>
      <c r="F82" s="57">
        <f t="shared" si="14"/>
        <v>40.673469387755105</v>
      </c>
      <c r="G82" s="55">
        <f t="shared" si="12"/>
        <v>8.5400000000000004E-2</v>
      </c>
      <c r="H82" s="55">
        <f t="shared" si="13"/>
        <v>0.1008</v>
      </c>
      <c r="I82" s="55">
        <f t="shared" si="15"/>
        <v>0.24810816326530613</v>
      </c>
      <c r="J82" s="55">
        <f t="shared" si="16"/>
        <v>0.29284897959183676</v>
      </c>
      <c r="K82" s="54"/>
      <c r="L82" s="54"/>
      <c r="M82" s="54"/>
      <c r="N82" s="55">
        <f t="shared" si="17"/>
        <v>6.8541081632653063</v>
      </c>
      <c r="O82" s="55">
        <f t="shared" si="18"/>
        <v>7.2291489795918373</v>
      </c>
    </row>
    <row r="83" spans="2:27" x14ac:dyDescent="0.3">
      <c r="B83">
        <v>3</v>
      </c>
      <c r="C83" t="s">
        <v>281</v>
      </c>
      <c r="D83" s="54"/>
      <c r="E83" s="54">
        <v>5</v>
      </c>
      <c r="F83" s="57">
        <f t="shared" si="14"/>
        <v>45.673469387755105</v>
      </c>
      <c r="G83" s="55">
        <f t="shared" si="12"/>
        <v>3.0500000000000003E-2</v>
      </c>
      <c r="H83" s="55">
        <f t="shared" si="13"/>
        <v>3.5999999999999997E-2</v>
      </c>
      <c r="I83" s="55">
        <f t="shared" si="15"/>
        <v>0.27860816326530613</v>
      </c>
      <c r="J83" s="55">
        <f t="shared" si="16"/>
        <v>0.32884897959183673</v>
      </c>
      <c r="K83" s="54"/>
      <c r="L83" s="54"/>
      <c r="M83" s="54"/>
      <c r="N83" s="55">
        <f t="shared" si="17"/>
        <v>6.8846081632653062</v>
      </c>
      <c r="O83" s="55">
        <f t="shared" si="18"/>
        <v>7.2651489795918369</v>
      </c>
    </row>
    <row r="85" spans="2:27" x14ac:dyDescent="0.3">
      <c r="B85" s="20" t="s">
        <v>282</v>
      </c>
      <c r="C85" t="s">
        <v>283</v>
      </c>
    </row>
    <row r="86" spans="2:27" x14ac:dyDescent="0.3">
      <c r="B86" s="77" t="s">
        <v>208</v>
      </c>
      <c r="C86" s="77" t="s">
        <v>209</v>
      </c>
      <c r="D86" s="77" t="s">
        <v>274</v>
      </c>
      <c r="E86" s="77" t="s">
        <v>210</v>
      </c>
      <c r="F86" s="78" t="s">
        <v>211</v>
      </c>
      <c r="G86" s="78" t="s">
        <v>212</v>
      </c>
      <c r="H86" s="78" t="s">
        <v>213</v>
      </c>
      <c r="I86" s="78" t="s">
        <v>214</v>
      </c>
      <c r="J86" s="78" t="s">
        <v>215</v>
      </c>
      <c r="K86" s="78" t="s">
        <v>216</v>
      </c>
      <c r="L86" s="78" t="s">
        <v>217</v>
      </c>
      <c r="M86" s="78" t="s">
        <v>218</v>
      </c>
      <c r="N86" s="78" t="s">
        <v>219</v>
      </c>
      <c r="O86" s="78" t="s">
        <v>220</v>
      </c>
    </row>
    <row r="87" spans="2:27" x14ac:dyDescent="0.3">
      <c r="B87" s="61">
        <v>1</v>
      </c>
      <c r="C87" s="61" t="s">
        <v>275</v>
      </c>
      <c r="D87" s="61">
        <v>5.37</v>
      </c>
      <c r="E87" s="66">
        <f>D87/$H$11</f>
        <v>3.6530612244897962</v>
      </c>
      <c r="F87" s="67">
        <f>E87</f>
        <v>3.6530612244897962</v>
      </c>
      <c r="G87" s="68">
        <f t="shared" ref="G87:G94" si="19">E87*$E$4</f>
        <v>2.2283673469387758E-2</v>
      </c>
      <c r="H87" s="68">
        <f t="shared" ref="H87:H94" si="20">E87*$E$5</f>
        <v>2.6302040816326533E-2</v>
      </c>
      <c r="I87" s="68">
        <f>G87</f>
        <v>2.2283673469387758E-2</v>
      </c>
      <c r="J87" s="68">
        <f>H87</f>
        <v>2.6302040816326533E-2</v>
      </c>
      <c r="K87" s="61"/>
      <c r="L87" s="61"/>
      <c r="M87" s="61"/>
      <c r="N87" s="68">
        <f>L87+G87</f>
        <v>2.2283673469387758E-2</v>
      </c>
      <c r="O87" s="68">
        <f>M87+H87</f>
        <v>2.6302040816326533E-2</v>
      </c>
    </row>
    <row r="88" spans="2:27" x14ac:dyDescent="0.3">
      <c r="B88" s="61">
        <v>2</v>
      </c>
      <c r="C88" s="61" t="s">
        <v>276</v>
      </c>
      <c r="D88" s="61"/>
      <c r="E88" s="61">
        <v>2</v>
      </c>
      <c r="F88" s="66">
        <f t="shared" ref="F88:F94" si="21">F87+E88</f>
        <v>5.6530612244897966</v>
      </c>
      <c r="G88" s="68">
        <f t="shared" si="19"/>
        <v>1.2200000000000001E-2</v>
      </c>
      <c r="H88" s="68">
        <f t="shared" si="20"/>
        <v>1.44E-2</v>
      </c>
      <c r="I88" s="68">
        <f t="shared" ref="I88:J94" si="22">I87+G88</f>
        <v>3.4483673469387757E-2</v>
      </c>
      <c r="J88" s="68">
        <f t="shared" si="22"/>
        <v>4.0702040816326529E-2</v>
      </c>
      <c r="K88" s="61"/>
      <c r="L88" s="68"/>
      <c r="M88" s="68"/>
      <c r="N88" s="68">
        <f t="shared" ref="N88:O94" si="23">N87+L88+G88</f>
        <v>3.4483673469387757E-2</v>
      </c>
      <c r="O88" s="68">
        <f t="shared" si="23"/>
        <v>4.0702040816326529E-2</v>
      </c>
    </row>
    <row r="89" spans="2:27" x14ac:dyDescent="0.3">
      <c r="B89" s="61">
        <v>3</v>
      </c>
      <c r="C89" s="61" t="s">
        <v>277</v>
      </c>
      <c r="D89" s="61"/>
      <c r="E89" s="61">
        <v>8</v>
      </c>
      <c r="F89" s="66">
        <f t="shared" si="21"/>
        <v>13.653061224489797</v>
      </c>
      <c r="G89" s="68">
        <f t="shared" si="19"/>
        <v>4.8800000000000003E-2</v>
      </c>
      <c r="H89" s="68">
        <f t="shared" si="20"/>
        <v>5.7599999999999998E-2</v>
      </c>
      <c r="I89" s="68">
        <f t="shared" si="22"/>
        <v>8.3283673469387753E-2</v>
      </c>
      <c r="J89" s="68">
        <f t="shared" si="22"/>
        <v>9.8302040816326527E-2</v>
      </c>
      <c r="K89" s="67">
        <v>2</v>
      </c>
      <c r="L89" s="79">
        <f>VLOOKUP($K89,Components!$A$3:$I$23,8,FALSE)</f>
        <v>8.1000000000000003E-2</v>
      </c>
      <c r="M89" s="67">
        <f>VLOOKUP($K89,Components!$A$3:$I$23,9,FALSE)</f>
        <v>8.5050000000000001E-2</v>
      </c>
      <c r="N89" s="68">
        <f t="shared" si="23"/>
        <v>0.16428367346938777</v>
      </c>
      <c r="O89" s="68">
        <f t="shared" si="23"/>
        <v>0.1833520408163265</v>
      </c>
    </row>
    <row r="90" spans="2:27" x14ac:dyDescent="0.3">
      <c r="B90" s="61">
        <v>4</v>
      </c>
      <c r="C90" s="61" t="s">
        <v>278</v>
      </c>
      <c r="D90" s="61">
        <v>8.06</v>
      </c>
      <c r="E90" s="66">
        <f>D90/$H$11</f>
        <v>5.4829931972789119</v>
      </c>
      <c r="F90" s="66">
        <f t="shared" si="21"/>
        <v>19.136054421768709</v>
      </c>
      <c r="G90" s="68">
        <f t="shared" si="19"/>
        <v>3.3446258503401362E-2</v>
      </c>
      <c r="H90" s="68">
        <f t="shared" si="20"/>
        <v>3.9477551020408168E-2</v>
      </c>
      <c r="I90" s="68">
        <f t="shared" si="22"/>
        <v>0.11672993197278911</v>
      </c>
      <c r="J90" s="68">
        <f t="shared" si="22"/>
        <v>0.13777959183673469</v>
      </c>
      <c r="K90" s="67"/>
      <c r="L90" s="67"/>
      <c r="M90" s="67"/>
      <c r="N90" s="68">
        <f t="shared" si="23"/>
        <v>0.19772993197278912</v>
      </c>
      <c r="O90" s="68">
        <f t="shared" si="23"/>
        <v>0.22282959183673468</v>
      </c>
    </row>
    <row r="91" spans="2:27" x14ac:dyDescent="0.3">
      <c r="B91" s="61">
        <v>5</v>
      </c>
      <c r="C91" s="61" t="s">
        <v>279</v>
      </c>
      <c r="D91" s="61"/>
      <c r="E91" s="61">
        <v>3</v>
      </c>
      <c r="F91" s="66">
        <f t="shared" si="21"/>
        <v>22.136054421768709</v>
      </c>
      <c r="G91" s="68">
        <f t="shared" si="19"/>
        <v>1.83E-2</v>
      </c>
      <c r="H91" s="68">
        <f t="shared" si="20"/>
        <v>2.1600000000000001E-2</v>
      </c>
      <c r="I91" s="68">
        <f t="shared" si="22"/>
        <v>0.13502993197278912</v>
      </c>
      <c r="J91" s="68">
        <f t="shared" si="22"/>
        <v>0.1593795918367347</v>
      </c>
      <c r="K91" s="61">
        <v>12</v>
      </c>
      <c r="L91" s="79">
        <f>VLOOKUP($K91,Components!$A$3:$I$23,8,FALSE)</f>
        <v>3</v>
      </c>
      <c r="M91" s="79">
        <f>VLOOKUP($K91,Components!$A$3:$I$23,9,FALSE)</f>
        <v>3.15</v>
      </c>
      <c r="N91" s="68">
        <f t="shared" si="23"/>
        <v>3.216029931972789</v>
      </c>
      <c r="O91" s="68">
        <f t="shared" si="23"/>
        <v>3.3944295918367344</v>
      </c>
    </row>
    <row r="92" spans="2:27" x14ac:dyDescent="0.3">
      <c r="B92" s="61">
        <v>6</v>
      </c>
      <c r="C92" s="61" t="s">
        <v>280</v>
      </c>
      <c r="D92" s="61">
        <v>6.67</v>
      </c>
      <c r="E92" s="66">
        <f>D92/$H$11</f>
        <v>4.5374149659863949</v>
      </c>
      <c r="F92" s="66">
        <f t="shared" si="21"/>
        <v>26.673469387755105</v>
      </c>
      <c r="G92" s="68">
        <f t="shared" si="19"/>
        <v>2.7678231292517012E-2</v>
      </c>
      <c r="H92" s="68">
        <f t="shared" si="20"/>
        <v>3.2669387755102045E-2</v>
      </c>
      <c r="I92" s="68">
        <f t="shared" si="22"/>
        <v>0.16270816326530613</v>
      </c>
      <c r="J92" s="68">
        <f t="shared" si="22"/>
        <v>0.19204897959183675</v>
      </c>
      <c r="K92" s="67"/>
      <c r="L92" s="67"/>
      <c r="M92" s="67"/>
      <c r="N92" s="68">
        <f t="shared" si="23"/>
        <v>3.243708163265306</v>
      </c>
      <c r="O92" s="68">
        <f t="shared" si="23"/>
        <v>3.4270989795918365</v>
      </c>
    </row>
    <row r="93" spans="2:27" x14ac:dyDescent="0.3">
      <c r="B93" s="61">
        <v>3</v>
      </c>
      <c r="C93" s="61" t="s">
        <v>235</v>
      </c>
      <c r="D93" s="61"/>
      <c r="E93" s="61">
        <v>3</v>
      </c>
      <c r="F93" s="66">
        <f t="shared" si="21"/>
        <v>29.673469387755105</v>
      </c>
      <c r="G93" s="68">
        <f t="shared" si="19"/>
        <v>1.83E-2</v>
      </c>
      <c r="H93" s="68">
        <f t="shared" si="20"/>
        <v>2.1600000000000001E-2</v>
      </c>
      <c r="I93" s="68">
        <f t="shared" si="22"/>
        <v>0.18100816326530614</v>
      </c>
      <c r="J93" s="68">
        <f t="shared" si="22"/>
        <v>0.21364897959183676</v>
      </c>
      <c r="K93" s="61"/>
      <c r="L93" s="61"/>
      <c r="M93" s="61"/>
      <c r="N93" s="68">
        <f t="shared" si="23"/>
        <v>3.262008163265306</v>
      </c>
      <c r="O93" s="68">
        <f t="shared" si="23"/>
        <v>3.4486989795918364</v>
      </c>
    </row>
    <row r="94" spans="2:27" x14ac:dyDescent="0.3">
      <c r="B94" s="61">
        <v>4</v>
      </c>
      <c r="C94" s="61" t="s">
        <v>284</v>
      </c>
      <c r="D94" s="61"/>
      <c r="E94" s="61">
        <v>7</v>
      </c>
      <c r="F94" s="66">
        <f t="shared" si="21"/>
        <v>36.673469387755105</v>
      </c>
      <c r="G94" s="68">
        <f t="shared" si="19"/>
        <v>4.2700000000000002E-2</v>
      </c>
      <c r="H94" s="68">
        <f t="shared" si="20"/>
        <v>5.04E-2</v>
      </c>
      <c r="I94" s="68">
        <f t="shared" si="22"/>
        <v>0.22370816326530613</v>
      </c>
      <c r="J94" s="68">
        <f t="shared" si="22"/>
        <v>0.26404897959183676</v>
      </c>
      <c r="K94" s="61"/>
      <c r="L94" s="61"/>
      <c r="M94" s="61"/>
      <c r="N94" s="68">
        <f t="shared" si="23"/>
        <v>3.3047081632653059</v>
      </c>
      <c r="O94" s="68">
        <f t="shared" si="23"/>
        <v>3.4990989795918361</v>
      </c>
    </row>
    <row r="97" spans="2:15" x14ac:dyDescent="0.3">
      <c r="B97" s="20" t="s">
        <v>285</v>
      </c>
    </row>
    <row r="98" spans="2:15" x14ac:dyDescent="0.3">
      <c r="B98" s="61" t="s">
        <v>286</v>
      </c>
      <c r="C98" s="61" t="s">
        <v>287</v>
      </c>
    </row>
    <row r="99" spans="2:15" x14ac:dyDescent="0.3">
      <c r="B99" s="77" t="s">
        <v>208</v>
      </c>
      <c r="C99" s="77" t="s">
        <v>209</v>
      </c>
      <c r="D99" s="77" t="s">
        <v>274</v>
      </c>
      <c r="E99" s="77" t="s">
        <v>210</v>
      </c>
      <c r="F99" s="78" t="s">
        <v>211</v>
      </c>
      <c r="G99" s="78" t="s">
        <v>212</v>
      </c>
      <c r="H99" s="78" t="s">
        <v>213</v>
      </c>
      <c r="I99" s="78" t="s">
        <v>214</v>
      </c>
      <c r="J99" s="78" t="s">
        <v>215</v>
      </c>
      <c r="K99" s="78" t="s">
        <v>216</v>
      </c>
      <c r="L99" s="78" t="s">
        <v>217</v>
      </c>
      <c r="M99" s="78" t="s">
        <v>218</v>
      </c>
      <c r="N99" s="78" t="s">
        <v>219</v>
      </c>
      <c r="O99" s="78" t="s">
        <v>220</v>
      </c>
    </row>
    <row r="100" spans="2:15" x14ac:dyDescent="0.3">
      <c r="B100" s="61">
        <v>1</v>
      </c>
      <c r="C100" s="61" t="s">
        <v>288</v>
      </c>
      <c r="D100" s="80"/>
      <c r="E100" s="80">
        <v>11</v>
      </c>
      <c r="F100" s="67">
        <f>E100</f>
        <v>11</v>
      </c>
      <c r="G100" s="81">
        <f>E100*$E$4</f>
        <v>6.7100000000000007E-2</v>
      </c>
      <c r="H100" s="81">
        <f>E100*$E$5</f>
        <v>7.9199999999999993E-2</v>
      </c>
      <c r="I100" s="81">
        <f>G100</f>
        <v>6.7100000000000007E-2</v>
      </c>
      <c r="J100" s="81">
        <f>H100</f>
        <v>7.9199999999999993E-2</v>
      </c>
      <c r="K100" s="82"/>
      <c r="L100" s="82"/>
      <c r="M100" s="82"/>
      <c r="N100" s="81">
        <f>L100+G100</f>
        <v>6.7100000000000007E-2</v>
      </c>
      <c r="O100" s="81">
        <f>M100+H100</f>
        <v>7.9199999999999993E-2</v>
      </c>
    </row>
    <row r="101" spans="2:15" x14ac:dyDescent="0.3">
      <c r="B101" s="61">
        <v>6</v>
      </c>
      <c r="C101" s="61" t="s">
        <v>239</v>
      </c>
      <c r="D101" s="80"/>
      <c r="E101" s="80">
        <v>6.6</v>
      </c>
      <c r="F101" s="61">
        <f>F100+E101</f>
        <v>17.600000000000001</v>
      </c>
      <c r="G101" s="81">
        <f>E101*$E$4</f>
        <v>4.0259999999999997E-2</v>
      </c>
      <c r="H101" s="81">
        <f>E101*$E$5</f>
        <v>4.7519999999999993E-2</v>
      </c>
      <c r="I101" s="81">
        <f>I100+G101</f>
        <v>0.10736000000000001</v>
      </c>
      <c r="J101" s="81">
        <f>J100+H101</f>
        <v>0.12672</v>
      </c>
      <c r="K101" s="82">
        <v>10</v>
      </c>
      <c r="L101" s="83">
        <f>VLOOKUP($K101,Components!$A$3:$I$23,8,FALSE)</f>
        <v>4</v>
      </c>
      <c r="M101" s="83">
        <f>VLOOKUP($K101,Components!$A$3:$I$23,9,FALSE)</f>
        <v>4.2</v>
      </c>
      <c r="N101" s="81">
        <f>N100+L101+G101</f>
        <v>4.1073599999999999</v>
      </c>
      <c r="O101" s="81">
        <f>O100+M101+H101</f>
        <v>4.3267199999999999</v>
      </c>
    </row>
    <row r="102" spans="2:15" x14ac:dyDescent="0.3">
      <c r="B102" s="61">
        <v>7</v>
      </c>
      <c r="C102" s="61" t="s">
        <v>240</v>
      </c>
      <c r="D102" s="80"/>
      <c r="E102" s="80">
        <v>20</v>
      </c>
      <c r="F102" s="61">
        <f>F101+E102</f>
        <v>37.6</v>
      </c>
      <c r="G102" s="81">
        <f>E102*$E$4</f>
        <v>0.12200000000000001</v>
      </c>
      <c r="H102" s="81">
        <f>E102*$E$5</f>
        <v>0.14399999999999999</v>
      </c>
      <c r="I102" s="81">
        <f>I101+G102</f>
        <v>0.22936000000000001</v>
      </c>
      <c r="J102" s="81">
        <f>J101+H102</f>
        <v>0.27071999999999996</v>
      </c>
      <c r="K102" s="82">
        <v>4</v>
      </c>
      <c r="L102" s="83">
        <f>VLOOKUP($K102,Components!$A$3:$I$23,8,FALSE)</f>
        <v>14.99</v>
      </c>
      <c r="M102" s="83">
        <f>VLOOKUP($K102,Components!$A$3:$I$23,9,FALSE)</f>
        <v>15.7395</v>
      </c>
      <c r="N102" s="81">
        <f>N101+L102+G102</f>
        <v>19.219360000000002</v>
      </c>
      <c r="O102" s="81">
        <f>O101+M102+H102</f>
        <v>20.21022</v>
      </c>
    </row>
    <row r="103" spans="2:15" x14ac:dyDescent="0.3">
      <c r="G103" s="13"/>
    </row>
    <row r="104" spans="2:15" x14ac:dyDescent="0.3">
      <c r="B104" s="20" t="s">
        <v>289</v>
      </c>
    </row>
    <row r="105" spans="2:15" x14ac:dyDescent="0.3">
      <c r="B105" s="61" t="s">
        <v>290</v>
      </c>
      <c r="C105" s="61" t="s">
        <v>291</v>
      </c>
    </row>
    <row r="106" spans="2:15" x14ac:dyDescent="0.3">
      <c r="B106" s="77" t="s">
        <v>208</v>
      </c>
      <c r="C106" s="77" t="s">
        <v>209</v>
      </c>
      <c r="D106" s="77" t="s">
        <v>274</v>
      </c>
      <c r="E106" s="77" t="s">
        <v>210</v>
      </c>
      <c r="F106" s="78" t="s">
        <v>211</v>
      </c>
      <c r="G106" s="78" t="s">
        <v>212</v>
      </c>
      <c r="H106" s="78" t="s">
        <v>213</v>
      </c>
      <c r="I106" s="78" t="s">
        <v>214</v>
      </c>
      <c r="J106" s="78" t="s">
        <v>215</v>
      </c>
      <c r="K106" s="78" t="s">
        <v>216</v>
      </c>
      <c r="L106" s="78" t="s">
        <v>217</v>
      </c>
      <c r="M106" s="78" t="s">
        <v>218</v>
      </c>
      <c r="N106" s="78" t="s">
        <v>219</v>
      </c>
      <c r="O106" s="78" t="s">
        <v>220</v>
      </c>
    </row>
    <row r="107" spans="2:15" x14ac:dyDescent="0.3">
      <c r="B107" s="61">
        <v>1</v>
      </c>
      <c r="C107" s="61" t="s">
        <v>275</v>
      </c>
      <c r="D107" s="61">
        <v>5.37</v>
      </c>
      <c r="E107" s="66">
        <f>D107/$H$11</f>
        <v>3.6530612244897962</v>
      </c>
      <c r="F107" s="72">
        <f>E107</f>
        <v>3.6530612244897962</v>
      </c>
      <c r="G107" s="68">
        <f t="shared" ref="G107:G115" si="24">E107*$E$4</f>
        <v>2.2283673469387758E-2</v>
      </c>
      <c r="H107" s="68">
        <f t="shared" ref="H107:H115" si="25">E107*$E$5</f>
        <v>2.6302040816326533E-2</v>
      </c>
      <c r="I107" s="68">
        <f>G107</f>
        <v>2.2283673469387758E-2</v>
      </c>
      <c r="J107" s="68">
        <f>H107</f>
        <v>2.6302040816326533E-2</v>
      </c>
      <c r="K107" s="61"/>
      <c r="L107" s="61"/>
      <c r="M107" s="61"/>
      <c r="N107" s="68">
        <f>L107+G107</f>
        <v>2.2283673469387758E-2</v>
      </c>
      <c r="O107" s="68">
        <f>M107+H107</f>
        <v>2.6302040816326533E-2</v>
      </c>
    </row>
    <row r="108" spans="2:15" x14ac:dyDescent="0.3">
      <c r="B108" s="61">
        <v>2</v>
      </c>
      <c r="C108" s="61" t="s">
        <v>276</v>
      </c>
      <c r="D108" s="61"/>
      <c r="E108" s="61">
        <v>2</v>
      </c>
      <c r="F108" s="66">
        <f t="shared" ref="F108:F115" si="26">F107+E108</f>
        <v>5.6530612244897966</v>
      </c>
      <c r="G108" s="68">
        <f t="shared" si="24"/>
        <v>1.2200000000000001E-2</v>
      </c>
      <c r="H108" s="68">
        <f t="shared" si="25"/>
        <v>1.44E-2</v>
      </c>
      <c r="I108" s="68">
        <f t="shared" ref="I108:J115" si="27">I107+G108</f>
        <v>3.4483673469387757E-2</v>
      </c>
      <c r="J108" s="68">
        <f t="shared" si="27"/>
        <v>4.0702040816326529E-2</v>
      </c>
      <c r="K108" s="61"/>
      <c r="L108" s="61"/>
      <c r="M108" s="61"/>
      <c r="N108" s="68">
        <f t="shared" ref="N108:O115" si="28">N107+L108+G108</f>
        <v>3.4483673469387757E-2</v>
      </c>
      <c r="O108" s="68">
        <f t="shared" si="28"/>
        <v>4.0702040816326529E-2</v>
      </c>
    </row>
    <row r="109" spans="2:15" x14ac:dyDescent="0.3">
      <c r="B109" s="61">
        <v>3</v>
      </c>
      <c r="C109" s="61" t="s">
        <v>277</v>
      </c>
      <c r="D109" s="61"/>
      <c r="E109" s="61">
        <v>8</v>
      </c>
      <c r="F109" s="66">
        <f t="shared" si="26"/>
        <v>13.653061224489797</v>
      </c>
      <c r="G109" s="68">
        <f t="shared" si="24"/>
        <v>4.8800000000000003E-2</v>
      </c>
      <c r="H109" s="68">
        <f t="shared" si="25"/>
        <v>5.7599999999999998E-2</v>
      </c>
      <c r="I109" s="68">
        <f t="shared" si="27"/>
        <v>8.3283673469387753E-2</v>
      </c>
      <c r="J109" s="68">
        <f t="shared" si="27"/>
        <v>9.8302040816326527E-2</v>
      </c>
      <c r="K109" s="61">
        <v>7</v>
      </c>
      <c r="L109" s="83">
        <f>VLOOKUP($K109,Components!$A$3:$I$23,8,FALSE)</f>
        <v>0.56999999999999995</v>
      </c>
      <c r="M109" s="83">
        <f>VLOOKUP($K109,Components!$A$3:$I$23,9,FALSE)</f>
        <v>0.59849999999999992</v>
      </c>
      <c r="N109" s="68">
        <f t="shared" si="28"/>
        <v>0.65328367346938765</v>
      </c>
      <c r="O109" s="68">
        <f t="shared" si="28"/>
        <v>0.69680204081632646</v>
      </c>
    </row>
    <row r="110" spans="2:15" x14ac:dyDescent="0.3">
      <c r="B110" s="61">
        <v>4</v>
      </c>
      <c r="C110" s="61" t="s">
        <v>278</v>
      </c>
      <c r="D110" s="61">
        <v>8.06</v>
      </c>
      <c r="E110" s="66">
        <f>D110/$H$11</f>
        <v>5.4829931972789119</v>
      </c>
      <c r="F110" s="66">
        <f t="shared" si="26"/>
        <v>19.136054421768709</v>
      </c>
      <c r="G110" s="68">
        <f t="shared" si="24"/>
        <v>3.3446258503401362E-2</v>
      </c>
      <c r="H110" s="68">
        <f t="shared" si="25"/>
        <v>3.9477551020408168E-2</v>
      </c>
      <c r="I110" s="68">
        <f t="shared" si="27"/>
        <v>0.11672993197278911</v>
      </c>
      <c r="J110" s="68">
        <f t="shared" si="27"/>
        <v>0.13777959183673469</v>
      </c>
      <c r="K110" s="61"/>
      <c r="L110" s="61"/>
      <c r="M110" s="61"/>
      <c r="N110" s="68">
        <f t="shared" si="28"/>
        <v>0.68672993197278898</v>
      </c>
      <c r="O110" s="68">
        <f t="shared" si="28"/>
        <v>0.73627959183673464</v>
      </c>
    </row>
    <row r="111" spans="2:15" x14ac:dyDescent="0.3">
      <c r="B111" s="61">
        <v>5</v>
      </c>
      <c r="C111" s="61" t="s">
        <v>279</v>
      </c>
      <c r="D111" s="61"/>
      <c r="E111" s="61">
        <v>3</v>
      </c>
      <c r="F111" s="66">
        <f t="shared" si="26"/>
        <v>22.136054421768709</v>
      </c>
      <c r="G111" s="68">
        <f t="shared" si="24"/>
        <v>1.83E-2</v>
      </c>
      <c r="H111" s="68">
        <f t="shared" si="25"/>
        <v>2.1600000000000001E-2</v>
      </c>
      <c r="I111" s="68">
        <f t="shared" si="27"/>
        <v>0.13502993197278912</v>
      </c>
      <c r="J111" s="68">
        <f t="shared" si="27"/>
        <v>0.1593795918367347</v>
      </c>
      <c r="K111" s="61"/>
      <c r="L111" s="61"/>
      <c r="M111" s="61"/>
      <c r="N111" s="68">
        <f t="shared" si="28"/>
        <v>0.70502993197278896</v>
      </c>
      <c r="O111" s="68">
        <f t="shared" si="28"/>
        <v>0.75787959183673459</v>
      </c>
    </row>
    <row r="112" spans="2:15" x14ac:dyDescent="0.3">
      <c r="B112" s="61">
        <v>6</v>
      </c>
      <c r="C112" s="61" t="s">
        <v>280</v>
      </c>
      <c r="D112" s="61">
        <v>6.67</v>
      </c>
      <c r="E112" s="66">
        <f>D112/$H$11</f>
        <v>4.5374149659863949</v>
      </c>
      <c r="F112" s="66">
        <f t="shared" si="26"/>
        <v>26.673469387755105</v>
      </c>
      <c r="G112" s="68">
        <f t="shared" si="24"/>
        <v>2.7678231292517012E-2</v>
      </c>
      <c r="H112" s="68">
        <f t="shared" si="25"/>
        <v>3.2669387755102045E-2</v>
      </c>
      <c r="I112" s="68">
        <f t="shared" si="27"/>
        <v>0.16270816326530613</v>
      </c>
      <c r="J112" s="68">
        <f t="shared" si="27"/>
        <v>0.19204897959183675</v>
      </c>
      <c r="K112" s="61"/>
      <c r="L112" s="61"/>
      <c r="M112" s="61"/>
      <c r="N112" s="68">
        <f t="shared" si="28"/>
        <v>0.73270816326530597</v>
      </c>
      <c r="O112" s="68">
        <f t="shared" si="28"/>
        <v>0.79054897959183668</v>
      </c>
    </row>
    <row r="113" spans="2:15" x14ac:dyDescent="0.3">
      <c r="B113" s="61">
        <v>7</v>
      </c>
      <c r="C113" s="61" t="s">
        <v>292</v>
      </c>
      <c r="D113" s="61"/>
      <c r="E113" s="61">
        <v>14</v>
      </c>
      <c r="F113" s="66">
        <f t="shared" si="26"/>
        <v>40.673469387755105</v>
      </c>
      <c r="G113" s="68">
        <f t="shared" si="24"/>
        <v>8.5400000000000004E-2</v>
      </c>
      <c r="H113" s="68">
        <f t="shared" si="25"/>
        <v>0.1008</v>
      </c>
      <c r="I113" s="68">
        <f t="shared" si="27"/>
        <v>0.24810816326530613</v>
      </c>
      <c r="J113" s="68">
        <f t="shared" si="27"/>
        <v>0.29284897959183676</v>
      </c>
      <c r="K113" s="61"/>
      <c r="L113" s="61"/>
      <c r="M113" s="61"/>
      <c r="N113" s="68">
        <f t="shared" si="28"/>
        <v>0.818108163265306</v>
      </c>
      <c r="O113" s="68">
        <f t="shared" si="28"/>
        <v>0.89134897959183668</v>
      </c>
    </row>
    <row r="114" spans="2:15" x14ac:dyDescent="0.3">
      <c r="B114" s="61">
        <v>10</v>
      </c>
      <c r="C114" s="61" t="s">
        <v>244</v>
      </c>
      <c r="D114" s="61"/>
      <c r="E114" s="61">
        <v>12</v>
      </c>
      <c r="F114" s="66">
        <f t="shared" si="26"/>
        <v>52.673469387755105</v>
      </c>
      <c r="G114" s="68">
        <f t="shared" si="24"/>
        <v>7.3200000000000001E-2</v>
      </c>
      <c r="H114" s="68">
        <f t="shared" si="25"/>
        <v>8.6400000000000005E-2</v>
      </c>
      <c r="I114" s="68">
        <f t="shared" si="27"/>
        <v>0.32130816326530615</v>
      </c>
      <c r="J114" s="68">
        <f t="shared" si="27"/>
        <v>0.37924897959183679</v>
      </c>
      <c r="K114" s="61"/>
      <c r="L114" s="61"/>
      <c r="M114" s="61"/>
      <c r="N114" s="68">
        <f t="shared" si="28"/>
        <v>0.89130816326530604</v>
      </c>
      <c r="O114" s="68">
        <f t="shared" si="28"/>
        <v>0.97774897959183671</v>
      </c>
    </row>
    <row r="115" spans="2:15" x14ac:dyDescent="0.3">
      <c r="B115" s="61">
        <v>11</v>
      </c>
      <c r="C115" s="61" t="s">
        <v>245</v>
      </c>
      <c r="D115" s="61"/>
      <c r="E115" s="61">
        <v>6</v>
      </c>
      <c r="F115" s="66">
        <f t="shared" si="26"/>
        <v>58.673469387755105</v>
      </c>
      <c r="G115" s="68">
        <f t="shared" si="24"/>
        <v>3.6600000000000001E-2</v>
      </c>
      <c r="H115" s="68">
        <f t="shared" si="25"/>
        <v>4.3200000000000002E-2</v>
      </c>
      <c r="I115" s="68">
        <f t="shared" si="27"/>
        <v>0.35790816326530617</v>
      </c>
      <c r="J115" s="68">
        <f t="shared" si="27"/>
        <v>0.4224489795918368</v>
      </c>
      <c r="K115" s="61"/>
      <c r="L115" s="61"/>
      <c r="M115" s="61"/>
      <c r="N115" s="68">
        <f t="shared" si="28"/>
        <v>0.92790816326530601</v>
      </c>
      <c r="O115" s="68">
        <f t="shared" si="28"/>
        <v>1.0209489795918367</v>
      </c>
    </row>
    <row r="116" spans="2:15" x14ac:dyDescent="0.3">
      <c r="B116" s="61"/>
      <c r="C116" s="61"/>
    </row>
    <row r="117" spans="2:15" x14ac:dyDescent="0.3">
      <c r="B117" s="65" t="s">
        <v>293</v>
      </c>
      <c r="C117" s="61"/>
    </row>
    <row r="118" spans="2:15" x14ac:dyDescent="0.3">
      <c r="B118" s="61" t="s">
        <v>294</v>
      </c>
      <c r="C118" s="61" t="s">
        <v>295</v>
      </c>
    </row>
    <row r="119" spans="2:15" x14ac:dyDescent="0.3">
      <c r="B119" s="75" t="s">
        <v>208</v>
      </c>
      <c r="C119" s="75" t="s">
        <v>209</v>
      </c>
      <c r="D119" s="75" t="s">
        <v>274</v>
      </c>
      <c r="E119" s="75" t="s">
        <v>210</v>
      </c>
      <c r="F119" s="76" t="s">
        <v>211</v>
      </c>
      <c r="G119" s="76" t="s">
        <v>212</v>
      </c>
      <c r="H119" s="76" t="s">
        <v>213</v>
      </c>
      <c r="I119" s="76" t="s">
        <v>214</v>
      </c>
      <c r="J119" s="76" t="s">
        <v>215</v>
      </c>
      <c r="K119" s="76" t="s">
        <v>216</v>
      </c>
      <c r="L119" s="76" t="s">
        <v>217</v>
      </c>
      <c r="M119" s="76" t="s">
        <v>218</v>
      </c>
      <c r="N119" s="76" t="s">
        <v>219</v>
      </c>
      <c r="O119" s="76" t="s">
        <v>220</v>
      </c>
    </row>
    <row r="120" spans="2:15" x14ac:dyDescent="0.3">
      <c r="B120" s="61">
        <v>1</v>
      </c>
      <c r="C120" s="61" t="s">
        <v>275</v>
      </c>
      <c r="D120" s="61">
        <v>5.37</v>
      </c>
      <c r="E120" s="66">
        <f>D120/$H$11</f>
        <v>3.6530612244897962</v>
      </c>
      <c r="F120" s="72">
        <f>E120</f>
        <v>3.6530612244897962</v>
      </c>
      <c r="G120" s="68">
        <f t="shared" ref="G120:G128" si="29">E120*$E$4</f>
        <v>2.2283673469387758E-2</v>
      </c>
      <c r="H120" s="68">
        <f t="shared" ref="H120:H128" si="30">E120*$E$5</f>
        <v>2.6302040816326533E-2</v>
      </c>
      <c r="I120" s="68">
        <f>G120</f>
        <v>2.2283673469387758E-2</v>
      </c>
      <c r="J120" s="68">
        <f>H120</f>
        <v>2.6302040816326533E-2</v>
      </c>
      <c r="K120" s="61"/>
      <c r="L120" s="61"/>
      <c r="M120" s="61"/>
      <c r="N120" s="68">
        <f>L120+G120</f>
        <v>2.2283673469387758E-2</v>
      </c>
      <c r="O120" s="68">
        <f>M120+H120</f>
        <v>2.6302040816326533E-2</v>
      </c>
    </row>
    <row r="121" spans="2:15" x14ac:dyDescent="0.3">
      <c r="B121" s="61">
        <v>2</v>
      </c>
      <c r="C121" s="61" t="s">
        <v>276</v>
      </c>
      <c r="D121" s="61"/>
      <c r="E121" s="61">
        <v>2</v>
      </c>
      <c r="F121" s="66">
        <f t="shared" ref="F121:F128" si="31">F120+E121</f>
        <v>5.6530612244897966</v>
      </c>
      <c r="G121" s="68">
        <f t="shared" si="29"/>
        <v>1.2200000000000001E-2</v>
      </c>
      <c r="H121" s="68">
        <f t="shared" si="30"/>
        <v>1.44E-2</v>
      </c>
      <c r="I121" s="68">
        <f t="shared" ref="I121:J128" si="32">I120+G121</f>
        <v>3.4483673469387757E-2</v>
      </c>
      <c r="J121" s="68">
        <f t="shared" si="32"/>
        <v>4.0702040816326529E-2</v>
      </c>
      <c r="K121" s="61">
        <v>5</v>
      </c>
      <c r="L121" s="68">
        <f>VLOOKUP($K121,Components!$A$3:$I$23,8,FALSE)</f>
        <v>4.1500000000000004</v>
      </c>
      <c r="M121" s="68">
        <f>VLOOKUP($K121,Components!$A$3:$I$23,9,FALSE)</f>
        <v>4.3574999999999999</v>
      </c>
      <c r="N121" s="68">
        <f t="shared" ref="N121:O128" si="33">N120+L121+G121</f>
        <v>4.184483673469388</v>
      </c>
      <c r="O121" s="68">
        <f t="shared" si="33"/>
        <v>4.3982020408163267</v>
      </c>
    </row>
    <row r="122" spans="2:15" x14ac:dyDescent="0.3">
      <c r="B122" s="61">
        <v>3</v>
      </c>
      <c r="C122" s="61" t="s">
        <v>277</v>
      </c>
      <c r="D122" s="61"/>
      <c r="E122" s="61">
        <v>8</v>
      </c>
      <c r="F122" s="66">
        <f t="shared" si="31"/>
        <v>13.653061224489797</v>
      </c>
      <c r="G122" s="68">
        <f t="shared" si="29"/>
        <v>4.8800000000000003E-2</v>
      </c>
      <c r="H122" s="68">
        <f t="shared" si="30"/>
        <v>5.7599999999999998E-2</v>
      </c>
      <c r="I122" s="68">
        <f t="shared" si="32"/>
        <v>8.3283673469387753E-2</v>
      </c>
      <c r="J122" s="68">
        <f t="shared" si="32"/>
        <v>9.8302040816326527E-2</v>
      </c>
      <c r="K122" s="61"/>
      <c r="L122" s="61"/>
      <c r="M122" s="61"/>
      <c r="N122" s="68">
        <f t="shared" si="33"/>
        <v>4.2332836734693879</v>
      </c>
      <c r="O122" s="68">
        <f t="shared" si="33"/>
        <v>4.4558020408163266</v>
      </c>
    </row>
    <row r="123" spans="2:15" x14ac:dyDescent="0.3">
      <c r="B123" s="61">
        <v>4</v>
      </c>
      <c r="C123" s="61" t="s">
        <v>278</v>
      </c>
      <c r="D123" s="61">
        <v>8.06</v>
      </c>
      <c r="E123" s="66">
        <f>D123/$H$11</f>
        <v>5.4829931972789119</v>
      </c>
      <c r="F123" s="66">
        <f t="shared" si="31"/>
        <v>19.136054421768709</v>
      </c>
      <c r="G123" s="68">
        <f t="shared" si="29"/>
        <v>3.3446258503401362E-2</v>
      </c>
      <c r="H123" s="68">
        <f t="shared" si="30"/>
        <v>3.9477551020408168E-2</v>
      </c>
      <c r="I123" s="68">
        <f t="shared" si="32"/>
        <v>0.11672993197278911</v>
      </c>
      <c r="J123" s="68">
        <f t="shared" si="32"/>
        <v>0.13777959183673469</v>
      </c>
      <c r="K123" s="61"/>
      <c r="L123" s="61"/>
      <c r="M123" s="61"/>
      <c r="N123" s="68">
        <f t="shared" si="33"/>
        <v>4.2667299319727894</v>
      </c>
      <c r="O123" s="68">
        <f t="shared" si="33"/>
        <v>4.4952795918367343</v>
      </c>
    </row>
    <row r="124" spans="2:15" x14ac:dyDescent="0.3">
      <c r="B124" s="61">
        <v>5</v>
      </c>
      <c r="C124" s="61" t="s">
        <v>279</v>
      </c>
      <c r="D124" s="61"/>
      <c r="E124" s="61">
        <v>3</v>
      </c>
      <c r="F124" s="66">
        <f t="shared" si="31"/>
        <v>22.136054421768709</v>
      </c>
      <c r="G124" s="68">
        <f t="shared" si="29"/>
        <v>1.83E-2</v>
      </c>
      <c r="H124" s="68">
        <f t="shared" si="30"/>
        <v>2.1600000000000001E-2</v>
      </c>
      <c r="I124" s="68">
        <f t="shared" si="32"/>
        <v>0.13502993197278912</v>
      </c>
      <c r="J124" s="68">
        <f t="shared" si="32"/>
        <v>0.1593795918367347</v>
      </c>
      <c r="K124" s="61"/>
      <c r="L124" s="61"/>
      <c r="M124" s="61"/>
      <c r="N124" s="68">
        <f t="shared" si="33"/>
        <v>4.2850299319727894</v>
      </c>
      <c r="O124" s="68">
        <f t="shared" si="33"/>
        <v>4.5168795918367346</v>
      </c>
    </row>
    <row r="125" spans="2:15" x14ac:dyDescent="0.3">
      <c r="B125" s="61">
        <v>6</v>
      </c>
      <c r="C125" s="61" t="s">
        <v>280</v>
      </c>
      <c r="D125" s="61">
        <v>6.67</v>
      </c>
      <c r="E125" s="66">
        <f>D125/$H$11</f>
        <v>4.5374149659863949</v>
      </c>
      <c r="F125" s="66">
        <f t="shared" si="31"/>
        <v>26.673469387755105</v>
      </c>
      <c r="G125" s="68">
        <f t="shared" si="29"/>
        <v>2.7678231292517012E-2</v>
      </c>
      <c r="H125" s="68">
        <f t="shared" si="30"/>
        <v>3.2669387755102045E-2</v>
      </c>
      <c r="I125" s="68">
        <f t="shared" si="32"/>
        <v>0.16270816326530613</v>
      </c>
      <c r="J125" s="68">
        <f t="shared" si="32"/>
        <v>0.19204897959183675</v>
      </c>
      <c r="K125" s="61"/>
      <c r="L125" s="61"/>
      <c r="M125" s="61"/>
      <c r="N125" s="68">
        <f t="shared" si="33"/>
        <v>4.3127081632653068</v>
      </c>
      <c r="O125" s="68">
        <f t="shared" si="33"/>
        <v>4.5495489795918367</v>
      </c>
    </row>
    <row r="126" spans="2:15" x14ac:dyDescent="0.3">
      <c r="B126" s="61">
        <v>7</v>
      </c>
      <c r="C126" s="61" t="s">
        <v>292</v>
      </c>
      <c r="D126" s="61"/>
      <c r="E126" s="61">
        <v>14</v>
      </c>
      <c r="F126" s="66">
        <f t="shared" si="31"/>
        <v>40.673469387755105</v>
      </c>
      <c r="G126" s="68">
        <f t="shared" si="29"/>
        <v>8.5400000000000004E-2</v>
      </c>
      <c r="H126" s="68">
        <f t="shared" si="30"/>
        <v>0.1008</v>
      </c>
      <c r="I126" s="68">
        <f t="shared" si="32"/>
        <v>0.24810816326530613</v>
      </c>
      <c r="J126" s="68">
        <f t="shared" si="32"/>
        <v>0.29284897959183676</v>
      </c>
      <c r="K126" s="61"/>
      <c r="L126" s="61"/>
      <c r="M126" s="61"/>
      <c r="N126" s="68">
        <f t="shared" si="33"/>
        <v>4.3981081632653067</v>
      </c>
      <c r="O126" s="68">
        <f t="shared" si="33"/>
        <v>4.6503489795918362</v>
      </c>
    </row>
    <row r="127" spans="2:15" x14ac:dyDescent="0.3">
      <c r="B127" s="61">
        <v>13</v>
      </c>
      <c r="C127" s="61" t="s">
        <v>248</v>
      </c>
      <c r="D127" s="61"/>
      <c r="E127" s="61">
        <v>4.4000000000000004</v>
      </c>
      <c r="F127" s="66">
        <f t="shared" si="31"/>
        <v>45.073469387755104</v>
      </c>
      <c r="G127" s="68">
        <f t="shared" si="29"/>
        <v>2.6840000000000003E-2</v>
      </c>
      <c r="H127" s="68">
        <f t="shared" si="30"/>
        <v>3.168E-2</v>
      </c>
      <c r="I127" s="68">
        <f t="shared" si="32"/>
        <v>0.27494816326530613</v>
      </c>
      <c r="J127" s="68">
        <f t="shared" si="32"/>
        <v>0.32452897959183674</v>
      </c>
      <c r="K127" s="61"/>
      <c r="L127" s="61"/>
      <c r="M127" s="61"/>
      <c r="N127" s="68">
        <f t="shared" si="33"/>
        <v>4.4249481632653067</v>
      </c>
      <c r="O127" s="68">
        <f t="shared" si="33"/>
        <v>4.6820289795918359</v>
      </c>
    </row>
    <row r="128" spans="2:15" x14ac:dyDescent="0.3">
      <c r="B128" s="61">
        <v>14</v>
      </c>
      <c r="C128" s="61" t="s">
        <v>245</v>
      </c>
      <c r="D128" s="61"/>
      <c r="E128" s="61">
        <v>6</v>
      </c>
      <c r="F128" s="66">
        <f t="shared" si="31"/>
        <v>51.073469387755104</v>
      </c>
      <c r="G128" s="68">
        <f t="shared" si="29"/>
        <v>3.6600000000000001E-2</v>
      </c>
      <c r="H128" s="68">
        <f t="shared" si="30"/>
        <v>4.3200000000000002E-2</v>
      </c>
      <c r="I128" s="68">
        <f t="shared" si="32"/>
        <v>0.31154816326530616</v>
      </c>
      <c r="J128" s="68">
        <f t="shared" si="32"/>
        <v>0.36772897959183676</v>
      </c>
      <c r="K128" s="61"/>
      <c r="L128" s="61"/>
      <c r="M128" s="61"/>
      <c r="N128" s="68">
        <f t="shared" si="33"/>
        <v>4.4615481632653067</v>
      </c>
      <c r="O128" s="68">
        <f t="shared" si="33"/>
        <v>4.7252289795918356</v>
      </c>
    </row>
    <row r="130" spans="2:15" x14ac:dyDescent="0.3">
      <c r="B130" s="65" t="s">
        <v>296</v>
      </c>
      <c r="C130" s="61"/>
    </row>
    <row r="131" spans="2:15" x14ac:dyDescent="0.3">
      <c r="B131" s="61" t="s">
        <v>297</v>
      </c>
      <c r="C131" s="61" t="s">
        <v>298</v>
      </c>
    </row>
    <row r="132" spans="2:15" x14ac:dyDescent="0.3">
      <c r="B132" s="75" t="s">
        <v>208</v>
      </c>
      <c r="C132" s="75" t="s">
        <v>209</v>
      </c>
      <c r="D132" s="75" t="s">
        <v>274</v>
      </c>
      <c r="E132" s="75" t="s">
        <v>210</v>
      </c>
      <c r="F132" s="76" t="s">
        <v>211</v>
      </c>
      <c r="G132" s="76" t="s">
        <v>212</v>
      </c>
      <c r="H132" s="76" t="s">
        <v>213</v>
      </c>
      <c r="I132" s="76" t="s">
        <v>214</v>
      </c>
      <c r="J132" s="76" t="s">
        <v>215</v>
      </c>
      <c r="K132" s="76" t="s">
        <v>216</v>
      </c>
      <c r="L132" s="76" t="s">
        <v>217</v>
      </c>
      <c r="M132" s="76" t="s">
        <v>218</v>
      </c>
      <c r="N132" s="76" t="s">
        <v>219</v>
      </c>
      <c r="O132" s="76" t="s">
        <v>220</v>
      </c>
    </row>
    <row r="133" spans="2:15" x14ac:dyDescent="0.3">
      <c r="B133" s="61">
        <v>1</v>
      </c>
      <c r="C133" s="61" t="s">
        <v>275</v>
      </c>
      <c r="D133" s="61">
        <v>5.37</v>
      </c>
      <c r="E133" s="66">
        <f>D133/$H$11</f>
        <v>3.6530612244897962</v>
      </c>
      <c r="F133" s="72">
        <f>E133</f>
        <v>3.6530612244897962</v>
      </c>
      <c r="G133" s="68">
        <f t="shared" ref="G133:G141" si="34">E133*$E$4</f>
        <v>2.2283673469387758E-2</v>
      </c>
      <c r="H133" s="68">
        <f t="shared" ref="H133:H141" si="35">E133*$E$5</f>
        <v>2.6302040816326533E-2</v>
      </c>
      <c r="I133" s="68">
        <f>G133</f>
        <v>2.2283673469387758E-2</v>
      </c>
      <c r="J133" s="68">
        <f>H133</f>
        <v>2.6302040816326533E-2</v>
      </c>
      <c r="K133" s="61"/>
      <c r="L133" s="61"/>
      <c r="M133" s="61"/>
      <c r="N133" s="68">
        <f>L133+G133</f>
        <v>2.2283673469387758E-2</v>
      </c>
      <c r="O133" s="68">
        <f>M133+H133</f>
        <v>2.6302040816326533E-2</v>
      </c>
    </row>
    <row r="134" spans="2:15" x14ac:dyDescent="0.3">
      <c r="B134" s="61">
        <v>2</v>
      </c>
      <c r="C134" s="61" t="s">
        <v>276</v>
      </c>
      <c r="D134" s="61"/>
      <c r="E134" s="61">
        <v>2</v>
      </c>
      <c r="F134" s="66">
        <f t="shared" ref="F134:F141" si="36">F133+E134</f>
        <v>5.6530612244897966</v>
      </c>
      <c r="G134" s="68">
        <f t="shared" si="34"/>
        <v>1.2200000000000001E-2</v>
      </c>
      <c r="H134" s="68">
        <f t="shared" si="35"/>
        <v>1.44E-2</v>
      </c>
      <c r="I134" s="68">
        <f t="shared" ref="I134:J141" si="37">I133+G134</f>
        <v>3.4483673469387757E-2</v>
      </c>
      <c r="J134" s="68">
        <f t="shared" si="37"/>
        <v>4.0702040816326529E-2</v>
      </c>
      <c r="K134" s="61">
        <v>8</v>
      </c>
      <c r="L134" s="83">
        <f>VLOOKUP($K134,Components!$A$3:$I$23,8,FALSE)</f>
        <v>0.31</v>
      </c>
      <c r="M134" s="83">
        <f>VLOOKUP($K134,Components!$A$3:$I$23,9,FALSE)</f>
        <v>0.32550000000000001</v>
      </c>
      <c r="N134" s="68">
        <f t="shared" ref="N134:O141" si="38">N133+L134+G134</f>
        <v>0.34448367346938774</v>
      </c>
      <c r="O134" s="68">
        <f t="shared" si="38"/>
        <v>0.36620204081632657</v>
      </c>
    </row>
    <row r="135" spans="2:15" x14ac:dyDescent="0.3">
      <c r="B135" s="61">
        <v>3</v>
      </c>
      <c r="C135" s="61" t="s">
        <v>277</v>
      </c>
      <c r="D135" s="61"/>
      <c r="E135" s="61">
        <v>8</v>
      </c>
      <c r="F135" s="66">
        <f t="shared" si="36"/>
        <v>13.653061224489797</v>
      </c>
      <c r="G135" s="68">
        <f t="shared" si="34"/>
        <v>4.8800000000000003E-2</v>
      </c>
      <c r="H135" s="68">
        <f t="shared" si="35"/>
        <v>5.7599999999999998E-2</v>
      </c>
      <c r="I135" s="68">
        <f t="shared" si="37"/>
        <v>8.3283673469387753E-2</v>
      </c>
      <c r="J135" s="68">
        <f t="shared" si="37"/>
        <v>9.8302040816326527E-2</v>
      </c>
      <c r="K135" s="61"/>
      <c r="L135" s="61"/>
      <c r="M135" s="61"/>
      <c r="N135" s="68">
        <f t="shared" si="38"/>
        <v>0.39328367346938775</v>
      </c>
      <c r="O135" s="68">
        <f t="shared" si="38"/>
        <v>0.42380204081632655</v>
      </c>
    </row>
    <row r="136" spans="2:15" x14ac:dyDescent="0.3">
      <c r="B136" s="61">
        <v>4</v>
      </c>
      <c r="C136" s="61" t="s">
        <v>278</v>
      </c>
      <c r="D136" s="61">
        <v>8.06</v>
      </c>
      <c r="E136" s="66">
        <f>D136/$H$11</f>
        <v>5.4829931972789119</v>
      </c>
      <c r="F136" s="66">
        <f t="shared" si="36"/>
        <v>19.136054421768709</v>
      </c>
      <c r="G136" s="68">
        <f t="shared" si="34"/>
        <v>3.3446258503401362E-2</v>
      </c>
      <c r="H136" s="68">
        <f t="shared" si="35"/>
        <v>3.9477551020408168E-2</v>
      </c>
      <c r="I136" s="68">
        <f t="shared" si="37"/>
        <v>0.11672993197278911</v>
      </c>
      <c r="J136" s="68">
        <f t="shared" si="37"/>
        <v>0.13777959183673469</v>
      </c>
      <c r="K136" s="61"/>
      <c r="L136" s="61"/>
      <c r="M136" s="61"/>
      <c r="N136" s="68">
        <f t="shared" si="38"/>
        <v>0.42672993197278913</v>
      </c>
      <c r="O136" s="68">
        <f t="shared" si="38"/>
        <v>0.46327959183673473</v>
      </c>
    </row>
    <row r="137" spans="2:15" x14ac:dyDescent="0.3">
      <c r="B137" s="61">
        <v>5</v>
      </c>
      <c r="C137" s="61" t="s">
        <v>279</v>
      </c>
      <c r="D137" s="61"/>
      <c r="E137" s="61">
        <v>3</v>
      </c>
      <c r="F137" s="66">
        <f t="shared" si="36"/>
        <v>22.136054421768709</v>
      </c>
      <c r="G137" s="68">
        <f t="shared" si="34"/>
        <v>1.83E-2</v>
      </c>
      <c r="H137" s="68">
        <f t="shared" si="35"/>
        <v>2.1600000000000001E-2</v>
      </c>
      <c r="I137" s="68">
        <f t="shared" si="37"/>
        <v>0.13502993197278912</v>
      </c>
      <c r="J137" s="68">
        <f t="shared" si="37"/>
        <v>0.1593795918367347</v>
      </c>
      <c r="K137" s="61"/>
      <c r="L137" s="61"/>
      <c r="M137" s="61"/>
      <c r="N137" s="68">
        <f t="shared" si="38"/>
        <v>0.44502993197278912</v>
      </c>
      <c r="O137" s="68">
        <f t="shared" si="38"/>
        <v>0.48487959183673474</v>
      </c>
    </row>
    <row r="138" spans="2:15" x14ac:dyDescent="0.3">
      <c r="B138" s="61">
        <v>6</v>
      </c>
      <c r="C138" s="61" t="s">
        <v>280</v>
      </c>
      <c r="D138" s="61">
        <v>6.67</v>
      </c>
      <c r="E138" s="66">
        <f>D138/$H$11</f>
        <v>4.5374149659863949</v>
      </c>
      <c r="F138" s="66">
        <f t="shared" si="36"/>
        <v>26.673469387755105</v>
      </c>
      <c r="G138" s="68">
        <f t="shared" si="34"/>
        <v>2.7678231292517012E-2</v>
      </c>
      <c r="H138" s="68">
        <f t="shared" si="35"/>
        <v>3.2669387755102045E-2</v>
      </c>
      <c r="I138" s="68">
        <f t="shared" si="37"/>
        <v>0.16270816326530613</v>
      </c>
      <c r="J138" s="68">
        <f t="shared" si="37"/>
        <v>0.19204897959183675</v>
      </c>
      <c r="K138" s="61"/>
      <c r="L138" s="61"/>
      <c r="M138" s="61"/>
      <c r="N138" s="68">
        <f t="shared" si="38"/>
        <v>0.47270816326530612</v>
      </c>
      <c r="O138" s="68">
        <f t="shared" si="38"/>
        <v>0.51754897959183677</v>
      </c>
    </row>
    <row r="139" spans="2:15" x14ac:dyDescent="0.3">
      <c r="B139" s="61">
        <v>7</v>
      </c>
      <c r="C139" s="61" t="s">
        <v>292</v>
      </c>
      <c r="D139" s="61"/>
      <c r="E139" s="61">
        <v>14</v>
      </c>
      <c r="F139" s="66">
        <f t="shared" si="36"/>
        <v>40.673469387755105</v>
      </c>
      <c r="G139" s="68">
        <f t="shared" si="34"/>
        <v>8.5400000000000004E-2</v>
      </c>
      <c r="H139" s="68">
        <f t="shared" si="35"/>
        <v>0.1008</v>
      </c>
      <c r="I139" s="68">
        <f t="shared" si="37"/>
        <v>0.24810816326530613</v>
      </c>
      <c r="J139" s="68">
        <f t="shared" si="37"/>
        <v>0.29284897959183676</v>
      </c>
      <c r="K139" s="61"/>
      <c r="L139" s="61"/>
      <c r="M139" s="61"/>
      <c r="N139" s="68">
        <f t="shared" si="38"/>
        <v>0.5581081632653061</v>
      </c>
      <c r="O139" s="68">
        <f t="shared" si="38"/>
        <v>0.61834897959183677</v>
      </c>
    </row>
    <row r="140" spans="2:15" x14ac:dyDescent="0.3">
      <c r="B140" s="61">
        <v>16</v>
      </c>
      <c r="C140" s="61" t="s">
        <v>251</v>
      </c>
      <c r="D140" s="61"/>
      <c r="E140" s="61">
        <v>8.8000000000000007</v>
      </c>
      <c r="F140" s="66">
        <f t="shared" si="36"/>
        <v>49.473469387755102</v>
      </c>
      <c r="G140" s="68">
        <f t="shared" si="34"/>
        <v>5.3680000000000005E-2</v>
      </c>
      <c r="H140" s="68">
        <f t="shared" si="35"/>
        <v>6.336E-2</v>
      </c>
      <c r="I140" s="68">
        <f t="shared" si="37"/>
        <v>0.30178816326530611</v>
      </c>
      <c r="J140" s="68">
        <f t="shared" si="37"/>
        <v>0.35620897959183673</v>
      </c>
      <c r="K140" s="61"/>
      <c r="L140" s="61"/>
      <c r="M140" s="61"/>
      <c r="N140" s="68">
        <f t="shared" si="38"/>
        <v>0.61178816326530616</v>
      </c>
      <c r="O140" s="68">
        <f t="shared" si="38"/>
        <v>0.68170897959183674</v>
      </c>
    </row>
    <row r="141" spans="2:15" x14ac:dyDescent="0.3">
      <c r="B141" s="61">
        <v>17</v>
      </c>
      <c r="C141" s="61" t="s">
        <v>245</v>
      </c>
      <c r="D141" s="61"/>
      <c r="E141" s="61">
        <v>6</v>
      </c>
      <c r="F141" s="66">
        <f t="shared" si="36"/>
        <v>55.473469387755102</v>
      </c>
      <c r="G141" s="68">
        <f t="shared" si="34"/>
        <v>3.6600000000000001E-2</v>
      </c>
      <c r="H141" s="68">
        <f t="shared" si="35"/>
        <v>4.3200000000000002E-2</v>
      </c>
      <c r="I141" s="68">
        <f t="shared" si="37"/>
        <v>0.33838816326530613</v>
      </c>
      <c r="J141" s="68">
        <f t="shared" si="37"/>
        <v>0.39940897959183674</v>
      </c>
      <c r="K141" s="61"/>
      <c r="L141" s="61"/>
      <c r="M141" s="61"/>
      <c r="N141" s="68">
        <f t="shared" si="38"/>
        <v>0.64838816326530613</v>
      </c>
      <c r="O141" s="68">
        <f t="shared" si="38"/>
        <v>0.72490897959183676</v>
      </c>
    </row>
    <row r="142" spans="2:15" x14ac:dyDescent="0.3">
      <c r="B142" s="61"/>
      <c r="C142" s="61"/>
      <c r="D142" s="61"/>
      <c r="E142" s="61"/>
      <c r="F142" s="61"/>
      <c r="G142" s="61"/>
      <c r="H142" s="61"/>
      <c r="I142" s="61"/>
      <c r="J142" s="61"/>
      <c r="K142" s="61"/>
      <c r="L142" s="61"/>
      <c r="M142" s="61"/>
      <c r="N142" s="61"/>
      <c r="O142" s="61"/>
    </row>
    <row r="143" spans="2:15" x14ac:dyDescent="0.3">
      <c r="B143" s="61"/>
      <c r="C143" s="61"/>
      <c r="D143" s="61"/>
      <c r="E143" s="61"/>
      <c r="F143" s="61"/>
      <c r="G143" s="61"/>
      <c r="H143" s="61"/>
      <c r="I143" s="61"/>
      <c r="J143" s="61"/>
      <c r="K143" s="61"/>
      <c r="L143" s="61"/>
      <c r="M143" s="61"/>
      <c r="N143" s="61"/>
      <c r="O143" s="61"/>
    </row>
    <row r="144" spans="2:15" x14ac:dyDescent="0.3">
      <c r="B144" s="61"/>
      <c r="C144" s="61"/>
      <c r="D144" s="61"/>
      <c r="E144" s="61"/>
      <c r="F144" s="61"/>
      <c r="G144" s="61"/>
      <c r="H144" s="61"/>
      <c r="I144" s="61"/>
      <c r="J144" s="61"/>
      <c r="K144" s="61"/>
      <c r="L144" s="61"/>
      <c r="M144" s="61"/>
      <c r="N144" s="61"/>
      <c r="O144" s="61"/>
    </row>
    <row r="145" spans="2:15" x14ac:dyDescent="0.3">
      <c r="B145" s="61"/>
      <c r="C145" s="61"/>
      <c r="D145" s="61"/>
      <c r="E145" s="61"/>
      <c r="F145" s="67"/>
      <c r="G145" s="67"/>
      <c r="H145" s="67"/>
      <c r="I145" s="67"/>
      <c r="J145" s="67"/>
      <c r="K145" s="67"/>
      <c r="L145" s="67"/>
      <c r="M145" s="67"/>
      <c r="N145" s="67"/>
      <c r="O145" s="67"/>
    </row>
    <row r="146" spans="2:15" x14ac:dyDescent="0.3">
      <c r="B146" s="61"/>
      <c r="C146" s="61"/>
      <c r="D146" s="61"/>
      <c r="E146" s="61"/>
      <c r="F146" s="67"/>
      <c r="G146" s="68"/>
      <c r="H146" s="68"/>
      <c r="I146" s="68"/>
      <c r="J146" s="68"/>
      <c r="K146" s="61"/>
      <c r="L146" s="68"/>
      <c r="M146" s="68"/>
      <c r="N146" s="68"/>
      <c r="O146" s="68"/>
    </row>
    <row r="147" spans="2:15" x14ac:dyDescent="0.3">
      <c r="B147" s="61"/>
      <c r="C147" s="61"/>
      <c r="D147" s="61"/>
      <c r="E147" s="61"/>
      <c r="F147" s="61"/>
      <c r="G147" s="68"/>
      <c r="H147" s="68"/>
      <c r="I147" s="68"/>
      <c r="J147" s="68"/>
      <c r="K147" s="61"/>
      <c r="L147" s="68"/>
      <c r="M147" s="68"/>
      <c r="N147" s="68"/>
      <c r="O147" s="68"/>
    </row>
    <row r="148" spans="2:15" x14ac:dyDescent="0.3">
      <c r="B148" s="61"/>
      <c r="C148" s="61"/>
      <c r="D148" s="61"/>
      <c r="E148" s="61"/>
      <c r="F148" s="61"/>
      <c r="G148" s="68"/>
      <c r="H148" s="68"/>
      <c r="I148" s="68"/>
      <c r="J148" s="68"/>
      <c r="K148" s="61"/>
      <c r="L148" s="68"/>
      <c r="M148" s="68"/>
      <c r="N148" s="68"/>
      <c r="O148" s="68"/>
    </row>
    <row r="149" spans="2:15" x14ac:dyDescent="0.3">
      <c r="B149" s="61"/>
      <c r="C149" s="61"/>
      <c r="D149" s="61"/>
      <c r="E149" s="61"/>
      <c r="F149" s="61"/>
      <c r="G149" s="68"/>
      <c r="H149" s="68"/>
      <c r="I149" s="68"/>
      <c r="J149" s="68"/>
      <c r="K149" s="61"/>
      <c r="L149" s="61"/>
      <c r="M149" s="61"/>
      <c r="N149" s="68"/>
      <c r="O149" s="68"/>
    </row>
    <row r="150" spans="2:15" x14ac:dyDescent="0.3">
      <c r="B150" s="61"/>
      <c r="C150" s="61"/>
      <c r="D150" s="61"/>
      <c r="E150" s="61"/>
      <c r="F150" s="61"/>
      <c r="G150" s="68"/>
      <c r="H150" s="68"/>
      <c r="I150" s="68"/>
      <c r="J150" s="68"/>
      <c r="K150" s="61"/>
      <c r="L150" s="61"/>
      <c r="M150" s="61"/>
      <c r="N150" s="68"/>
      <c r="O150" s="68"/>
    </row>
    <row r="151" spans="2:15" x14ac:dyDescent="0.3">
      <c r="B151" s="61"/>
      <c r="C151" s="61"/>
      <c r="D151" s="61"/>
      <c r="E151" s="61"/>
      <c r="F151" s="61"/>
      <c r="G151" s="68"/>
      <c r="H151" s="68"/>
      <c r="I151" s="68"/>
      <c r="J151" s="68"/>
      <c r="K151" s="61"/>
      <c r="L151" s="61"/>
      <c r="M151" s="61"/>
      <c r="N151" s="68"/>
      <c r="O151" s="68"/>
    </row>
    <row r="152" spans="2:15" x14ac:dyDescent="0.3">
      <c r="B152" s="61"/>
      <c r="C152" s="61"/>
      <c r="D152" s="61"/>
      <c r="E152" s="61"/>
      <c r="F152" s="61"/>
      <c r="G152" s="68"/>
      <c r="H152" s="68"/>
      <c r="I152" s="68"/>
      <c r="J152" s="68"/>
      <c r="K152" s="61"/>
      <c r="L152" s="61"/>
      <c r="M152" s="61"/>
      <c r="N152" s="68"/>
      <c r="O152" s="68"/>
    </row>
    <row r="153" spans="2:15" x14ac:dyDescent="0.3">
      <c r="B153" s="61"/>
      <c r="C153" s="61"/>
      <c r="D153" s="61"/>
      <c r="E153" s="61"/>
      <c r="F153" s="61"/>
      <c r="G153" s="68"/>
      <c r="H153" s="68"/>
      <c r="I153" s="68"/>
      <c r="J153" s="68"/>
      <c r="K153" s="61"/>
      <c r="L153" s="61"/>
      <c r="M153" s="61"/>
      <c r="N153" s="68"/>
      <c r="O153" s="68"/>
    </row>
    <row r="154" spans="2:15" x14ac:dyDescent="0.3">
      <c r="B154" s="61"/>
      <c r="C154" s="61"/>
      <c r="D154" s="61"/>
      <c r="E154" s="61"/>
      <c r="F154" s="61"/>
      <c r="G154" s="68"/>
      <c r="H154" s="68"/>
      <c r="I154" s="68"/>
      <c r="J154" s="68"/>
      <c r="K154" s="61"/>
      <c r="L154" s="61"/>
      <c r="M154" s="61"/>
      <c r="N154" s="68"/>
      <c r="O154" s="68"/>
    </row>
    <row r="155" spans="2:15" x14ac:dyDescent="0.3">
      <c r="B155" s="61"/>
      <c r="C155" s="61"/>
      <c r="D155" s="61"/>
      <c r="E155" s="61"/>
      <c r="F155" s="61"/>
      <c r="G155" s="68"/>
      <c r="H155" s="68"/>
      <c r="I155" s="68"/>
      <c r="J155" s="68"/>
      <c r="K155" s="61"/>
      <c r="L155" s="61"/>
      <c r="M155" s="61"/>
      <c r="N155" s="68"/>
      <c r="O155" s="68"/>
    </row>
    <row r="156" spans="2:15" x14ac:dyDescent="0.3">
      <c r="B156" s="61"/>
      <c r="C156" s="61"/>
      <c r="D156" s="61"/>
      <c r="E156" s="61"/>
      <c r="F156" s="61"/>
      <c r="G156" s="61"/>
      <c r="H156" s="61"/>
      <c r="I156" s="61"/>
      <c r="J156" s="61"/>
      <c r="K156" s="61"/>
      <c r="L156" s="61"/>
      <c r="M156" s="61"/>
      <c r="N156" s="61"/>
      <c r="O156" s="61"/>
    </row>
    <row r="157" spans="2:15" x14ac:dyDescent="0.3">
      <c r="B157" s="61"/>
      <c r="C157" s="61"/>
      <c r="D157" s="61"/>
      <c r="E157" s="61"/>
      <c r="F157" s="61"/>
      <c r="G157" s="61"/>
      <c r="H157" s="61"/>
      <c r="I157" s="61"/>
      <c r="J157" s="61"/>
      <c r="K157" s="61"/>
      <c r="L157" s="61"/>
      <c r="M157" s="61"/>
      <c r="N157" s="61"/>
      <c r="O157" s="61"/>
    </row>
    <row r="158" spans="2:15" x14ac:dyDescent="0.3">
      <c r="B158" s="61"/>
      <c r="C158" s="61"/>
      <c r="D158" s="61"/>
      <c r="E158" s="61"/>
      <c r="F158" s="61"/>
      <c r="G158" s="61"/>
      <c r="H158" s="61"/>
      <c r="I158" s="61"/>
      <c r="J158" s="61"/>
      <c r="K158" s="61"/>
      <c r="L158" s="61"/>
      <c r="M158" s="61"/>
      <c r="N158" s="61"/>
      <c r="O158" s="61"/>
    </row>
    <row r="159" spans="2:15" x14ac:dyDescent="0.3">
      <c r="B159" s="61"/>
      <c r="C159" s="61"/>
      <c r="D159" s="61"/>
      <c r="E159" s="61"/>
      <c r="F159" s="67"/>
      <c r="G159" s="67"/>
      <c r="H159" s="67"/>
      <c r="I159" s="67"/>
      <c r="J159" s="67"/>
      <c r="K159" s="67"/>
      <c r="L159" s="67"/>
      <c r="M159" s="67"/>
      <c r="N159" s="67"/>
      <c r="O159" s="67"/>
    </row>
    <row r="160" spans="2:15" x14ac:dyDescent="0.3">
      <c r="B160" s="61"/>
      <c r="C160" s="61"/>
      <c r="D160" s="61"/>
      <c r="E160" s="61"/>
      <c r="F160" s="67"/>
      <c r="G160" s="68"/>
      <c r="H160" s="68"/>
      <c r="I160" s="68"/>
      <c r="J160" s="68"/>
      <c r="K160" s="61"/>
      <c r="L160" s="61"/>
      <c r="M160" s="61"/>
      <c r="N160" s="68"/>
      <c r="O160" s="68"/>
    </row>
    <row r="161" spans="2:15" x14ac:dyDescent="0.3">
      <c r="B161" s="61"/>
      <c r="C161" s="61"/>
      <c r="D161" s="61"/>
      <c r="E161" s="61"/>
      <c r="F161" s="61"/>
      <c r="G161" s="68"/>
      <c r="H161" s="68"/>
      <c r="I161" s="68"/>
      <c r="J161" s="68"/>
      <c r="K161" s="61"/>
      <c r="L161" s="68"/>
      <c r="M161" s="68"/>
      <c r="N161" s="68"/>
      <c r="O161" s="68"/>
    </row>
    <row r="162" spans="2:15" x14ac:dyDescent="0.3">
      <c r="B162" s="61"/>
      <c r="C162" s="61"/>
      <c r="D162" s="61"/>
      <c r="E162" s="61"/>
      <c r="F162" s="61"/>
      <c r="G162" s="68"/>
      <c r="H162" s="68"/>
      <c r="I162" s="68"/>
      <c r="J162" s="68"/>
      <c r="K162" s="61"/>
      <c r="L162" s="61"/>
      <c r="M162" s="61"/>
      <c r="N162" s="68"/>
      <c r="O162" s="68"/>
    </row>
    <row r="163" spans="2:15" x14ac:dyDescent="0.3">
      <c r="B163" s="61"/>
      <c r="C163" s="61"/>
      <c r="D163" s="61"/>
      <c r="E163" s="61"/>
      <c r="F163" s="61"/>
      <c r="G163" s="68"/>
      <c r="H163" s="68"/>
      <c r="I163" s="68"/>
      <c r="J163" s="68"/>
      <c r="K163" s="61"/>
      <c r="L163" s="61"/>
      <c r="M163" s="61"/>
      <c r="N163" s="68"/>
      <c r="O163" s="68"/>
    </row>
    <row r="164" spans="2:15" x14ac:dyDescent="0.3">
      <c r="B164" s="61"/>
      <c r="C164" s="61"/>
      <c r="D164" s="61"/>
      <c r="E164" s="61"/>
      <c r="F164" s="61"/>
      <c r="G164" s="68"/>
      <c r="H164" s="68"/>
      <c r="I164" s="68"/>
      <c r="J164" s="68"/>
      <c r="K164" s="61"/>
      <c r="L164" s="61"/>
      <c r="M164" s="61"/>
      <c r="N164" s="68"/>
      <c r="O164" s="68"/>
    </row>
    <row r="165" spans="2:15" x14ac:dyDescent="0.3">
      <c r="B165" s="61"/>
      <c r="C165" s="61"/>
      <c r="D165" s="61"/>
      <c r="E165" s="61"/>
      <c r="F165" s="61"/>
      <c r="G165" s="61"/>
      <c r="H165" s="61"/>
      <c r="I165" s="61"/>
      <c r="J165" s="61"/>
      <c r="K165" s="61"/>
      <c r="L165" s="61"/>
      <c r="M165" s="61"/>
      <c r="N165" s="61"/>
      <c r="O165" s="61"/>
    </row>
    <row r="166" spans="2:15" x14ac:dyDescent="0.3">
      <c r="B166" s="61"/>
      <c r="C166" s="61"/>
      <c r="D166" s="61"/>
      <c r="E166" s="61"/>
      <c r="F166" s="61"/>
      <c r="G166" s="61"/>
      <c r="H166" s="61"/>
      <c r="I166" s="61"/>
      <c r="J166" s="61"/>
      <c r="K166" s="61"/>
      <c r="L166" s="61"/>
      <c r="M166" s="61"/>
      <c r="N166" s="61"/>
      <c r="O166" s="61"/>
    </row>
    <row r="167" spans="2:15" x14ac:dyDescent="0.3">
      <c r="B167" s="61"/>
      <c r="C167" s="61"/>
      <c r="D167" s="61"/>
      <c r="E167" s="61"/>
      <c r="F167" s="61"/>
      <c r="G167" s="61"/>
      <c r="H167" s="61"/>
      <c r="I167" s="61"/>
      <c r="J167" s="61"/>
      <c r="K167" s="61"/>
      <c r="L167" s="61"/>
      <c r="M167" s="61"/>
      <c r="N167" s="61"/>
      <c r="O167" s="61"/>
    </row>
    <row r="168" spans="2:15" x14ac:dyDescent="0.3">
      <c r="B168" s="61"/>
      <c r="C168" s="61"/>
      <c r="D168" s="61"/>
      <c r="E168" s="61"/>
      <c r="F168" s="61"/>
      <c r="G168" s="61"/>
      <c r="H168" s="61"/>
      <c r="I168" s="61"/>
      <c r="J168" s="61"/>
      <c r="K168" s="61"/>
      <c r="L168" s="61"/>
      <c r="M168" s="61"/>
      <c r="N168" s="61"/>
      <c r="O168" s="61"/>
    </row>
    <row r="169" spans="2:15" x14ac:dyDescent="0.3">
      <c r="B169" s="61"/>
      <c r="C169" s="61"/>
      <c r="D169" s="61"/>
      <c r="E169" s="61"/>
      <c r="F169" s="67"/>
      <c r="G169" s="67"/>
      <c r="H169" s="67"/>
      <c r="I169" s="67"/>
      <c r="J169" s="67"/>
      <c r="K169" s="67"/>
      <c r="L169" s="67"/>
      <c r="M169" s="67"/>
      <c r="N169" s="67"/>
      <c r="O169" s="67"/>
    </row>
    <row r="170" spans="2:15" x14ac:dyDescent="0.3">
      <c r="B170" s="61"/>
      <c r="C170" s="61"/>
      <c r="D170" s="61"/>
      <c r="E170" s="61"/>
      <c r="F170" s="67"/>
      <c r="G170" s="68"/>
      <c r="H170" s="68"/>
      <c r="I170" s="68"/>
      <c r="J170" s="68"/>
      <c r="K170" s="61"/>
      <c r="L170" s="61"/>
      <c r="M170" s="61"/>
      <c r="N170" s="68"/>
      <c r="O170" s="68"/>
    </row>
    <row r="171" spans="2:15" x14ac:dyDescent="0.3">
      <c r="B171" s="61"/>
      <c r="C171" s="61"/>
      <c r="D171" s="61"/>
      <c r="E171" s="61"/>
      <c r="F171" s="61"/>
      <c r="G171" s="68"/>
      <c r="H171" s="68"/>
      <c r="I171" s="68"/>
      <c r="J171" s="68"/>
      <c r="K171" s="61"/>
      <c r="L171" s="68"/>
      <c r="M171" s="68"/>
      <c r="N171" s="68"/>
      <c r="O171" s="68"/>
    </row>
    <row r="172" spans="2:15" x14ac:dyDescent="0.3">
      <c r="B172" s="61"/>
      <c r="C172" s="61"/>
      <c r="D172" s="61"/>
      <c r="E172" s="61"/>
      <c r="F172" s="61"/>
      <c r="G172" s="68"/>
      <c r="H172" s="68"/>
      <c r="I172" s="68"/>
      <c r="J172" s="68"/>
      <c r="K172" s="61"/>
      <c r="L172" s="61"/>
      <c r="M172" s="61"/>
      <c r="N172" s="68"/>
      <c r="O172" s="68"/>
    </row>
    <row r="173" spans="2:15" x14ac:dyDescent="0.3">
      <c r="B173" s="61"/>
      <c r="C173" s="61"/>
      <c r="D173" s="61"/>
      <c r="E173" s="61"/>
      <c r="F173" s="61"/>
      <c r="G173" s="68"/>
      <c r="H173" s="68"/>
      <c r="I173" s="68"/>
      <c r="J173" s="68"/>
      <c r="K173" s="61"/>
      <c r="L173" s="61"/>
      <c r="M173" s="61"/>
      <c r="N173" s="68"/>
      <c r="O173" s="68"/>
    </row>
    <row r="174" spans="2:15" x14ac:dyDescent="0.3">
      <c r="B174" s="61"/>
      <c r="C174" s="61"/>
      <c r="D174" s="61"/>
      <c r="E174" s="61"/>
      <c r="F174" s="61"/>
      <c r="G174" s="68"/>
      <c r="H174" s="68"/>
      <c r="I174" s="68"/>
      <c r="J174" s="68"/>
      <c r="K174" s="61"/>
      <c r="L174" s="61"/>
      <c r="M174" s="61"/>
      <c r="N174" s="68"/>
      <c r="O174" s="68"/>
    </row>
  </sheetData>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6856C-D6C7-4EBE-9CB0-33EA01CD5873}">
  <dimension ref="A2:AB174"/>
  <sheetViews>
    <sheetView topLeftCell="A38" workbookViewId="0">
      <selection activeCell="F56" sqref="F56"/>
    </sheetView>
  </sheetViews>
  <sheetFormatPr defaultRowHeight="14.4" x14ac:dyDescent="0.3"/>
  <cols>
    <col min="1" max="1" width="3.33203125" customWidth="1"/>
    <col min="2" max="2" width="10.88671875" customWidth="1"/>
    <col min="3" max="3" width="35.109375" bestFit="1" customWidth="1"/>
    <col min="4" max="4" width="14.6640625" customWidth="1"/>
    <col min="5" max="5" width="15.5546875" customWidth="1"/>
    <col min="6" max="6" width="12.88671875" bestFit="1" customWidth="1"/>
    <col min="7" max="8" width="22.88671875" bestFit="1" customWidth="1"/>
    <col min="9" max="9" width="28.5546875" customWidth="1"/>
    <col min="10" max="10" width="29.44140625" customWidth="1"/>
    <col min="11" max="11" width="19.88671875" bestFit="1" customWidth="1"/>
    <col min="12" max="13" width="22.88671875" bestFit="1" customWidth="1"/>
    <col min="14" max="14" width="24.88671875" customWidth="1"/>
    <col min="15" max="15" width="25.6640625" customWidth="1"/>
    <col min="16" max="16" width="10.33203125" customWidth="1"/>
    <col min="17" max="17" width="19.6640625" customWidth="1"/>
    <col min="18" max="18" width="20.5546875" customWidth="1"/>
    <col min="19" max="19" width="23" customWidth="1"/>
    <col min="20" max="20" width="23.33203125" customWidth="1"/>
    <col min="21" max="21" width="26.77734375" customWidth="1"/>
    <col min="22" max="22" width="27.109375" customWidth="1"/>
    <col min="23" max="23" width="41.6640625" customWidth="1"/>
    <col min="24" max="24" width="25.33203125" customWidth="1"/>
    <col min="25" max="25" width="26.5546875" customWidth="1"/>
    <col min="26" max="26" width="11" customWidth="1"/>
    <col min="27" max="27" width="17.44140625" customWidth="1"/>
  </cols>
  <sheetData>
    <row r="2" spans="1:11" x14ac:dyDescent="0.3">
      <c r="A2" t="s">
        <v>179</v>
      </c>
    </row>
    <row r="3" spans="1:11" x14ac:dyDescent="0.3">
      <c r="B3" t="s">
        <v>180</v>
      </c>
      <c r="C3" t="s">
        <v>181</v>
      </c>
      <c r="D3" t="s">
        <v>182</v>
      </c>
      <c r="E3" t="s">
        <v>183</v>
      </c>
    </row>
    <row r="4" spans="1:11" x14ac:dyDescent="0.3">
      <c r="B4" t="s">
        <v>88</v>
      </c>
      <c r="C4" t="s">
        <v>400</v>
      </c>
      <c r="D4">
        <f>VLOOKUP(C4,Employees!$B$21:$C$33,2,FALSE)</f>
        <v>22</v>
      </c>
      <c r="E4" s="54">
        <v>6.1000000000000004E-3</v>
      </c>
    </row>
    <row r="5" spans="1:11" x14ac:dyDescent="0.3">
      <c r="B5" t="s">
        <v>89</v>
      </c>
      <c r="C5" t="s">
        <v>370</v>
      </c>
      <c r="D5">
        <f>VLOOKUP(C5,Employees!$B$21:$C$33,2,FALSE)</f>
        <v>26</v>
      </c>
      <c r="E5" s="54">
        <v>7.1999999999999998E-3</v>
      </c>
    </row>
    <row r="7" spans="1:11" x14ac:dyDescent="0.3">
      <c r="A7" t="s">
        <v>140</v>
      </c>
      <c r="C7" t="s">
        <v>141</v>
      </c>
      <c r="D7" s="14" t="s">
        <v>142</v>
      </c>
      <c r="E7" t="s">
        <v>84</v>
      </c>
      <c r="H7" t="s">
        <v>143</v>
      </c>
      <c r="I7" t="s">
        <v>144</v>
      </c>
    </row>
    <row r="8" spans="1:11" x14ac:dyDescent="0.3">
      <c r="B8">
        <v>1</v>
      </c>
      <c r="C8" t="s">
        <v>184</v>
      </c>
      <c r="H8" t="s">
        <v>19</v>
      </c>
      <c r="J8" t="s">
        <v>146</v>
      </c>
      <c r="K8" t="s">
        <v>185</v>
      </c>
    </row>
    <row r="9" spans="1:11" x14ac:dyDescent="0.3">
      <c r="D9">
        <v>1</v>
      </c>
      <c r="E9" t="s">
        <v>186</v>
      </c>
      <c r="H9">
        <v>1.1000000000000001</v>
      </c>
      <c r="I9" t="s">
        <v>187</v>
      </c>
      <c r="J9" t="s">
        <v>146</v>
      </c>
    </row>
    <row r="10" spans="1:11" x14ac:dyDescent="0.3">
      <c r="D10">
        <v>2</v>
      </c>
      <c r="E10" t="s">
        <v>188</v>
      </c>
      <c r="H10">
        <v>1.8</v>
      </c>
      <c r="I10" t="s">
        <v>187</v>
      </c>
      <c r="J10" t="s">
        <v>146</v>
      </c>
    </row>
    <row r="11" spans="1:11" x14ac:dyDescent="0.3">
      <c r="D11">
        <v>3</v>
      </c>
      <c r="E11" t="s">
        <v>189</v>
      </c>
      <c r="H11">
        <v>2</v>
      </c>
      <c r="J11" t="s">
        <v>146</v>
      </c>
    </row>
    <row r="13" spans="1:11" x14ac:dyDescent="0.3">
      <c r="B13">
        <v>2</v>
      </c>
      <c r="C13" t="s">
        <v>190</v>
      </c>
      <c r="H13" t="str">
        <f>E14</f>
        <v>Maintenance Workers</v>
      </c>
    </row>
    <row r="14" spans="1:11" x14ac:dyDescent="0.3">
      <c r="D14">
        <v>1</v>
      </c>
      <c r="E14" t="s">
        <v>191</v>
      </c>
    </row>
    <row r="15" spans="1:11" x14ac:dyDescent="0.3">
      <c r="D15">
        <v>2</v>
      </c>
      <c r="E15" t="s">
        <v>192</v>
      </c>
    </row>
    <row r="16" spans="1:11" x14ac:dyDescent="0.3">
      <c r="D16">
        <v>3</v>
      </c>
      <c r="E16" t="s">
        <v>193</v>
      </c>
    </row>
    <row r="18" spans="1:8" x14ac:dyDescent="0.3">
      <c r="B18">
        <v>3</v>
      </c>
      <c r="C18" t="s">
        <v>194</v>
      </c>
      <c r="H18" t="str">
        <f>E19</f>
        <v>Maintenance Workers</v>
      </c>
    </row>
    <row r="19" spans="1:8" x14ac:dyDescent="0.3">
      <c r="D19">
        <v>1</v>
      </c>
      <c r="E19" t="s">
        <v>191</v>
      </c>
    </row>
    <row r="20" spans="1:8" x14ac:dyDescent="0.3">
      <c r="D20">
        <v>2</v>
      </c>
      <c r="E20" t="s">
        <v>192</v>
      </c>
    </row>
    <row r="21" spans="1:8" x14ac:dyDescent="0.3">
      <c r="D21">
        <v>3</v>
      </c>
      <c r="E21" t="s">
        <v>193</v>
      </c>
    </row>
    <row r="23" spans="1:8" x14ac:dyDescent="0.3">
      <c r="B23">
        <v>4</v>
      </c>
    </row>
    <row r="27" spans="1:8" x14ac:dyDescent="0.3">
      <c r="A27" t="s">
        <v>153</v>
      </c>
    </row>
    <row r="28" spans="1:8" x14ac:dyDescent="0.3">
      <c r="C28" t="s">
        <v>195</v>
      </c>
      <c r="D28" t="s">
        <v>196</v>
      </c>
    </row>
    <row r="29" spans="1:8" x14ac:dyDescent="0.3">
      <c r="D29" t="s">
        <v>197</v>
      </c>
    </row>
    <row r="31" spans="1:8" x14ac:dyDescent="0.3">
      <c r="A31" t="s">
        <v>198</v>
      </c>
    </row>
    <row r="32" spans="1:8" x14ac:dyDescent="0.3">
      <c r="B32">
        <v>1</v>
      </c>
      <c r="C32" t="s">
        <v>199</v>
      </c>
      <c r="E32" t="s">
        <v>200</v>
      </c>
      <c r="F32" t="s">
        <v>201</v>
      </c>
    </row>
    <row r="33" spans="1:28" x14ac:dyDescent="0.3">
      <c r="B33">
        <v>2</v>
      </c>
      <c r="C33" t="s">
        <v>202</v>
      </c>
      <c r="G33">
        <v>7.9</v>
      </c>
      <c r="H33" t="s">
        <v>203</v>
      </c>
    </row>
    <row r="34" spans="1:28" x14ac:dyDescent="0.3">
      <c r="B34">
        <v>3</v>
      </c>
      <c r="C34" t="s">
        <v>204</v>
      </c>
      <c r="G34">
        <v>9.6</v>
      </c>
      <c r="H34" t="s">
        <v>203</v>
      </c>
    </row>
    <row r="35" spans="1:28" x14ac:dyDescent="0.3">
      <c r="B35">
        <v>4</v>
      </c>
      <c r="C35" t="s">
        <v>205</v>
      </c>
      <c r="G35">
        <v>7.9</v>
      </c>
      <c r="H35" t="s">
        <v>203</v>
      </c>
    </row>
    <row r="37" spans="1:28" x14ac:dyDescent="0.3">
      <c r="A37" t="s">
        <v>206</v>
      </c>
      <c r="D37" t="s">
        <v>207</v>
      </c>
    </row>
    <row r="38" spans="1:28" x14ac:dyDescent="0.3">
      <c r="B38" s="77" t="s">
        <v>208</v>
      </c>
      <c r="C38" s="77" t="s">
        <v>209</v>
      </c>
      <c r="D38" s="77" t="s">
        <v>590</v>
      </c>
      <c r="E38" s="77" t="s">
        <v>210</v>
      </c>
      <c r="F38" s="78" t="s">
        <v>211</v>
      </c>
      <c r="G38" s="78" t="s">
        <v>212</v>
      </c>
      <c r="H38" s="78" t="s">
        <v>213</v>
      </c>
      <c r="I38" s="78" t="s">
        <v>214</v>
      </c>
      <c r="J38" s="78" t="s">
        <v>215</v>
      </c>
      <c r="K38" s="78" t="s">
        <v>216</v>
      </c>
      <c r="L38" s="78" t="s">
        <v>217</v>
      </c>
      <c r="M38" s="78" t="s">
        <v>218</v>
      </c>
      <c r="N38" s="78" t="s">
        <v>219</v>
      </c>
      <c r="O38" s="78" t="s">
        <v>220</v>
      </c>
      <c r="P38" s="77" t="s">
        <v>221</v>
      </c>
      <c r="Q38" s="77" t="s">
        <v>222</v>
      </c>
      <c r="R38" s="77" t="s">
        <v>223</v>
      </c>
      <c r="S38" s="77" t="s">
        <v>224</v>
      </c>
      <c r="T38" s="78" t="s">
        <v>225</v>
      </c>
      <c r="U38" s="78" t="s">
        <v>226</v>
      </c>
      <c r="V38" s="78" t="s">
        <v>227</v>
      </c>
      <c r="W38" s="78" t="s">
        <v>228</v>
      </c>
      <c r="X38" s="78" t="s">
        <v>229</v>
      </c>
      <c r="Y38" s="78" t="s">
        <v>591</v>
      </c>
      <c r="Z38" s="78" t="s">
        <v>230</v>
      </c>
      <c r="AA38" s="78" t="s">
        <v>231</v>
      </c>
      <c r="AB38" s="13"/>
    </row>
    <row r="39" spans="1:28" x14ac:dyDescent="0.3">
      <c r="B39">
        <v>1</v>
      </c>
      <c r="C39" t="s">
        <v>232</v>
      </c>
      <c r="D39">
        <v>1</v>
      </c>
      <c r="E39" s="54">
        <v>14</v>
      </c>
      <c r="F39" s="54">
        <v>14</v>
      </c>
      <c r="G39" s="55">
        <f>E39*$E$4</f>
        <v>8.5400000000000004E-2</v>
      </c>
      <c r="H39" s="55">
        <f t="shared" ref="H39:H69" si="0">E39*$E$5</f>
        <v>0.1008</v>
      </c>
      <c r="I39" s="55">
        <f>G39</f>
        <v>8.5400000000000004E-2</v>
      </c>
      <c r="J39" s="55">
        <f>H39</f>
        <v>0.1008</v>
      </c>
      <c r="K39" s="54">
        <v>1</v>
      </c>
      <c r="L39" s="84">
        <f>VLOOKUP($K39,Components!$A$3:$I$23,8,FALSE)</f>
        <v>6.6059999999999999</v>
      </c>
      <c r="M39" s="73">
        <f>VLOOKUP($K39,Components!$A$3:$I$23,9,FALSE)</f>
        <v>6.9363000000000001</v>
      </c>
      <c r="N39" s="55">
        <f>L39+G39</f>
        <v>6.6913999999999998</v>
      </c>
      <c r="O39" s="55">
        <f>M39+H39</f>
        <v>7.0371000000000006</v>
      </c>
      <c r="P39" s="54"/>
      <c r="Q39" s="54"/>
      <c r="R39" s="54"/>
      <c r="S39" s="54"/>
      <c r="T39" s="54"/>
      <c r="U39" s="54"/>
      <c r="V39" s="54"/>
      <c r="W39" s="54">
        <f>F39</f>
        <v>14</v>
      </c>
      <c r="X39" s="55">
        <f>SUM(G39,L39,S39,U39)</f>
        <v>6.6913999999999998</v>
      </c>
      <c r="Y39" s="55">
        <f>SUM(H39,M39,T39,V39)</f>
        <v>7.0371000000000006</v>
      </c>
      <c r="Z39" s="21">
        <v>1</v>
      </c>
      <c r="AA39" s="21">
        <f>Z39</f>
        <v>1</v>
      </c>
    </row>
    <row r="40" spans="1:28" x14ac:dyDescent="0.3">
      <c r="B40">
        <v>2</v>
      </c>
      <c r="C40" t="s">
        <v>233</v>
      </c>
      <c r="D40">
        <v>1</v>
      </c>
      <c r="E40" s="54">
        <v>5</v>
      </c>
      <c r="F40" s="54">
        <f t="shared" ref="F40:F69" si="1">F39+E40</f>
        <v>19</v>
      </c>
      <c r="G40" s="55">
        <f t="shared" ref="G40:G69" si="2">E40*$E$4</f>
        <v>3.0500000000000003E-2</v>
      </c>
      <c r="H40" s="55">
        <f t="shared" si="0"/>
        <v>3.5999999999999997E-2</v>
      </c>
      <c r="I40" s="55">
        <f t="shared" ref="I40:J55" si="3">I39+G40</f>
        <v>0.1159</v>
      </c>
      <c r="J40" s="55">
        <f t="shared" si="3"/>
        <v>0.1368</v>
      </c>
      <c r="K40" s="54"/>
      <c r="L40" s="84"/>
      <c r="M40" s="73"/>
      <c r="N40" s="55">
        <f t="shared" ref="N40:O55" si="4">N39+L40+G40</f>
        <v>6.7218999999999998</v>
      </c>
      <c r="O40" s="55">
        <f t="shared" si="4"/>
        <v>7.0731000000000002</v>
      </c>
      <c r="P40" s="54">
        <v>2</v>
      </c>
      <c r="Q40" s="56" t="s">
        <v>234</v>
      </c>
      <c r="R40" s="57">
        <f>F83</f>
        <v>44.7</v>
      </c>
      <c r="S40" s="55">
        <f>$R40*$E$4</f>
        <v>0.27267000000000002</v>
      </c>
      <c r="T40" s="55">
        <f>$R40*$E$5</f>
        <v>0.32184000000000001</v>
      </c>
      <c r="U40" s="55">
        <f>L77</f>
        <v>6.6059999999999999</v>
      </c>
      <c r="V40" s="55">
        <f>M77</f>
        <v>6.9363000000000001</v>
      </c>
      <c r="W40" s="57">
        <f>W39+E40+R40</f>
        <v>63.7</v>
      </c>
      <c r="X40" s="55">
        <f t="shared" ref="X40:Y55" si="5">SUM(X39,G40,L40,S40,U40)</f>
        <v>13.600569999999999</v>
      </c>
      <c r="Y40" s="55">
        <f t="shared" si="5"/>
        <v>14.331240000000001</v>
      </c>
      <c r="Z40" s="49">
        <f t="shared" ref="Z40:Z69" si="6">1-P40/100</f>
        <v>0.98</v>
      </c>
      <c r="AA40" s="49">
        <f>Z40*AA39</f>
        <v>0.98</v>
      </c>
    </row>
    <row r="41" spans="1:28" x14ac:dyDescent="0.3">
      <c r="B41">
        <v>3</v>
      </c>
      <c r="C41" t="s">
        <v>235</v>
      </c>
      <c r="D41">
        <v>2</v>
      </c>
      <c r="E41" s="54">
        <v>3</v>
      </c>
      <c r="F41" s="54">
        <f t="shared" si="1"/>
        <v>22</v>
      </c>
      <c r="G41" s="55">
        <f t="shared" si="2"/>
        <v>1.83E-2</v>
      </c>
      <c r="H41" s="55">
        <f t="shared" si="0"/>
        <v>2.1600000000000001E-2</v>
      </c>
      <c r="I41" s="55">
        <f t="shared" si="3"/>
        <v>0.13420000000000001</v>
      </c>
      <c r="J41" s="55">
        <f t="shared" si="3"/>
        <v>0.15840000000000001</v>
      </c>
      <c r="K41" s="54">
        <v>2</v>
      </c>
      <c r="L41" s="84">
        <f>VLOOKUP($K41,Components!$A$3:$I$23,8,FALSE)</f>
        <v>8.1000000000000003E-2</v>
      </c>
      <c r="M41" s="73">
        <f>VLOOKUP($K41,Components!$A$3:$I$23,9,FALSE)</f>
        <v>8.5050000000000001E-2</v>
      </c>
      <c r="N41" s="55">
        <f t="shared" si="4"/>
        <v>6.8212000000000002</v>
      </c>
      <c r="O41" s="55">
        <f t="shared" si="4"/>
        <v>7.1797500000000003</v>
      </c>
      <c r="P41" s="54"/>
      <c r="Q41" s="54"/>
      <c r="R41" s="54"/>
      <c r="S41" s="54"/>
      <c r="T41" s="54"/>
      <c r="U41" s="54"/>
      <c r="V41" s="54"/>
      <c r="W41" s="57">
        <f t="shared" ref="W41:W69" si="7">W40+E41+R41</f>
        <v>66.7</v>
      </c>
      <c r="X41" s="55">
        <f t="shared" si="5"/>
        <v>13.699869999999999</v>
      </c>
      <c r="Y41" s="55">
        <f t="shared" si="5"/>
        <v>14.437890000000001</v>
      </c>
      <c r="Z41" s="49">
        <f t="shared" si="6"/>
        <v>1</v>
      </c>
      <c r="AA41" s="49">
        <f t="shared" ref="AA41:AA69" si="8">Z41*AA40</f>
        <v>0.98</v>
      </c>
    </row>
    <row r="42" spans="1:28" x14ac:dyDescent="0.3">
      <c r="B42">
        <v>4</v>
      </c>
      <c r="C42" t="s">
        <v>236</v>
      </c>
      <c r="D42">
        <v>2</v>
      </c>
      <c r="E42" s="54">
        <v>7</v>
      </c>
      <c r="F42" s="54">
        <f t="shared" si="1"/>
        <v>29</v>
      </c>
      <c r="G42" s="55">
        <f t="shared" si="2"/>
        <v>4.2700000000000002E-2</v>
      </c>
      <c r="H42" s="55">
        <f t="shared" si="0"/>
        <v>5.04E-2</v>
      </c>
      <c r="I42" s="55">
        <f t="shared" si="3"/>
        <v>0.1769</v>
      </c>
      <c r="J42" s="55">
        <f t="shared" si="3"/>
        <v>0.20880000000000001</v>
      </c>
      <c r="K42" s="54">
        <v>12</v>
      </c>
      <c r="L42" s="84">
        <f>VLOOKUP($K42,Components!$A$3:$I$23,8,FALSE)</f>
        <v>3</v>
      </c>
      <c r="M42" s="73">
        <f>VLOOKUP($K42,Components!$A$3:$I$23,9,FALSE)</f>
        <v>3.15</v>
      </c>
      <c r="N42" s="55">
        <f t="shared" si="4"/>
        <v>9.863900000000001</v>
      </c>
      <c r="O42" s="55">
        <f t="shared" si="4"/>
        <v>10.38015</v>
      </c>
      <c r="P42" s="54"/>
      <c r="Q42" s="54"/>
      <c r="R42" s="54"/>
      <c r="S42" s="54"/>
      <c r="T42" s="54"/>
      <c r="U42" s="54"/>
      <c r="V42" s="54"/>
      <c r="W42" s="57">
        <f t="shared" si="7"/>
        <v>73.7</v>
      </c>
      <c r="X42" s="55">
        <f t="shared" si="5"/>
        <v>16.742570000000001</v>
      </c>
      <c r="Y42" s="55">
        <f t="shared" si="5"/>
        <v>17.638290000000001</v>
      </c>
      <c r="Z42" s="49">
        <f t="shared" si="6"/>
        <v>1</v>
      </c>
      <c r="AA42" s="49">
        <f t="shared" si="8"/>
        <v>0.98</v>
      </c>
    </row>
    <row r="43" spans="1:28" x14ac:dyDescent="0.3">
      <c r="B43">
        <v>5</v>
      </c>
      <c r="C43" t="s">
        <v>237</v>
      </c>
      <c r="D43">
        <v>3</v>
      </c>
      <c r="E43" s="54">
        <v>2</v>
      </c>
      <c r="F43" s="54">
        <f t="shared" si="1"/>
        <v>31</v>
      </c>
      <c r="G43" s="55">
        <f t="shared" si="2"/>
        <v>1.2200000000000001E-2</v>
      </c>
      <c r="H43" s="55">
        <f t="shared" si="0"/>
        <v>1.44E-2</v>
      </c>
      <c r="I43" s="55">
        <f t="shared" si="3"/>
        <v>0.18909999999999999</v>
      </c>
      <c r="J43" s="55">
        <f t="shared" si="3"/>
        <v>0.22320000000000001</v>
      </c>
      <c r="K43" s="54"/>
      <c r="L43" s="84"/>
      <c r="M43" s="73"/>
      <c r="N43" s="55">
        <f t="shared" si="4"/>
        <v>9.876100000000001</v>
      </c>
      <c r="O43" s="55">
        <f t="shared" si="4"/>
        <v>10.394550000000001</v>
      </c>
      <c r="P43" s="54">
        <v>5.2</v>
      </c>
      <c r="Q43" s="56" t="s">
        <v>238</v>
      </c>
      <c r="R43" s="57">
        <f>F94</f>
        <v>35.700000000000003</v>
      </c>
      <c r="S43" s="55">
        <f>$R43*$E$4</f>
        <v>0.21777000000000002</v>
      </c>
      <c r="T43" s="55">
        <f>$R43*$E$5</f>
        <v>0.25703999999999999</v>
      </c>
      <c r="U43" s="55">
        <f>SUM(L87:L94)</f>
        <v>3.081</v>
      </c>
      <c r="V43" s="55">
        <f>SUM(M87:M94)</f>
        <v>3.2350499999999998</v>
      </c>
      <c r="W43" s="57">
        <f t="shared" si="7"/>
        <v>111.4</v>
      </c>
      <c r="X43" s="55">
        <f t="shared" si="5"/>
        <v>20.053540000000002</v>
      </c>
      <c r="Y43" s="55">
        <f t="shared" si="5"/>
        <v>21.144780000000001</v>
      </c>
      <c r="Z43" s="49">
        <f t="shared" si="6"/>
        <v>0.94799999999999995</v>
      </c>
      <c r="AA43" s="49">
        <f t="shared" si="8"/>
        <v>0.92903999999999998</v>
      </c>
    </row>
    <row r="44" spans="1:28" x14ac:dyDescent="0.3">
      <c r="B44">
        <v>6</v>
      </c>
      <c r="C44" t="s">
        <v>239</v>
      </c>
      <c r="D44">
        <v>1</v>
      </c>
      <c r="E44" s="54">
        <v>6.6</v>
      </c>
      <c r="F44" s="54">
        <f t="shared" si="1"/>
        <v>37.6</v>
      </c>
      <c r="G44" s="55">
        <f t="shared" si="2"/>
        <v>4.0259999999999997E-2</v>
      </c>
      <c r="H44" s="55">
        <f t="shared" si="0"/>
        <v>4.7519999999999993E-2</v>
      </c>
      <c r="I44" s="55">
        <f t="shared" si="3"/>
        <v>0.22935999999999998</v>
      </c>
      <c r="J44" s="55">
        <f t="shared" si="3"/>
        <v>0.27072000000000002</v>
      </c>
      <c r="K44" s="54">
        <v>10</v>
      </c>
      <c r="L44" s="84">
        <f>VLOOKUP($K44,Components!$A$3:$I$23,8,FALSE)</f>
        <v>4</v>
      </c>
      <c r="M44" s="73">
        <f>VLOOKUP($K44,Components!$A$3:$I$23,9,FALSE)</f>
        <v>4.2</v>
      </c>
      <c r="N44" s="55">
        <f t="shared" si="4"/>
        <v>13.916360000000001</v>
      </c>
      <c r="O44" s="55">
        <f t="shared" si="4"/>
        <v>14.642070000000002</v>
      </c>
      <c r="P44" s="54"/>
      <c r="Q44" s="54"/>
      <c r="R44" s="54"/>
      <c r="S44" s="54"/>
      <c r="T44" s="54"/>
      <c r="U44" s="54"/>
      <c r="V44" s="54"/>
      <c r="W44" s="57">
        <f t="shared" si="7"/>
        <v>118</v>
      </c>
      <c r="X44" s="55">
        <f t="shared" si="5"/>
        <v>24.093800000000002</v>
      </c>
      <c r="Y44" s="55">
        <f t="shared" si="5"/>
        <v>25.392299999999999</v>
      </c>
      <c r="Z44" s="49">
        <f t="shared" si="6"/>
        <v>1</v>
      </c>
      <c r="AA44" s="49">
        <f t="shared" si="8"/>
        <v>0.92903999999999998</v>
      </c>
    </row>
    <row r="45" spans="1:28" x14ac:dyDescent="0.3">
      <c r="B45">
        <v>7</v>
      </c>
      <c r="C45" t="s">
        <v>240</v>
      </c>
      <c r="D45">
        <v>2</v>
      </c>
      <c r="E45" s="54">
        <v>20</v>
      </c>
      <c r="F45" s="54">
        <f t="shared" si="1"/>
        <v>57.6</v>
      </c>
      <c r="G45" s="55">
        <f t="shared" si="2"/>
        <v>0.12200000000000001</v>
      </c>
      <c r="H45" s="55">
        <f t="shared" si="0"/>
        <v>0.14399999999999999</v>
      </c>
      <c r="I45" s="55">
        <f t="shared" si="3"/>
        <v>0.35136000000000001</v>
      </c>
      <c r="J45" s="55">
        <f t="shared" si="3"/>
        <v>0.41471999999999998</v>
      </c>
      <c r="K45" s="54">
        <v>4</v>
      </c>
      <c r="L45" s="84">
        <f>VLOOKUP($K45,Components!$A$3:$I$23,8,FALSE)</f>
        <v>14.99</v>
      </c>
      <c r="M45" s="73">
        <f>VLOOKUP($K45,Components!$A$3:$I$23,9,FALSE)</f>
        <v>15.7395</v>
      </c>
      <c r="N45" s="55">
        <f t="shared" si="4"/>
        <v>29.028359999999999</v>
      </c>
      <c r="O45" s="55">
        <f t="shared" si="4"/>
        <v>30.525570000000002</v>
      </c>
      <c r="P45" s="54"/>
      <c r="Q45" s="54"/>
      <c r="R45" s="54"/>
      <c r="S45" s="54"/>
      <c r="T45" s="54"/>
      <c r="U45" s="54"/>
      <c r="V45" s="54"/>
      <c r="W45" s="57">
        <f t="shared" si="7"/>
        <v>138</v>
      </c>
      <c r="X45" s="55">
        <f t="shared" si="5"/>
        <v>39.205800000000004</v>
      </c>
      <c r="Y45" s="55">
        <f t="shared" si="5"/>
        <v>41.275799999999997</v>
      </c>
      <c r="Z45" s="49">
        <f t="shared" si="6"/>
        <v>1</v>
      </c>
      <c r="AA45" s="49">
        <f t="shared" si="8"/>
        <v>0.92903999999999998</v>
      </c>
    </row>
    <row r="46" spans="1:28" x14ac:dyDescent="0.3">
      <c r="B46">
        <v>8</v>
      </c>
      <c r="C46" t="s">
        <v>241</v>
      </c>
      <c r="D46">
        <v>3</v>
      </c>
      <c r="E46" s="54">
        <v>30</v>
      </c>
      <c r="F46" s="54">
        <f t="shared" si="1"/>
        <v>87.6</v>
      </c>
      <c r="G46" s="55">
        <f t="shared" si="2"/>
        <v>0.18300000000000002</v>
      </c>
      <c r="H46" s="55">
        <f t="shared" si="0"/>
        <v>0.216</v>
      </c>
      <c r="I46" s="55">
        <f t="shared" si="3"/>
        <v>0.53436000000000006</v>
      </c>
      <c r="J46" s="55">
        <f t="shared" si="3"/>
        <v>0.63071999999999995</v>
      </c>
      <c r="K46" s="54"/>
      <c r="L46" s="84"/>
      <c r="M46" s="73"/>
      <c r="N46" s="55">
        <f t="shared" si="4"/>
        <v>29.211359999999999</v>
      </c>
      <c r="O46" s="55">
        <f t="shared" si="4"/>
        <v>30.741570000000003</v>
      </c>
      <c r="P46" s="54">
        <v>2</v>
      </c>
      <c r="Q46" s="56" t="s">
        <v>242</v>
      </c>
      <c r="R46" s="54">
        <f>F102</f>
        <v>37.6</v>
      </c>
      <c r="S46" s="55">
        <f>$R46*$E$4</f>
        <v>0.22936000000000004</v>
      </c>
      <c r="T46" s="55">
        <f>$R46*$E$5</f>
        <v>0.27072000000000002</v>
      </c>
      <c r="U46" s="55">
        <f>SUM(L100:L102)</f>
        <v>18.990000000000002</v>
      </c>
      <c r="V46" s="55">
        <f>SUM(M100:M102)</f>
        <v>19.939499999999999</v>
      </c>
      <c r="W46" s="57">
        <f t="shared" si="7"/>
        <v>205.6</v>
      </c>
      <c r="X46" s="55">
        <f t="shared" si="5"/>
        <v>58.608160000000005</v>
      </c>
      <c r="Y46" s="55">
        <f t="shared" si="5"/>
        <v>61.70201999999999</v>
      </c>
      <c r="Z46" s="49">
        <f t="shared" si="6"/>
        <v>0.98</v>
      </c>
      <c r="AA46" s="49">
        <f t="shared" si="8"/>
        <v>0.91045919999999991</v>
      </c>
    </row>
    <row r="47" spans="1:28" x14ac:dyDescent="0.3">
      <c r="B47">
        <v>9</v>
      </c>
      <c r="C47" t="s">
        <v>243</v>
      </c>
      <c r="D47">
        <v>4</v>
      </c>
      <c r="E47" s="54">
        <v>24</v>
      </c>
      <c r="F47" s="54">
        <f t="shared" si="1"/>
        <v>111.6</v>
      </c>
      <c r="G47" s="55">
        <f t="shared" si="2"/>
        <v>0.1464</v>
      </c>
      <c r="H47" s="55">
        <f t="shared" si="0"/>
        <v>0.17280000000000001</v>
      </c>
      <c r="I47" s="55">
        <f t="shared" si="3"/>
        <v>0.68076000000000003</v>
      </c>
      <c r="J47" s="55">
        <f t="shared" si="3"/>
        <v>0.80352000000000001</v>
      </c>
      <c r="K47" s="54"/>
      <c r="L47" s="84"/>
      <c r="M47" s="73"/>
      <c r="N47" s="55">
        <f t="shared" si="4"/>
        <v>29.357759999999999</v>
      </c>
      <c r="O47" s="55">
        <f t="shared" si="4"/>
        <v>30.914370000000002</v>
      </c>
      <c r="P47" s="54"/>
      <c r="Q47" s="54"/>
      <c r="R47" s="54"/>
      <c r="S47" s="54"/>
      <c r="T47" s="54"/>
      <c r="U47" s="54"/>
      <c r="V47" s="54"/>
      <c r="W47" s="57">
        <f t="shared" si="7"/>
        <v>229.6</v>
      </c>
      <c r="X47" s="55">
        <f t="shared" si="5"/>
        <v>58.754560000000005</v>
      </c>
      <c r="Y47" s="55">
        <f t="shared" si="5"/>
        <v>61.874819999999993</v>
      </c>
      <c r="Z47" s="49">
        <f t="shared" si="6"/>
        <v>1</v>
      </c>
      <c r="AA47" s="49">
        <f t="shared" si="8"/>
        <v>0.91045919999999991</v>
      </c>
    </row>
    <row r="48" spans="1:28" x14ac:dyDescent="0.3">
      <c r="B48">
        <v>10</v>
      </c>
      <c r="C48" t="s">
        <v>244</v>
      </c>
      <c r="D48">
        <v>4</v>
      </c>
      <c r="E48" s="54">
        <v>12</v>
      </c>
      <c r="F48" s="54">
        <f t="shared" si="1"/>
        <v>123.6</v>
      </c>
      <c r="G48" s="55">
        <f t="shared" si="2"/>
        <v>7.3200000000000001E-2</v>
      </c>
      <c r="H48" s="55">
        <f t="shared" si="0"/>
        <v>8.6400000000000005E-2</v>
      </c>
      <c r="I48" s="55">
        <f t="shared" si="3"/>
        <v>0.75396000000000007</v>
      </c>
      <c r="J48" s="55">
        <f t="shared" si="3"/>
        <v>0.88992000000000004</v>
      </c>
      <c r="K48" s="54">
        <v>7</v>
      </c>
      <c r="L48" s="84">
        <f>VLOOKUP($K48,Components!$A$3:$I$23,8,FALSE)</f>
        <v>0.56999999999999995</v>
      </c>
      <c r="M48" s="73">
        <f>VLOOKUP($K48,Components!$A$3:$I$23,9,FALSE)</f>
        <v>0.59849999999999992</v>
      </c>
      <c r="N48" s="55">
        <f t="shared" si="4"/>
        <v>30.000959999999999</v>
      </c>
      <c r="O48" s="55">
        <f t="shared" si="4"/>
        <v>31.599270000000004</v>
      </c>
      <c r="P48" s="54"/>
      <c r="Q48" s="54"/>
      <c r="R48" s="54"/>
      <c r="S48" s="54"/>
      <c r="T48" s="54"/>
      <c r="U48" s="54"/>
      <c r="V48" s="54"/>
      <c r="W48" s="57">
        <f t="shared" si="7"/>
        <v>241.6</v>
      </c>
      <c r="X48" s="55">
        <f t="shared" si="5"/>
        <v>59.397760000000005</v>
      </c>
      <c r="Y48" s="55">
        <f t="shared" si="5"/>
        <v>62.559719999999992</v>
      </c>
      <c r="Z48" s="49">
        <f t="shared" si="6"/>
        <v>1</v>
      </c>
      <c r="AA48" s="49">
        <f t="shared" si="8"/>
        <v>0.91045919999999991</v>
      </c>
    </row>
    <row r="49" spans="2:27" x14ac:dyDescent="0.3">
      <c r="B49">
        <v>11</v>
      </c>
      <c r="C49" t="s">
        <v>245</v>
      </c>
      <c r="D49">
        <v>4</v>
      </c>
      <c r="E49" s="54">
        <v>6</v>
      </c>
      <c r="F49" s="54">
        <f t="shared" si="1"/>
        <v>129.6</v>
      </c>
      <c r="G49" s="55">
        <f t="shared" si="2"/>
        <v>3.6600000000000001E-2</v>
      </c>
      <c r="H49" s="55">
        <f t="shared" si="0"/>
        <v>4.3200000000000002E-2</v>
      </c>
      <c r="I49" s="55">
        <f t="shared" si="3"/>
        <v>0.79056000000000004</v>
      </c>
      <c r="J49" s="55">
        <f t="shared" si="3"/>
        <v>0.93312000000000006</v>
      </c>
      <c r="K49" s="54"/>
      <c r="L49" s="84"/>
      <c r="M49" s="73"/>
      <c r="N49" s="55">
        <f t="shared" si="4"/>
        <v>30.037559999999999</v>
      </c>
      <c r="O49" s="55">
        <f t="shared" si="4"/>
        <v>31.642470000000003</v>
      </c>
      <c r="P49" s="54"/>
      <c r="Q49" s="54"/>
      <c r="R49" s="54"/>
      <c r="S49" s="54"/>
      <c r="T49" s="54"/>
      <c r="U49" s="54"/>
      <c r="V49" s="54"/>
      <c r="W49" s="57">
        <f t="shared" si="7"/>
        <v>247.6</v>
      </c>
      <c r="X49" s="55">
        <f t="shared" si="5"/>
        <v>59.434360000000005</v>
      </c>
      <c r="Y49" s="55">
        <f t="shared" si="5"/>
        <v>62.60291999999999</v>
      </c>
      <c r="Z49" s="49">
        <f t="shared" si="6"/>
        <v>1</v>
      </c>
      <c r="AA49" s="49">
        <f t="shared" si="8"/>
        <v>0.91045919999999991</v>
      </c>
    </row>
    <row r="50" spans="2:27" x14ac:dyDescent="0.3">
      <c r="B50">
        <v>12</v>
      </c>
      <c r="C50" t="s">
        <v>246</v>
      </c>
      <c r="D50">
        <v>3</v>
      </c>
      <c r="E50" s="54">
        <v>2</v>
      </c>
      <c r="F50" s="54">
        <f t="shared" si="1"/>
        <v>131.6</v>
      </c>
      <c r="G50" s="55">
        <f t="shared" si="2"/>
        <v>1.2200000000000001E-2</v>
      </c>
      <c r="H50" s="55">
        <f t="shared" si="0"/>
        <v>1.44E-2</v>
      </c>
      <c r="I50" s="55">
        <f t="shared" si="3"/>
        <v>0.80276000000000003</v>
      </c>
      <c r="J50" s="55">
        <f t="shared" si="3"/>
        <v>0.94752000000000003</v>
      </c>
      <c r="K50" s="54"/>
      <c r="L50" s="84"/>
      <c r="M50" s="73"/>
      <c r="N50" s="55">
        <f t="shared" si="4"/>
        <v>30.049759999999999</v>
      </c>
      <c r="O50" s="55">
        <f t="shared" si="4"/>
        <v>31.656870000000001</v>
      </c>
      <c r="P50" s="54">
        <v>7.5</v>
      </c>
      <c r="Q50" s="56" t="s">
        <v>247</v>
      </c>
      <c r="R50" s="57">
        <f>F115</f>
        <v>57.7</v>
      </c>
      <c r="S50" s="55">
        <f>$R50*$E$4</f>
        <v>0.35197000000000006</v>
      </c>
      <c r="T50" s="55">
        <f>$R50*$E$5</f>
        <v>0.41544000000000003</v>
      </c>
      <c r="U50" s="55">
        <f>SUM(L107:L115)</f>
        <v>0.56999999999999995</v>
      </c>
      <c r="V50" s="55">
        <f>SUM(M107:M115)</f>
        <v>0.59849999999999992</v>
      </c>
      <c r="W50" s="57">
        <f t="shared" si="7"/>
        <v>307.3</v>
      </c>
      <c r="X50" s="55">
        <f t="shared" si="5"/>
        <v>60.368530000000007</v>
      </c>
      <c r="Y50" s="55">
        <f t="shared" si="5"/>
        <v>63.63125999999999</v>
      </c>
      <c r="Z50" s="49">
        <f t="shared" si="6"/>
        <v>0.92500000000000004</v>
      </c>
      <c r="AA50" s="49">
        <f t="shared" si="8"/>
        <v>0.84217475999999991</v>
      </c>
    </row>
    <row r="51" spans="2:27" x14ac:dyDescent="0.3">
      <c r="B51">
        <v>13</v>
      </c>
      <c r="C51" t="s">
        <v>248</v>
      </c>
      <c r="D51">
        <v>2</v>
      </c>
      <c r="E51" s="54">
        <v>0</v>
      </c>
      <c r="F51" s="54">
        <f t="shared" si="1"/>
        <v>131.6</v>
      </c>
      <c r="G51" s="55">
        <f t="shared" si="2"/>
        <v>0</v>
      </c>
      <c r="H51" s="55">
        <f t="shared" si="0"/>
        <v>0</v>
      </c>
      <c r="I51" s="55">
        <f t="shared" si="3"/>
        <v>0.80276000000000003</v>
      </c>
      <c r="J51" s="55">
        <f t="shared" si="3"/>
        <v>0.94752000000000003</v>
      </c>
      <c r="K51" s="54">
        <v>5</v>
      </c>
      <c r="L51" s="84">
        <f>VLOOKUP($K51,Components!$A$3:$I$23,8,FALSE)</f>
        <v>4.1500000000000004</v>
      </c>
      <c r="M51" s="73">
        <f>VLOOKUP($K51,Components!$A$3:$I$23,9,FALSE)</f>
        <v>4.3574999999999999</v>
      </c>
      <c r="N51" s="55">
        <f t="shared" si="4"/>
        <v>34.199759999999998</v>
      </c>
      <c r="O51" s="55">
        <f t="shared" si="4"/>
        <v>36.01437</v>
      </c>
      <c r="P51" s="54"/>
      <c r="Q51" s="54"/>
      <c r="R51" s="54"/>
      <c r="S51" s="54"/>
      <c r="T51" s="54"/>
      <c r="U51" s="54"/>
      <c r="V51" s="54"/>
      <c r="W51" s="57">
        <f t="shared" si="7"/>
        <v>307.3</v>
      </c>
      <c r="X51" s="55">
        <f t="shared" si="5"/>
        <v>64.518530000000013</v>
      </c>
      <c r="Y51" s="55">
        <f t="shared" si="5"/>
        <v>67.988759999999985</v>
      </c>
      <c r="Z51" s="49">
        <f t="shared" si="6"/>
        <v>1</v>
      </c>
      <c r="AA51" s="49">
        <f t="shared" si="8"/>
        <v>0.84217475999999991</v>
      </c>
    </row>
    <row r="52" spans="2:27" x14ac:dyDescent="0.3">
      <c r="B52">
        <v>14</v>
      </c>
      <c r="C52" t="s">
        <v>245</v>
      </c>
      <c r="D52">
        <v>1</v>
      </c>
      <c r="E52" s="54">
        <v>0</v>
      </c>
      <c r="F52" s="54">
        <f t="shared" si="1"/>
        <v>131.6</v>
      </c>
      <c r="G52" s="55">
        <f t="shared" si="2"/>
        <v>0</v>
      </c>
      <c r="H52" s="55">
        <f t="shared" si="0"/>
        <v>0</v>
      </c>
      <c r="I52" s="55">
        <f t="shared" si="3"/>
        <v>0.80276000000000003</v>
      </c>
      <c r="J52" s="55">
        <f t="shared" si="3"/>
        <v>0.94752000000000003</v>
      </c>
      <c r="K52" s="54"/>
      <c r="L52" s="84"/>
      <c r="M52" s="73"/>
      <c r="N52" s="55">
        <f t="shared" si="4"/>
        <v>34.199759999999998</v>
      </c>
      <c r="O52" s="55">
        <f t="shared" si="4"/>
        <v>36.01437</v>
      </c>
      <c r="P52" s="54"/>
      <c r="Q52" s="54"/>
      <c r="R52" s="54"/>
      <c r="S52" s="54"/>
      <c r="T52" s="54"/>
      <c r="U52" s="54"/>
      <c r="V52" s="54"/>
      <c r="W52" s="57">
        <f t="shared" si="7"/>
        <v>307.3</v>
      </c>
      <c r="X52" s="55">
        <f t="shared" si="5"/>
        <v>64.518530000000013</v>
      </c>
      <c r="Y52" s="55">
        <f t="shared" si="5"/>
        <v>67.988759999999985</v>
      </c>
      <c r="Z52" s="49">
        <f t="shared" si="6"/>
        <v>1</v>
      </c>
      <c r="AA52" s="49">
        <f t="shared" si="8"/>
        <v>0.84217475999999991</v>
      </c>
    </row>
    <row r="53" spans="2:27" x14ac:dyDescent="0.3">
      <c r="B53">
        <v>15</v>
      </c>
      <c r="C53" t="s">
        <v>249</v>
      </c>
      <c r="D53">
        <v>1.2</v>
      </c>
      <c r="E53" s="54">
        <v>0</v>
      </c>
      <c r="F53" s="54">
        <f t="shared" si="1"/>
        <v>131.6</v>
      </c>
      <c r="G53" s="55">
        <f t="shared" si="2"/>
        <v>0</v>
      </c>
      <c r="H53" s="55">
        <f t="shared" si="0"/>
        <v>0</v>
      </c>
      <c r="I53" s="55">
        <f t="shared" si="3"/>
        <v>0.80276000000000003</v>
      </c>
      <c r="J53" s="55">
        <f t="shared" si="3"/>
        <v>0.94752000000000003</v>
      </c>
      <c r="K53" s="54"/>
      <c r="L53" s="84"/>
      <c r="M53" s="73"/>
      <c r="N53" s="55">
        <f t="shared" si="4"/>
        <v>34.199759999999998</v>
      </c>
      <c r="O53" s="55">
        <f t="shared" si="4"/>
        <v>36.01437</v>
      </c>
      <c r="P53" s="54">
        <v>0</v>
      </c>
      <c r="Q53" s="56" t="s">
        <v>250</v>
      </c>
      <c r="R53" s="57">
        <f>F128</f>
        <v>50.1</v>
      </c>
      <c r="S53" s="55">
        <f>$R53*$E$4</f>
        <v>0.30561000000000005</v>
      </c>
      <c r="T53" s="68">
        <f>$R53*$E$5</f>
        <v>0.36071999999999999</v>
      </c>
      <c r="U53" s="55">
        <f>SUM(L120:L128)</f>
        <v>4.1500000000000004</v>
      </c>
      <c r="V53" s="68">
        <v>4.1500000000000004</v>
      </c>
      <c r="W53" s="57">
        <f t="shared" si="7"/>
        <v>357.40000000000003</v>
      </c>
      <c r="X53" s="55">
        <f t="shared" si="5"/>
        <v>68.97414000000002</v>
      </c>
      <c r="Y53" s="55">
        <f t="shared" si="5"/>
        <v>72.499479999999991</v>
      </c>
      <c r="Z53" s="49">
        <f t="shared" si="6"/>
        <v>1</v>
      </c>
      <c r="AA53" s="49">
        <f t="shared" si="8"/>
        <v>0.84217475999999991</v>
      </c>
    </row>
    <row r="54" spans="2:27" x14ac:dyDescent="0.3">
      <c r="B54">
        <v>16</v>
      </c>
      <c r="C54" t="s">
        <v>251</v>
      </c>
      <c r="D54">
        <v>2</v>
      </c>
      <c r="E54" s="54">
        <v>0</v>
      </c>
      <c r="F54" s="54">
        <f t="shared" si="1"/>
        <v>131.6</v>
      </c>
      <c r="G54" s="55">
        <f t="shared" si="2"/>
        <v>0</v>
      </c>
      <c r="H54" s="55">
        <f t="shared" si="0"/>
        <v>0</v>
      </c>
      <c r="I54" s="55">
        <f t="shared" si="3"/>
        <v>0.80276000000000003</v>
      </c>
      <c r="J54" s="55">
        <f t="shared" si="3"/>
        <v>0.94752000000000003</v>
      </c>
      <c r="K54" s="54">
        <v>8</v>
      </c>
      <c r="L54" s="84">
        <f>VLOOKUP($K54,Components!$A$3:$I$23,8,FALSE)</f>
        <v>0.31</v>
      </c>
      <c r="M54" s="73">
        <f>VLOOKUP($K54,Components!$A$3:$I$23,9,FALSE)</f>
        <v>0.32550000000000001</v>
      </c>
      <c r="N54" s="55">
        <f t="shared" si="4"/>
        <v>34.50976</v>
      </c>
      <c r="O54" s="55">
        <f t="shared" si="4"/>
        <v>36.339869999999998</v>
      </c>
      <c r="P54" s="54"/>
      <c r="Q54" s="54"/>
      <c r="R54" s="54"/>
      <c r="S54" s="54"/>
      <c r="T54" s="54"/>
      <c r="U54" s="54"/>
      <c r="V54" s="54"/>
      <c r="W54" s="57">
        <f t="shared" si="7"/>
        <v>357.40000000000003</v>
      </c>
      <c r="X54" s="55">
        <f t="shared" si="5"/>
        <v>69.284140000000022</v>
      </c>
      <c r="Y54" s="55">
        <f t="shared" si="5"/>
        <v>72.824979999999996</v>
      </c>
      <c r="Z54" s="49">
        <f t="shared" si="6"/>
        <v>1</v>
      </c>
      <c r="AA54" s="49">
        <f t="shared" si="8"/>
        <v>0.84217475999999991</v>
      </c>
    </row>
    <row r="55" spans="2:27" x14ac:dyDescent="0.3">
      <c r="B55">
        <v>17</v>
      </c>
      <c r="C55" t="s">
        <v>245</v>
      </c>
      <c r="D55">
        <v>2</v>
      </c>
      <c r="E55" s="54">
        <v>0</v>
      </c>
      <c r="F55" s="54">
        <f t="shared" si="1"/>
        <v>131.6</v>
      </c>
      <c r="G55" s="55">
        <f t="shared" si="2"/>
        <v>0</v>
      </c>
      <c r="H55" s="55">
        <f t="shared" si="0"/>
        <v>0</v>
      </c>
      <c r="I55" s="55">
        <f t="shared" si="3"/>
        <v>0.80276000000000003</v>
      </c>
      <c r="J55" s="55">
        <f t="shared" si="3"/>
        <v>0.94752000000000003</v>
      </c>
      <c r="K55" s="54"/>
      <c r="L55" s="84"/>
      <c r="M55" s="73"/>
      <c r="N55" s="55">
        <f t="shared" si="4"/>
        <v>34.50976</v>
      </c>
      <c r="O55" s="55">
        <f t="shared" si="4"/>
        <v>36.339869999999998</v>
      </c>
      <c r="P55" s="54"/>
      <c r="Q55" s="54"/>
      <c r="R55" s="54"/>
      <c r="S55" s="54"/>
      <c r="T55" s="54"/>
      <c r="U55" s="54"/>
      <c r="V55" s="54"/>
      <c r="W55" s="57">
        <f t="shared" si="7"/>
        <v>357.40000000000003</v>
      </c>
      <c r="X55" s="55">
        <f t="shared" si="5"/>
        <v>69.284140000000022</v>
      </c>
      <c r="Y55" s="55">
        <f t="shared" si="5"/>
        <v>72.824979999999996</v>
      </c>
      <c r="Z55" s="49">
        <f t="shared" si="6"/>
        <v>1</v>
      </c>
      <c r="AA55" s="49">
        <f t="shared" si="8"/>
        <v>0.84217475999999991</v>
      </c>
    </row>
    <row r="56" spans="2:27" x14ac:dyDescent="0.3">
      <c r="B56">
        <v>18</v>
      </c>
      <c r="C56" t="s">
        <v>252</v>
      </c>
      <c r="D56">
        <v>0</v>
      </c>
      <c r="E56" s="54">
        <v>1.2</v>
      </c>
      <c r="F56" s="54">
        <f t="shared" si="1"/>
        <v>132.79999999999998</v>
      </c>
      <c r="G56" s="55">
        <f t="shared" si="2"/>
        <v>7.3200000000000001E-3</v>
      </c>
      <c r="H56" s="55">
        <f t="shared" si="0"/>
        <v>8.6400000000000001E-3</v>
      </c>
      <c r="I56" s="55">
        <f t="shared" ref="I56:J69" si="9">I55+G56</f>
        <v>0.81008000000000002</v>
      </c>
      <c r="J56" s="55">
        <f t="shared" si="9"/>
        <v>0.95616000000000001</v>
      </c>
      <c r="K56" s="54"/>
      <c r="L56" s="84"/>
      <c r="M56" s="73"/>
      <c r="N56" s="55">
        <f t="shared" ref="N56:O69" si="10">N55+L56+G56</f>
        <v>34.51708</v>
      </c>
      <c r="O56" s="55">
        <f t="shared" si="10"/>
        <v>36.348509999999997</v>
      </c>
      <c r="P56" s="54"/>
      <c r="Q56" s="54"/>
      <c r="R56" s="54"/>
      <c r="S56" s="55"/>
      <c r="T56" s="55"/>
      <c r="U56" s="55"/>
      <c r="V56" s="55"/>
      <c r="W56" s="57">
        <f t="shared" si="7"/>
        <v>358.6</v>
      </c>
      <c r="X56" s="55">
        <f t="shared" ref="X56:Y69" si="11">SUM(X55,G56,L56,S56,U56)</f>
        <v>69.291460000000029</v>
      </c>
      <c r="Y56" s="55">
        <f t="shared" si="11"/>
        <v>72.833619999999996</v>
      </c>
      <c r="Z56" s="49">
        <f t="shared" si="6"/>
        <v>1</v>
      </c>
      <c r="AA56" s="49">
        <f t="shared" si="8"/>
        <v>0.84217475999999991</v>
      </c>
    </row>
    <row r="57" spans="2:27" x14ac:dyDescent="0.3">
      <c r="B57">
        <v>19</v>
      </c>
      <c r="C57" t="s">
        <v>253</v>
      </c>
      <c r="D57">
        <v>4</v>
      </c>
      <c r="E57" s="54">
        <v>1.2</v>
      </c>
      <c r="F57" s="54">
        <f t="shared" si="1"/>
        <v>133.99999999999997</v>
      </c>
      <c r="G57" s="55">
        <f t="shared" si="2"/>
        <v>7.3200000000000001E-3</v>
      </c>
      <c r="H57" s="55">
        <f t="shared" si="0"/>
        <v>8.6400000000000001E-3</v>
      </c>
      <c r="I57" s="55">
        <f t="shared" si="9"/>
        <v>0.81740000000000002</v>
      </c>
      <c r="J57" s="55">
        <f t="shared" si="9"/>
        <v>0.96479999999999999</v>
      </c>
      <c r="K57" s="54">
        <v>11</v>
      </c>
      <c r="L57" s="84">
        <f>VLOOKUP($K57,Components!$A$3:$I$23,8,FALSE)</f>
        <v>2</v>
      </c>
      <c r="M57" s="73">
        <f>VLOOKUP($K57,Components!$A$3:$I$23,9,FALSE)</f>
        <v>2.1</v>
      </c>
      <c r="N57" s="55">
        <f t="shared" si="10"/>
        <v>36.5244</v>
      </c>
      <c r="O57" s="55">
        <f t="shared" si="10"/>
        <v>38.457149999999999</v>
      </c>
      <c r="P57" s="54">
        <v>0</v>
      </c>
      <c r="Q57" s="56" t="s">
        <v>254</v>
      </c>
      <c r="R57" s="57">
        <f>F141</f>
        <v>54.5</v>
      </c>
      <c r="S57" s="73">
        <f>$R57*$E$4</f>
        <v>0.33245000000000002</v>
      </c>
      <c r="T57" s="73">
        <f>$R57*$E$5</f>
        <v>0.39239999999999997</v>
      </c>
      <c r="U57" s="73">
        <f>SUM(L133:L141)</f>
        <v>0.31</v>
      </c>
      <c r="V57" s="73">
        <f>SUM(M133:M141)</f>
        <v>0.32550000000000001</v>
      </c>
      <c r="W57" s="57">
        <f t="shared" si="7"/>
        <v>414.3</v>
      </c>
      <c r="X57" s="55">
        <f t="shared" si="11"/>
        <v>71.941230000000033</v>
      </c>
      <c r="Y57" s="55">
        <f t="shared" si="11"/>
        <v>75.660159999999991</v>
      </c>
      <c r="Z57" s="49">
        <f t="shared" si="6"/>
        <v>1</v>
      </c>
      <c r="AA57" s="49">
        <f t="shared" si="8"/>
        <v>0.84217475999999991</v>
      </c>
    </row>
    <row r="58" spans="2:27" x14ac:dyDescent="0.3">
      <c r="B58">
        <v>20</v>
      </c>
      <c r="C58" t="s">
        <v>255</v>
      </c>
      <c r="D58">
        <v>1</v>
      </c>
      <c r="E58" s="54">
        <v>1.2</v>
      </c>
      <c r="F58" s="54">
        <f t="shared" si="1"/>
        <v>135.19999999999996</v>
      </c>
      <c r="G58" s="55">
        <f t="shared" si="2"/>
        <v>7.3200000000000001E-3</v>
      </c>
      <c r="H58" s="55">
        <f t="shared" si="0"/>
        <v>8.6400000000000001E-3</v>
      </c>
      <c r="I58" s="55">
        <f t="shared" si="9"/>
        <v>0.82472000000000001</v>
      </c>
      <c r="J58" s="55">
        <f t="shared" si="9"/>
        <v>0.97343999999999997</v>
      </c>
      <c r="K58" s="54">
        <v>6</v>
      </c>
      <c r="L58" s="84">
        <f>VLOOKUP($K58,Components!$A$3:$I$23,8,FALSE)</f>
        <v>1.88</v>
      </c>
      <c r="M58" s="73">
        <f>VLOOKUP($K58,Components!$A$3:$I$23,9,FALSE)</f>
        <v>1.974</v>
      </c>
      <c r="N58" s="55">
        <f t="shared" si="10"/>
        <v>38.411720000000003</v>
      </c>
      <c r="O58" s="55">
        <f t="shared" si="10"/>
        <v>40.439789999999995</v>
      </c>
      <c r="P58" s="54"/>
      <c r="Q58" s="54"/>
      <c r="R58" s="54"/>
      <c r="S58" s="54"/>
      <c r="T58" s="54"/>
      <c r="U58" s="54"/>
      <c r="V58" s="54"/>
      <c r="W58" s="57">
        <f t="shared" si="7"/>
        <v>415.5</v>
      </c>
      <c r="X58" s="55">
        <f t="shared" si="11"/>
        <v>73.828550000000035</v>
      </c>
      <c r="Y58" s="55">
        <f t="shared" si="11"/>
        <v>77.642799999999994</v>
      </c>
      <c r="Z58" s="49">
        <f t="shared" si="6"/>
        <v>1</v>
      </c>
      <c r="AA58" s="49">
        <f t="shared" si="8"/>
        <v>0.84217475999999991</v>
      </c>
    </row>
    <row r="59" spans="2:27" x14ac:dyDescent="0.3">
      <c r="B59">
        <v>21</v>
      </c>
      <c r="C59" t="s">
        <v>256</v>
      </c>
      <c r="D59">
        <v>2</v>
      </c>
      <c r="E59" s="54">
        <v>12</v>
      </c>
      <c r="F59" s="54">
        <f t="shared" si="1"/>
        <v>147.19999999999996</v>
      </c>
      <c r="G59" s="55">
        <f t="shared" si="2"/>
        <v>7.3200000000000001E-2</v>
      </c>
      <c r="H59" s="55">
        <f t="shared" si="0"/>
        <v>8.6400000000000005E-2</v>
      </c>
      <c r="I59" s="55">
        <f t="shared" si="9"/>
        <v>0.89792000000000005</v>
      </c>
      <c r="J59" s="55">
        <f t="shared" si="9"/>
        <v>1.0598399999999999</v>
      </c>
      <c r="K59" s="54">
        <v>3</v>
      </c>
      <c r="L59" s="84">
        <f>VLOOKUP($K59,Components!$A$3:$I$23,8,FALSE)</f>
        <v>17.420000000000002</v>
      </c>
      <c r="M59" s="73">
        <f>VLOOKUP($K59,Components!$A$3:$I$23,9,FALSE)</f>
        <v>18.291</v>
      </c>
      <c r="N59" s="55">
        <f t="shared" si="10"/>
        <v>55.904920000000004</v>
      </c>
      <c r="O59" s="55">
        <f t="shared" si="10"/>
        <v>58.817189999999997</v>
      </c>
      <c r="P59" s="54"/>
      <c r="Q59" s="54"/>
      <c r="R59" s="54"/>
      <c r="S59" s="54"/>
      <c r="T59" s="54"/>
      <c r="U59" s="54"/>
      <c r="V59" s="54"/>
      <c r="W59" s="57">
        <f t="shared" si="7"/>
        <v>427.5</v>
      </c>
      <c r="X59" s="55">
        <f t="shared" si="11"/>
        <v>91.321750000000037</v>
      </c>
      <c r="Y59" s="55">
        <f t="shared" si="11"/>
        <v>96.020199999999988</v>
      </c>
      <c r="Z59" s="49">
        <f t="shared" si="6"/>
        <v>1</v>
      </c>
      <c r="AA59" s="49">
        <f t="shared" si="8"/>
        <v>0.84217475999999991</v>
      </c>
    </row>
    <row r="60" spans="2:27" x14ac:dyDescent="0.3">
      <c r="B60">
        <v>22</v>
      </c>
      <c r="C60" t="s">
        <v>257</v>
      </c>
      <c r="D60">
        <v>3</v>
      </c>
      <c r="E60" s="54">
        <v>5</v>
      </c>
      <c r="F60" s="54">
        <f t="shared" si="1"/>
        <v>152.19999999999996</v>
      </c>
      <c r="G60" s="55">
        <f t="shared" si="2"/>
        <v>3.0500000000000003E-2</v>
      </c>
      <c r="H60" s="55">
        <f t="shared" si="0"/>
        <v>3.5999999999999997E-2</v>
      </c>
      <c r="I60" s="55">
        <f t="shared" si="9"/>
        <v>0.92842000000000002</v>
      </c>
      <c r="J60" s="55">
        <f t="shared" si="9"/>
        <v>1.0958399999999999</v>
      </c>
      <c r="K60" s="54"/>
      <c r="L60" s="84"/>
      <c r="M60" s="73"/>
      <c r="N60" s="55">
        <f t="shared" si="10"/>
        <v>55.935420000000008</v>
      </c>
      <c r="O60" s="55">
        <f t="shared" si="10"/>
        <v>58.853189999999998</v>
      </c>
      <c r="P60" s="54"/>
      <c r="Q60" s="54"/>
      <c r="R60" s="54"/>
      <c r="S60" s="55"/>
      <c r="T60" s="55"/>
      <c r="U60" s="55"/>
      <c r="V60" s="55"/>
      <c r="W60" s="57">
        <f t="shared" si="7"/>
        <v>432.5</v>
      </c>
      <c r="X60" s="55">
        <f t="shared" si="11"/>
        <v>91.352250000000041</v>
      </c>
      <c r="Y60" s="55">
        <f t="shared" si="11"/>
        <v>96.05619999999999</v>
      </c>
      <c r="Z60" s="49">
        <f t="shared" si="6"/>
        <v>1</v>
      </c>
      <c r="AA60" s="49">
        <f t="shared" si="8"/>
        <v>0.84217475999999991</v>
      </c>
    </row>
    <row r="61" spans="2:27" x14ac:dyDescent="0.3">
      <c r="B61">
        <v>23</v>
      </c>
      <c r="C61" t="s">
        <v>258</v>
      </c>
      <c r="D61">
        <v>4</v>
      </c>
      <c r="E61" s="54">
        <v>8</v>
      </c>
      <c r="F61" s="54">
        <f t="shared" si="1"/>
        <v>160.19999999999996</v>
      </c>
      <c r="G61" s="55">
        <f t="shared" si="2"/>
        <v>4.8800000000000003E-2</v>
      </c>
      <c r="H61" s="55">
        <f t="shared" si="0"/>
        <v>5.7599999999999998E-2</v>
      </c>
      <c r="I61" s="55">
        <f t="shared" si="9"/>
        <v>0.97721999999999998</v>
      </c>
      <c r="J61" s="55">
        <f t="shared" si="9"/>
        <v>1.15344</v>
      </c>
      <c r="K61" s="54">
        <v>9</v>
      </c>
      <c r="L61" s="84">
        <f>VLOOKUP($K61,Components!$A$3:$I$23,8,FALSE)</f>
        <v>38.15</v>
      </c>
      <c r="M61" s="73">
        <f>VLOOKUP($K61,Components!$A$3:$I$23,9,FALSE)</f>
        <v>40.057499999999997</v>
      </c>
      <c r="N61" s="55">
        <f t="shared" si="10"/>
        <v>94.134219999999999</v>
      </c>
      <c r="O61" s="55">
        <f t="shared" si="10"/>
        <v>98.968289999999982</v>
      </c>
      <c r="P61" s="54">
        <v>3</v>
      </c>
      <c r="Q61" s="56" t="s">
        <v>259</v>
      </c>
      <c r="R61" s="54">
        <v>0</v>
      </c>
      <c r="S61" s="74">
        <v>0</v>
      </c>
      <c r="T61" s="74">
        <v>0</v>
      </c>
      <c r="U61" s="74">
        <v>0</v>
      </c>
      <c r="V61" s="74">
        <v>0</v>
      </c>
      <c r="W61" s="57">
        <f t="shared" si="7"/>
        <v>440.5</v>
      </c>
      <c r="X61" s="55">
        <f t="shared" si="11"/>
        <v>129.55105000000003</v>
      </c>
      <c r="Y61" s="55">
        <f t="shared" si="11"/>
        <v>136.17129999999997</v>
      </c>
      <c r="Z61" s="49">
        <f t="shared" si="6"/>
        <v>0.97</v>
      </c>
      <c r="AA61" s="49">
        <f t="shared" si="8"/>
        <v>0.81690951719999993</v>
      </c>
    </row>
    <row r="62" spans="2:27" x14ac:dyDescent="0.3">
      <c r="B62">
        <v>24</v>
      </c>
      <c r="C62" t="s">
        <v>260</v>
      </c>
      <c r="D62">
        <v>3</v>
      </c>
      <c r="E62" s="54">
        <v>13.3</v>
      </c>
      <c r="F62" s="54">
        <f t="shared" si="1"/>
        <v>173.49999999999997</v>
      </c>
      <c r="G62" s="55">
        <f t="shared" si="2"/>
        <v>8.1130000000000008E-2</v>
      </c>
      <c r="H62" s="55">
        <f t="shared" si="0"/>
        <v>9.5759999999999998E-2</v>
      </c>
      <c r="I62" s="55">
        <f t="shared" si="9"/>
        <v>1.0583499999999999</v>
      </c>
      <c r="J62" s="55">
        <f t="shared" si="9"/>
        <v>1.2492000000000001</v>
      </c>
      <c r="K62" s="54"/>
      <c r="L62" s="70"/>
      <c r="M62" s="55"/>
      <c r="N62" s="55">
        <f t="shared" si="10"/>
        <v>94.215350000000001</v>
      </c>
      <c r="O62" s="55">
        <f t="shared" si="10"/>
        <v>99.06404999999998</v>
      </c>
      <c r="P62" s="54"/>
      <c r="Q62" s="54"/>
      <c r="R62" s="54"/>
      <c r="S62" s="54"/>
      <c r="T62" s="54"/>
      <c r="U62" s="54"/>
      <c r="V62" s="54"/>
      <c r="W62" s="57">
        <f t="shared" si="7"/>
        <v>453.8</v>
      </c>
      <c r="X62" s="55">
        <f t="shared" si="11"/>
        <v>129.63218000000003</v>
      </c>
      <c r="Y62" s="55">
        <f t="shared" si="11"/>
        <v>136.26705999999999</v>
      </c>
      <c r="Z62" s="49">
        <f t="shared" si="6"/>
        <v>1</v>
      </c>
      <c r="AA62" s="49">
        <f t="shared" si="8"/>
        <v>0.81690951719999993</v>
      </c>
    </row>
    <row r="63" spans="2:27" x14ac:dyDescent="0.3">
      <c r="B63">
        <v>24</v>
      </c>
      <c r="C63" t="s">
        <v>261</v>
      </c>
      <c r="D63">
        <v>2</v>
      </c>
      <c r="E63" s="54">
        <v>5</v>
      </c>
      <c r="F63" s="54">
        <f t="shared" si="1"/>
        <v>178.49999999999997</v>
      </c>
      <c r="G63" s="55">
        <f t="shared" si="2"/>
        <v>3.0500000000000003E-2</v>
      </c>
      <c r="H63" s="55">
        <f t="shared" si="0"/>
        <v>3.5999999999999997E-2</v>
      </c>
      <c r="I63" s="55">
        <f t="shared" si="9"/>
        <v>1.0888499999999999</v>
      </c>
      <c r="J63" s="55">
        <f t="shared" si="9"/>
        <v>1.2852000000000001</v>
      </c>
      <c r="K63" s="54"/>
      <c r="L63" s="70"/>
      <c r="M63" s="55"/>
      <c r="N63" s="55">
        <f t="shared" si="10"/>
        <v>94.245850000000004</v>
      </c>
      <c r="O63" s="55">
        <f t="shared" si="10"/>
        <v>99.100049999999982</v>
      </c>
      <c r="P63" s="54"/>
      <c r="Q63" s="54"/>
      <c r="R63" s="54"/>
      <c r="S63" s="54"/>
      <c r="T63" s="54"/>
      <c r="U63" s="54"/>
      <c r="V63" s="54"/>
      <c r="W63" s="57">
        <f t="shared" si="7"/>
        <v>458.8</v>
      </c>
      <c r="X63" s="55">
        <f t="shared" si="11"/>
        <v>129.66268000000002</v>
      </c>
      <c r="Y63" s="55">
        <f t="shared" si="11"/>
        <v>136.30305999999999</v>
      </c>
      <c r="Z63" s="49">
        <f t="shared" si="6"/>
        <v>1</v>
      </c>
      <c r="AA63" s="49">
        <f t="shared" si="8"/>
        <v>0.81690951719999993</v>
      </c>
    </row>
    <row r="64" spans="2:27" x14ac:dyDescent="0.3">
      <c r="B64">
        <v>25</v>
      </c>
      <c r="C64" t="s">
        <v>262</v>
      </c>
      <c r="D64">
        <v>1</v>
      </c>
      <c r="E64" s="54">
        <v>10</v>
      </c>
      <c r="F64" s="54">
        <f t="shared" si="1"/>
        <v>188.49999999999997</v>
      </c>
      <c r="G64" s="55">
        <f t="shared" si="2"/>
        <v>6.1000000000000006E-2</v>
      </c>
      <c r="H64" s="55">
        <f t="shared" si="0"/>
        <v>7.1999999999999995E-2</v>
      </c>
      <c r="I64" s="55">
        <f t="shared" si="9"/>
        <v>1.1498499999999998</v>
      </c>
      <c r="J64" s="55">
        <f t="shared" si="9"/>
        <v>1.3572000000000002</v>
      </c>
      <c r="K64" s="54"/>
      <c r="L64" s="70"/>
      <c r="M64" s="55"/>
      <c r="N64" s="55">
        <f t="shared" si="10"/>
        <v>94.306850000000011</v>
      </c>
      <c r="O64" s="55">
        <f t="shared" si="10"/>
        <v>99.172049999999984</v>
      </c>
      <c r="P64" s="54">
        <v>9.5</v>
      </c>
      <c r="Q64" s="56" t="s">
        <v>263</v>
      </c>
      <c r="R64" s="54">
        <v>0</v>
      </c>
      <c r="S64" s="55">
        <v>0</v>
      </c>
      <c r="T64" s="55">
        <v>0</v>
      </c>
      <c r="U64" s="55">
        <v>0</v>
      </c>
      <c r="V64" s="55">
        <v>0</v>
      </c>
      <c r="W64" s="57">
        <f t="shared" si="7"/>
        <v>468.8</v>
      </c>
      <c r="X64" s="55">
        <f t="shared" si="11"/>
        <v>129.72368000000003</v>
      </c>
      <c r="Y64" s="55">
        <f t="shared" si="11"/>
        <v>136.37505999999999</v>
      </c>
      <c r="Z64" s="49">
        <f t="shared" si="6"/>
        <v>0.90500000000000003</v>
      </c>
      <c r="AA64" s="49">
        <f t="shared" si="8"/>
        <v>0.73930311306599994</v>
      </c>
    </row>
    <row r="65" spans="1:27" x14ac:dyDescent="0.3">
      <c r="B65">
        <v>25</v>
      </c>
      <c r="C65" t="s">
        <v>264</v>
      </c>
      <c r="D65">
        <v>3</v>
      </c>
      <c r="E65" s="54">
        <v>15</v>
      </c>
      <c r="F65" s="54">
        <f t="shared" si="1"/>
        <v>203.49999999999997</v>
      </c>
      <c r="G65" s="55">
        <f t="shared" si="2"/>
        <v>9.1500000000000012E-2</v>
      </c>
      <c r="H65" s="55">
        <f t="shared" si="0"/>
        <v>0.108</v>
      </c>
      <c r="I65" s="55">
        <f t="shared" si="9"/>
        <v>1.2413499999999997</v>
      </c>
      <c r="J65" s="55">
        <f t="shared" si="9"/>
        <v>1.4652000000000003</v>
      </c>
      <c r="K65" s="54"/>
      <c r="L65" s="70"/>
      <c r="M65" s="55"/>
      <c r="N65" s="55">
        <f t="shared" si="10"/>
        <v>94.398350000000008</v>
      </c>
      <c r="O65" s="55">
        <f t="shared" si="10"/>
        <v>99.280049999999989</v>
      </c>
      <c r="P65" s="54"/>
      <c r="Q65" s="54"/>
      <c r="R65" s="54"/>
      <c r="S65" s="54"/>
      <c r="T65" s="54"/>
      <c r="U65" s="54"/>
      <c r="V65" s="54"/>
      <c r="W65" s="57">
        <f t="shared" si="7"/>
        <v>483.8</v>
      </c>
      <c r="X65" s="55">
        <f t="shared" si="11"/>
        <v>129.81518000000003</v>
      </c>
      <c r="Y65" s="55">
        <f t="shared" si="11"/>
        <v>136.48305999999999</v>
      </c>
      <c r="Z65" s="49">
        <f t="shared" si="6"/>
        <v>1</v>
      </c>
      <c r="AA65" s="49">
        <f t="shared" si="8"/>
        <v>0.73930311306599994</v>
      </c>
    </row>
    <row r="66" spans="1:27" x14ac:dyDescent="0.3">
      <c r="B66">
        <v>26</v>
      </c>
      <c r="C66" t="s">
        <v>265</v>
      </c>
      <c r="D66">
        <v>2</v>
      </c>
      <c r="E66" s="54">
        <v>3</v>
      </c>
      <c r="F66" s="54">
        <f t="shared" si="1"/>
        <v>206.49999999999997</v>
      </c>
      <c r="G66" s="55">
        <f t="shared" si="2"/>
        <v>1.83E-2</v>
      </c>
      <c r="H66" s="55">
        <f t="shared" si="0"/>
        <v>2.1600000000000001E-2</v>
      </c>
      <c r="I66" s="55">
        <f t="shared" si="9"/>
        <v>1.2596499999999997</v>
      </c>
      <c r="J66" s="55">
        <f t="shared" si="9"/>
        <v>1.4868000000000003</v>
      </c>
      <c r="K66" s="54"/>
      <c r="L66" s="70"/>
      <c r="M66" s="55"/>
      <c r="N66" s="55">
        <f t="shared" si="10"/>
        <v>94.416650000000004</v>
      </c>
      <c r="O66" s="55">
        <f t="shared" si="10"/>
        <v>99.301649999999995</v>
      </c>
      <c r="P66" s="54"/>
      <c r="Q66" s="54"/>
      <c r="R66" s="54"/>
      <c r="S66" s="54"/>
      <c r="T66" s="54"/>
      <c r="U66" s="54"/>
      <c r="V66" s="54"/>
      <c r="W66" s="57">
        <f t="shared" si="7"/>
        <v>486.8</v>
      </c>
      <c r="X66" s="55">
        <f t="shared" si="11"/>
        <v>129.83348000000004</v>
      </c>
      <c r="Y66" s="55">
        <f t="shared" si="11"/>
        <v>136.50466</v>
      </c>
      <c r="Z66" s="49">
        <f t="shared" si="6"/>
        <v>1</v>
      </c>
      <c r="AA66" s="49">
        <f t="shared" si="8"/>
        <v>0.73930311306599994</v>
      </c>
    </row>
    <row r="67" spans="1:27" x14ac:dyDescent="0.3">
      <c r="B67">
        <v>27</v>
      </c>
      <c r="C67" t="s">
        <v>266</v>
      </c>
      <c r="D67">
        <v>1</v>
      </c>
      <c r="E67" s="54">
        <v>40</v>
      </c>
      <c r="F67" s="54">
        <f t="shared" si="1"/>
        <v>246.49999999999997</v>
      </c>
      <c r="G67" s="55">
        <f t="shared" si="2"/>
        <v>0.24400000000000002</v>
      </c>
      <c r="H67" s="55">
        <f t="shared" si="0"/>
        <v>0.28799999999999998</v>
      </c>
      <c r="I67" s="55">
        <f t="shared" si="9"/>
        <v>1.5036499999999997</v>
      </c>
      <c r="J67" s="55">
        <f t="shared" si="9"/>
        <v>1.7748000000000004</v>
      </c>
      <c r="K67" s="54"/>
      <c r="L67" s="70"/>
      <c r="M67" s="55"/>
      <c r="N67" s="55">
        <f t="shared" si="10"/>
        <v>94.660650000000004</v>
      </c>
      <c r="O67" s="55">
        <f t="shared" si="10"/>
        <v>99.589649999999992</v>
      </c>
      <c r="P67" s="54">
        <v>2</v>
      </c>
      <c r="Q67" s="56" t="s">
        <v>267</v>
      </c>
      <c r="R67" s="54">
        <v>0</v>
      </c>
      <c r="S67" s="55">
        <v>0</v>
      </c>
      <c r="T67" s="55">
        <v>0</v>
      </c>
      <c r="U67" s="55">
        <v>0</v>
      </c>
      <c r="V67" s="55">
        <v>0</v>
      </c>
      <c r="W67" s="57">
        <f t="shared" si="7"/>
        <v>526.79999999999995</v>
      </c>
      <c r="X67" s="55">
        <f t="shared" si="11"/>
        <v>130.07748000000004</v>
      </c>
      <c r="Y67" s="55">
        <f t="shared" si="11"/>
        <v>136.79266000000001</v>
      </c>
      <c r="Z67" s="49">
        <f t="shared" si="6"/>
        <v>0.98</v>
      </c>
      <c r="AA67" s="49">
        <f t="shared" si="8"/>
        <v>0.72451705080467987</v>
      </c>
    </row>
    <row r="68" spans="1:27" x14ac:dyDescent="0.3">
      <c r="B68">
        <v>28</v>
      </c>
      <c r="C68" t="s">
        <v>268</v>
      </c>
      <c r="D68">
        <v>4</v>
      </c>
      <c r="E68" s="54">
        <v>19</v>
      </c>
      <c r="F68" s="54">
        <f t="shared" si="1"/>
        <v>265.5</v>
      </c>
      <c r="G68" s="55">
        <f t="shared" si="2"/>
        <v>0.1159</v>
      </c>
      <c r="H68" s="55">
        <f t="shared" si="0"/>
        <v>0.1368</v>
      </c>
      <c r="I68" s="55">
        <f t="shared" si="9"/>
        <v>1.6195499999999998</v>
      </c>
      <c r="J68" s="55">
        <f t="shared" si="9"/>
        <v>1.9116000000000004</v>
      </c>
      <c r="K68" s="54"/>
      <c r="L68" s="70"/>
      <c r="M68" s="55"/>
      <c r="N68" s="55">
        <f t="shared" si="10"/>
        <v>94.77655</v>
      </c>
      <c r="O68" s="55">
        <f t="shared" si="10"/>
        <v>99.726449999999986</v>
      </c>
      <c r="P68" s="54"/>
      <c r="Q68" s="54"/>
      <c r="R68" s="54"/>
      <c r="S68" s="54"/>
      <c r="T68" s="54"/>
      <c r="U68" s="54"/>
      <c r="V68" s="54"/>
      <c r="W68" s="57">
        <f t="shared" si="7"/>
        <v>545.79999999999995</v>
      </c>
      <c r="X68" s="55">
        <f t="shared" si="11"/>
        <v>130.19338000000005</v>
      </c>
      <c r="Y68" s="55">
        <f t="shared" si="11"/>
        <v>136.92946000000001</v>
      </c>
      <c r="Z68" s="49">
        <f t="shared" si="6"/>
        <v>1</v>
      </c>
      <c r="AA68" s="49">
        <f t="shared" si="8"/>
        <v>0.72451705080467987</v>
      </c>
    </row>
    <row r="69" spans="1:27" x14ac:dyDescent="0.3">
      <c r="B69">
        <v>29</v>
      </c>
      <c r="C69" t="s">
        <v>269</v>
      </c>
      <c r="D69">
        <v>2</v>
      </c>
      <c r="E69" s="54">
        <v>2</v>
      </c>
      <c r="F69" s="54">
        <f t="shared" si="1"/>
        <v>267.5</v>
      </c>
      <c r="G69" s="55">
        <f t="shared" si="2"/>
        <v>1.2200000000000001E-2</v>
      </c>
      <c r="H69" s="55">
        <f t="shared" si="0"/>
        <v>1.44E-2</v>
      </c>
      <c r="I69" s="55">
        <f t="shared" si="9"/>
        <v>1.6317499999999998</v>
      </c>
      <c r="J69" s="55">
        <f t="shared" si="9"/>
        <v>1.9260000000000004</v>
      </c>
      <c r="K69" s="54"/>
      <c r="L69" s="70"/>
      <c r="M69" s="55"/>
      <c r="N69" s="55">
        <f t="shared" si="10"/>
        <v>94.788750000000007</v>
      </c>
      <c r="O69" s="55">
        <f t="shared" si="10"/>
        <v>99.74084999999998</v>
      </c>
      <c r="P69" s="54"/>
      <c r="Q69" s="54"/>
      <c r="R69" s="54"/>
      <c r="S69" s="54"/>
      <c r="T69" s="54"/>
      <c r="U69" s="54"/>
      <c r="V69" s="54"/>
      <c r="W69" s="57">
        <f t="shared" si="7"/>
        <v>547.79999999999995</v>
      </c>
      <c r="X69" s="55">
        <f t="shared" si="11"/>
        <v>130.20558000000005</v>
      </c>
      <c r="Y69" s="55">
        <f t="shared" si="11"/>
        <v>136.94386</v>
      </c>
      <c r="Z69" s="49">
        <f t="shared" si="6"/>
        <v>1</v>
      </c>
      <c r="AA69" s="49">
        <f t="shared" si="8"/>
        <v>0.72451705080467987</v>
      </c>
    </row>
    <row r="71" spans="1:27" x14ac:dyDescent="0.3">
      <c r="A71" t="s">
        <v>270</v>
      </c>
    </row>
    <row r="73" spans="1:27" x14ac:dyDescent="0.3">
      <c r="B73" t="s">
        <v>271</v>
      </c>
    </row>
    <row r="74" spans="1:27" x14ac:dyDescent="0.3">
      <c r="B74" s="20" t="s">
        <v>272</v>
      </c>
      <c r="C74" t="s">
        <v>273</v>
      </c>
    </row>
    <row r="75" spans="1:27" x14ac:dyDescent="0.3">
      <c r="B75" s="77" t="s">
        <v>208</v>
      </c>
      <c r="C75" s="77" t="s">
        <v>209</v>
      </c>
      <c r="D75" s="77" t="s">
        <v>274</v>
      </c>
      <c r="E75" s="77" t="s">
        <v>210</v>
      </c>
      <c r="F75" s="78" t="s">
        <v>211</v>
      </c>
      <c r="G75" s="78" t="s">
        <v>212</v>
      </c>
      <c r="H75" s="78" t="s">
        <v>213</v>
      </c>
      <c r="I75" s="78" t="s">
        <v>214</v>
      </c>
      <c r="J75" s="78" t="s">
        <v>215</v>
      </c>
      <c r="K75" s="78" t="s">
        <v>216</v>
      </c>
      <c r="L75" s="78" t="s">
        <v>217</v>
      </c>
      <c r="M75" s="78" t="s">
        <v>218</v>
      </c>
      <c r="N75" s="78" t="s">
        <v>219</v>
      </c>
      <c r="O75" s="78" t="s">
        <v>220</v>
      </c>
      <c r="P75" s="13"/>
      <c r="Q75" s="13"/>
      <c r="R75" s="13"/>
      <c r="S75" s="13"/>
      <c r="T75" s="13"/>
      <c r="U75" s="13"/>
      <c r="V75" s="13"/>
      <c r="W75" s="13"/>
      <c r="X75" s="13"/>
      <c r="Y75" s="13"/>
      <c r="Z75" s="13"/>
      <c r="AA75" s="13"/>
    </row>
    <row r="76" spans="1:27" x14ac:dyDescent="0.3">
      <c r="B76">
        <v>1</v>
      </c>
      <c r="C76" t="s">
        <v>275</v>
      </c>
      <c r="D76" s="54">
        <v>7.9</v>
      </c>
      <c r="E76" s="57">
        <f>D76/$H$11</f>
        <v>3.95</v>
      </c>
      <c r="F76" s="56">
        <f>E76</f>
        <v>3.95</v>
      </c>
      <c r="G76" s="55">
        <f>E76*$E$4</f>
        <v>2.4095000000000002E-2</v>
      </c>
      <c r="H76" s="55">
        <f>E76*$E$5</f>
        <v>2.844E-2</v>
      </c>
      <c r="I76" s="55">
        <f>G76</f>
        <v>2.4095000000000002E-2</v>
      </c>
      <c r="J76" s="55">
        <f>H76</f>
        <v>2.844E-2</v>
      </c>
      <c r="K76" s="54"/>
      <c r="L76" s="54"/>
      <c r="M76" s="54"/>
      <c r="N76" s="55">
        <f>L76+G76</f>
        <v>2.4095000000000002E-2</v>
      </c>
      <c r="O76" s="55">
        <f>M76+H76</f>
        <v>2.844E-2</v>
      </c>
      <c r="P76" s="13"/>
      <c r="Q76" s="13"/>
      <c r="R76" s="13"/>
      <c r="S76" s="13"/>
      <c r="T76" s="13"/>
      <c r="U76" s="13"/>
      <c r="V76" s="13"/>
      <c r="W76" s="13"/>
      <c r="X76" s="13"/>
      <c r="Y76" s="13"/>
      <c r="Z76" s="13"/>
      <c r="AA76" s="13"/>
    </row>
    <row r="77" spans="1:27" x14ac:dyDescent="0.3">
      <c r="B77">
        <v>2</v>
      </c>
      <c r="C77" t="s">
        <v>276</v>
      </c>
      <c r="D77" s="54"/>
      <c r="E77" s="54">
        <v>2</v>
      </c>
      <c r="F77" s="57">
        <f>F76+E77</f>
        <v>5.95</v>
      </c>
      <c r="G77" s="55">
        <f t="shared" ref="G77:G83" si="12">E77*$E$4</f>
        <v>1.2200000000000001E-2</v>
      </c>
      <c r="H77" s="55">
        <f t="shared" ref="H77:H83" si="13">E77*$E$5</f>
        <v>1.44E-2</v>
      </c>
      <c r="I77" s="55">
        <f>I76+G77</f>
        <v>3.6295000000000001E-2</v>
      </c>
      <c r="J77" s="55">
        <f>J76+H77</f>
        <v>4.2840000000000003E-2</v>
      </c>
      <c r="K77" s="54">
        <v>1</v>
      </c>
      <c r="L77" s="55">
        <f>VLOOKUP($K77,Components!$A$3:$I$23,8,FALSE)</f>
        <v>6.6059999999999999</v>
      </c>
      <c r="M77" s="55">
        <f>VLOOKUP($K77,Components!$A$3:$I$23,9,FALSE)</f>
        <v>6.9363000000000001</v>
      </c>
      <c r="N77" s="55">
        <f>N76+L77+G77</f>
        <v>6.6422949999999998</v>
      </c>
      <c r="O77" s="55">
        <f>O76+M77+H77</f>
        <v>6.9791400000000001</v>
      </c>
      <c r="P77" s="13"/>
      <c r="Q77" s="13"/>
      <c r="R77" s="13"/>
      <c r="S77" s="13"/>
      <c r="T77" s="13"/>
      <c r="U77" s="13"/>
      <c r="V77" s="13"/>
      <c r="W77" s="13"/>
      <c r="X77" s="13"/>
      <c r="Y77" s="13"/>
      <c r="Z77" s="13"/>
      <c r="AA77" s="13"/>
    </row>
    <row r="78" spans="1:27" x14ac:dyDescent="0.3">
      <c r="B78">
        <v>3</v>
      </c>
      <c r="C78" t="s">
        <v>277</v>
      </c>
      <c r="D78" s="54"/>
      <c r="E78" s="54">
        <v>8</v>
      </c>
      <c r="F78" s="57">
        <f t="shared" ref="F78:F83" si="14">F77+E78</f>
        <v>13.95</v>
      </c>
      <c r="G78" s="55">
        <f t="shared" si="12"/>
        <v>4.8800000000000003E-2</v>
      </c>
      <c r="H78" s="55">
        <f t="shared" si="13"/>
        <v>5.7599999999999998E-2</v>
      </c>
      <c r="I78" s="55">
        <f t="shared" ref="I78:J83" si="15">I77+G78</f>
        <v>8.5095000000000004E-2</v>
      </c>
      <c r="J78" s="55">
        <f t="shared" si="15"/>
        <v>0.10044</v>
      </c>
      <c r="K78" s="56"/>
      <c r="L78" s="56"/>
      <c r="M78" s="56"/>
      <c r="N78" s="55">
        <f t="shared" ref="N78:O83" si="16">N77+L78+G78</f>
        <v>6.6910949999999998</v>
      </c>
      <c r="O78" s="55">
        <f t="shared" si="16"/>
        <v>7.03674</v>
      </c>
      <c r="P78" s="13"/>
      <c r="Q78" s="13"/>
      <c r="R78" s="13"/>
      <c r="S78" s="13"/>
      <c r="T78" s="13"/>
      <c r="U78" s="13"/>
      <c r="V78" s="13"/>
      <c r="W78" s="13"/>
      <c r="X78" s="13"/>
      <c r="Y78" s="13"/>
      <c r="Z78" s="13"/>
      <c r="AA78" s="13"/>
    </row>
    <row r="79" spans="1:27" x14ac:dyDescent="0.3">
      <c r="B79">
        <v>4</v>
      </c>
      <c r="C79" t="s">
        <v>278</v>
      </c>
      <c r="D79" s="54">
        <v>9.6</v>
      </c>
      <c r="E79" s="57">
        <f>D79/$H$11</f>
        <v>4.8</v>
      </c>
      <c r="F79" s="57">
        <f t="shared" si="14"/>
        <v>18.75</v>
      </c>
      <c r="G79" s="55">
        <f t="shared" si="12"/>
        <v>2.928E-2</v>
      </c>
      <c r="H79" s="55">
        <f t="shared" si="13"/>
        <v>3.456E-2</v>
      </c>
      <c r="I79" s="55">
        <f t="shared" si="15"/>
        <v>0.114375</v>
      </c>
      <c r="J79" s="55">
        <f t="shared" si="15"/>
        <v>0.13500000000000001</v>
      </c>
      <c r="K79" s="56"/>
      <c r="L79" s="56"/>
      <c r="M79" s="56"/>
      <c r="N79" s="55">
        <f t="shared" si="16"/>
        <v>6.7203749999999998</v>
      </c>
      <c r="O79" s="55">
        <f t="shared" si="16"/>
        <v>7.0712999999999999</v>
      </c>
      <c r="P79" s="13"/>
      <c r="Q79" s="13"/>
      <c r="R79" s="13"/>
      <c r="S79" s="13"/>
      <c r="T79" s="13"/>
      <c r="U79" s="13"/>
      <c r="V79" s="13"/>
      <c r="W79" s="13"/>
      <c r="X79" s="13"/>
      <c r="Y79" s="13"/>
      <c r="Z79" s="13"/>
      <c r="AA79" s="13"/>
    </row>
    <row r="80" spans="1:27" x14ac:dyDescent="0.3">
      <c r="B80">
        <v>5</v>
      </c>
      <c r="C80" t="s">
        <v>279</v>
      </c>
      <c r="D80" s="54"/>
      <c r="E80" s="54">
        <v>3</v>
      </c>
      <c r="F80" s="57">
        <f t="shared" si="14"/>
        <v>21.75</v>
      </c>
      <c r="G80" s="55">
        <f t="shared" si="12"/>
        <v>1.83E-2</v>
      </c>
      <c r="H80" s="55">
        <f t="shared" si="13"/>
        <v>2.1600000000000001E-2</v>
      </c>
      <c r="I80" s="55">
        <f t="shared" si="15"/>
        <v>0.13267500000000002</v>
      </c>
      <c r="J80" s="55">
        <f t="shared" si="15"/>
        <v>0.15660000000000002</v>
      </c>
      <c r="K80" s="54"/>
      <c r="L80" s="54"/>
      <c r="M80" s="54"/>
      <c r="N80" s="55">
        <f t="shared" si="16"/>
        <v>6.7386749999999997</v>
      </c>
      <c r="O80" s="55">
        <f t="shared" si="16"/>
        <v>7.0929000000000002</v>
      </c>
      <c r="P80" s="13"/>
      <c r="Q80" s="13"/>
      <c r="R80" s="13"/>
      <c r="S80" s="13"/>
      <c r="T80" s="13"/>
      <c r="U80" s="13"/>
      <c r="V80" s="13"/>
      <c r="W80" s="13"/>
      <c r="X80" s="13"/>
      <c r="Y80" s="13"/>
      <c r="Z80" s="13"/>
      <c r="AA80" s="13"/>
    </row>
    <row r="81" spans="2:27" x14ac:dyDescent="0.3">
      <c r="B81">
        <v>6</v>
      </c>
      <c r="C81" t="s">
        <v>280</v>
      </c>
      <c r="D81" s="54">
        <v>7.9</v>
      </c>
      <c r="E81" s="57">
        <f>D81/$H$11</f>
        <v>3.95</v>
      </c>
      <c r="F81" s="57">
        <f t="shared" si="14"/>
        <v>25.7</v>
      </c>
      <c r="G81" s="55">
        <f t="shared" si="12"/>
        <v>2.4095000000000002E-2</v>
      </c>
      <c r="H81" s="55">
        <f t="shared" si="13"/>
        <v>2.844E-2</v>
      </c>
      <c r="I81" s="55">
        <f t="shared" si="15"/>
        <v>0.15677000000000002</v>
      </c>
      <c r="J81" s="55">
        <f t="shared" si="15"/>
        <v>0.18504000000000001</v>
      </c>
      <c r="K81" s="56"/>
      <c r="L81" s="56"/>
      <c r="M81" s="56"/>
      <c r="N81" s="55">
        <f t="shared" si="16"/>
        <v>6.7627699999999997</v>
      </c>
      <c r="O81" s="55">
        <f t="shared" si="16"/>
        <v>7.12134</v>
      </c>
      <c r="P81" s="13"/>
      <c r="Q81" s="13"/>
      <c r="R81" s="13"/>
      <c r="S81" s="13"/>
      <c r="T81" s="13"/>
      <c r="U81" s="13"/>
      <c r="V81" s="13"/>
      <c r="W81" s="13"/>
      <c r="X81" s="13"/>
      <c r="Y81" s="13"/>
      <c r="Z81" s="13"/>
      <c r="AA81" s="13"/>
    </row>
    <row r="82" spans="2:27" x14ac:dyDescent="0.3">
      <c r="B82">
        <v>2</v>
      </c>
      <c r="C82" t="s">
        <v>232</v>
      </c>
      <c r="D82" s="54"/>
      <c r="E82" s="54">
        <v>14</v>
      </c>
      <c r="F82" s="57">
        <f t="shared" si="14"/>
        <v>39.700000000000003</v>
      </c>
      <c r="G82" s="55">
        <f t="shared" si="12"/>
        <v>8.5400000000000004E-2</v>
      </c>
      <c r="H82" s="55">
        <f t="shared" si="13"/>
        <v>0.1008</v>
      </c>
      <c r="I82" s="55">
        <f t="shared" si="15"/>
        <v>0.24217000000000002</v>
      </c>
      <c r="J82" s="55">
        <f t="shared" si="15"/>
        <v>0.28583999999999998</v>
      </c>
      <c r="K82" s="54"/>
      <c r="L82" s="54"/>
      <c r="M82" s="54"/>
      <c r="N82" s="55">
        <f t="shared" si="16"/>
        <v>6.8481699999999996</v>
      </c>
      <c r="O82" s="55">
        <f t="shared" si="16"/>
        <v>7.2221399999999996</v>
      </c>
    </row>
    <row r="83" spans="2:27" x14ac:dyDescent="0.3">
      <c r="B83">
        <v>3</v>
      </c>
      <c r="C83" t="s">
        <v>281</v>
      </c>
      <c r="D83" s="54"/>
      <c r="E83" s="54">
        <v>5</v>
      </c>
      <c r="F83" s="57">
        <f t="shared" si="14"/>
        <v>44.7</v>
      </c>
      <c r="G83" s="55">
        <f t="shared" si="12"/>
        <v>3.0500000000000003E-2</v>
      </c>
      <c r="H83" s="55">
        <f t="shared" si="13"/>
        <v>3.5999999999999997E-2</v>
      </c>
      <c r="I83" s="55">
        <f t="shared" si="15"/>
        <v>0.27267000000000002</v>
      </c>
      <c r="J83" s="55">
        <f t="shared" si="15"/>
        <v>0.32183999999999996</v>
      </c>
      <c r="K83" s="54"/>
      <c r="L83" s="54"/>
      <c r="M83" s="54"/>
      <c r="N83" s="55">
        <f t="shared" si="16"/>
        <v>6.8786699999999996</v>
      </c>
      <c r="O83" s="55">
        <f t="shared" si="16"/>
        <v>7.2581399999999991</v>
      </c>
    </row>
    <row r="85" spans="2:27" x14ac:dyDescent="0.3">
      <c r="B85" s="20" t="s">
        <v>282</v>
      </c>
      <c r="C85" t="s">
        <v>283</v>
      </c>
    </row>
    <row r="86" spans="2:27" x14ac:dyDescent="0.3">
      <c r="B86" s="77" t="s">
        <v>208</v>
      </c>
      <c r="C86" s="77" t="s">
        <v>209</v>
      </c>
      <c r="D86" s="77" t="s">
        <v>274</v>
      </c>
      <c r="E86" s="77" t="s">
        <v>210</v>
      </c>
      <c r="F86" s="78" t="s">
        <v>211</v>
      </c>
      <c r="G86" s="78" t="s">
        <v>212</v>
      </c>
      <c r="H86" s="78" t="s">
        <v>213</v>
      </c>
      <c r="I86" s="78" t="s">
        <v>214</v>
      </c>
      <c r="J86" s="78" t="s">
        <v>215</v>
      </c>
      <c r="K86" s="78" t="s">
        <v>216</v>
      </c>
      <c r="L86" s="78" t="s">
        <v>217</v>
      </c>
      <c r="M86" s="78" t="s">
        <v>218</v>
      </c>
      <c r="N86" s="78" t="s">
        <v>219</v>
      </c>
      <c r="O86" s="78" t="s">
        <v>220</v>
      </c>
    </row>
    <row r="87" spans="2:27" x14ac:dyDescent="0.3">
      <c r="B87" s="61">
        <v>1</v>
      </c>
      <c r="C87" s="61" t="s">
        <v>275</v>
      </c>
      <c r="D87" s="61">
        <v>7.9</v>
      </c>
      <c r="E87" s="66">
        <f>D87/$H$11</f>
        <v>3.95</v>
      </c>
      <c r="F87" s="67">
        <f>E87</f>
        <v>3.95</v>
      </c>
      <c r="G87" s="68">
        <f t="shared" ref="G87:G94" si="17">E87*$E$4</f>
        <v>2.4095000000000002E-2</v>
      </c>
      <c r="H87" s="68">
        <f t="shared" ref="H87:H94" si="18">E87*$E$5</f>
        <v>2.844E-2</v>
      </c>
      <c r="I87" s="68">
        <f>G87</f>
        <v>2.4095000000000002E-2</v>
      </c>
      <c r="J87" s="68">
        <f>H87</f>
        <v>2.844E-2</v>
      </c>
      <c r="K87" s="61"/>
      <c r="L87" s="61"/>
      <c r="M87" s="61"/>
      <c r="N87" s="68">
        <f>L87+G87</f>
        <v>2.4095000000000002E-2</v>
      </c>
      <c r="O87" s="68">
        <f>M87+H87</f>
        <v>2.844E-2</v>
      </c>
    </row>
    <row r="88" spans="2:27" x14ac:dyDescent="0.3">
      <c r="B88" s="61">
        <v>2</v>
      </c>
      <c r="C88" s="61" t="s">
        <v>276</v>
      </c>
      <c r="D88" s="61"/>
      <c r="E88" s="61">
        <v>2</v>
      </c>
      <c r="F88" s="66">
        <f t="shared" ref="F88:F94" si="19">F87+E88</f>
        <v>5.95</v>
      </c>
      <c r="G88" s="68">
        <f t="shared" si="17"/>
        <v>1.2200000000000001E-2</v>
      </c>
      <c r="H88" s="68">
        <f t="shared" si="18"/>
        <v>1.44E-2</v>
      </c>
      <c r="I88" s="68">
        <f t="shared" ref="I88:J94" si="20">I87+G88</f>
        <v>3.6295000000000001E-2</v>
      </c>
      <c r="J88" s="68">
        <f t="shared" si="20"/>
        <v>4.2840000000000003E-2</v>
      </c>
      <c r="K88" s="61"/>
      <c r="L88" s="68"/>
      <c r="M88" s="68"/>
      <c r="N88" s="68">
        <f t="shared" ref="N88:O94" si="21">N87+L88+G88</f>
        <v>3.6295000000000001E-2</v>
      </c>
      <c r="O88" s="68">
        <f t="shared" si="21"/>
        <v>4.2840000000000003E-2</v>
      </c>
    </row>
    <row r="89" spans="2:27" x14ac:dyDescent="0.3">
      <c r="B89" s="61">
        <v>3</v>
      </c>
      <c r="C89" s="61" t="s">
        <v>277</v>
      </c>
      <c r="D89" s="61"/>
      <c r="E89" s="61">
        <v>8</v>
      </c>
      <c r="F89" s="66">
        <f t="shared" si="19"/>
        <v>13.95</v>
      </c>
      <c r="G89" s="68">
        <f t="shared" si="17"/>
        <v>4.8800000000000003E-2</v>
      </c>
      <c r="H89" s="68">
        <f t="shared" si="18"/>
        <v>5.7599999999999998E-2</v>
      </c>
      <c r="I89" s="68">
        <f t="shared" si="20"/>
        <v>8.5095000000000004E-2</v>
      </c>
      <c r="J89" s="68">
        <f t="shared" si="20"/>
        <v>0.10044</v>
      </c>
      <c r="K89" s="67">
        <v>2</v>
      </c>
      <c r="L89" s="79">
        <f>VLOOKUP($K89,Components!$A$3:$I$23,8,FALSE)</f>
        <v>8.1000000000000003E-2</v>
      </c>
      <c r="M89" s="67">
        <f>VLOOKUP($K89,Components!$A$3:$I$23,9,FALSE)</f>
        <v>8.5050000000000001E-2</v>
      </c>
      <c r="N89" s="68">
        <f t="shared" si="21"/>
        <v>0.16609500000000002</v>
      </c>
      <c r="O89" s="68">
        <f t="shared" si="21"/>
        <v>0.18548999999999999</v>
      </c>
    </row>
    <row r="90" spans="2:27" x14ac:dyDescent="0.3">
      <c r="B90" s="61">
        <v>4</v>
      </c>
      <c r="C90" s="61" t="s">
        <v>278</v>
      </c>
      <c r="D90" s="61">
        <v>9.6</v>
      </c>
      <c r="E90" s="66">
        <f>D90/$H$11</f>
        <v>4.8</v>
      </c>
      <c r="F90" s="66">
        <f t="shared" si="19"/>
        <v>18.75</v>
      </c>
      <c r="G90" s="68">
        <f t="shared" si="17"/>
        <v>2.928E-2</v>
      </c>
      <c r="H90" s="68">
        <f t="shared" si="18"/>
        <v>3.456E-2</v>
      </c>
      <c r="I90" s="68">
        <f t="shared" si="20"/>
        <v>0.114375</v>
      </c>
      <c r="J90" s="68">
        <f t="shared" si="20"/>
        <v>0.13500000000000001</v>
      </c>
      <c r="K90" s="67"/>
      <c r="L90" s="67"/>
      <c r="M90" s="67"/>
      <c r="N90" s="68">
        <f t="shared" si="21"/>
        <v>0.19537500000000002</v>
      </c>
      <c r="O90" s="68">
        <f t="shared" si="21"/>
        <v>0.22005</v>
      </c>
    </row>
    <row r="91" spans="2:27" x14ac:dyDescent="0.3">
      <c r="B91" s="61">
        <v>5</v>
      </c>
      <c r="C91" s="61" t="s">
        <v>279</v>
      </c>
      <c r="D91" s="61"/>
      <c r="E91" s="61">
        <v>3</v>
      </c>
      <c r="F91" s="66">
        <f t="shared" si="19"/>
        <v>21.75</v>
      </c>
      <c r="G91" s="68">
        <f t="shared" si="17"/>
        <v>1.83E-2</v>
      </c>
      <c r="H91" s="68">
        <f t="shared" si="18"/>
        <v>2.1600000000000001E-2</v>
      </c>
      <c r="I91" s="68">
        <f t="shared" si="20"/>
        <v>0.13267500000000002</v>
      </c>
      <c r="J91" s="68">
        <f t="shared" si="20"/>
        <v>0.15660000000000002</v>
      </c>
      <c r="K91" s="61">
        <v>12</v>
      </c>
      <c r="L91" s="79">
        <f>VLOOKUP($K91,Components!$A$3:$I$23,8,FALSE)</f>
        <v>3</v>
      </c>
      <c r="M91" s="79">
        <f>VLOOKUP($K91,Components!$A$3:$I$23,9,FALSE)</f>
        <v>3.15</v>
      </c>
      <c r="N91" s="68">
        <f t="shared" si="21"/>
        <v>3.2136749999999998</v>
      </c>
      <c r="O91" s="68">
        <f t="shared" si="21"/>
        <v>3.3916499999999998</v>
      </c>
    </row>
    <row r="92" spans="2:27" x14ac:dyDescent="0.3">
      <c r="B92" s="61">
        <v>6</v>
      </c>
      <c r="C92" s="61" t="s">
        <v>280</v>
      </c>
      <c r="D92" s="61">
        <v>7.9</v>
      </c>
      <c r="E92" s="66">
        <f>D92/$H$11</f>
        <v>3.95</v>
      </c>
      <c r="F92" s="66">
        <f t="shared" si="19"/>
        <v>25.7</v>
      </c>
      <c r="G92" s="68">
        <f t="shared" si="17"/>
        <v>2.4095000000000002E-2</v>
      </c>
      <c r="H92" s="68">
        <f t="shared" si="18"/>
        <v>2.844E-2</v>
      </c>
      <c r="I92" s="68">
        <f t="shared" si="20"/>
        <v>0.15677000000000002</v>
      </c>
      <c r="J92" s="68">
        <f t="shared" si="20"/>
        <v>0.18504000000000001</v>
      </c>
      <c r="K92" s="67"/>
      <c r="L92" s="67"/>
      <c r="M92" s="67"/>
      <c r="N92" s="68">
        <f t="shared" si="21"/>
        <v>3.2377699999999998</v>
      </c>
      <c r="O92" s="68">
        <f t="shared" si="21"/>
        <v>3.4200899999999996</v>
      </c>
    </row>
    <row r="93" spans="2:27" x14ac:dyDescent="0.3">
      <c r="B93" s="61">
        <v>3</v>
      </c>
      <c r="C93" s="61" t="s">
        <v>235</v>
      </c>
      <c r="D93" s="61"/>
      <c r="E93" s="61">
        <v>3</v>
      </c>
      <c r="F93" s="66">
        <f t="shared" si="19"/>
        <v>28.7</v>
      </c>
      <c r="G93" s="68">
        <f t="shared" si="17"/>
        <v>1.83E-2</v>
      </c>
      <c r="H93" s="68">
        <f t="shared" si="18"/>
        <v>2.1600000000000001E-2</v>
      </c>
      <c r="I93" s="68">
        <f t="shared" si="20"/>
        <v>0.17507000000000003</v>
      </c>
      <c r="J93" s="68">
        <f t="shared" si="20"/>
        <v>0.20664000000000002</v>
      </c>
      <c r="K93" s="61"/>
      <c r="L93" s="61"/>
      <c r="M93" s="61"/>
      <c r="N93" s="68">
        <f t="shared" si="21"/>
        <v>3.2560699999999998</v>
      </c>
      <c r="O93" s="68">
        <f t="shared" si="21"/>
        <v>3.4416899999999995</v>
      </c>
    </row>
    <row r="94" spans="2:27" x14ac:dyDescent="0.3">
      <c r="B94" s="61">
        <v>4</v>
      </c>
      <c r="C94" s="61" t="s">
        <v>284</v>
      </c>
      <c r="D94" s="61"/>
      <c r="E94" s="61">
        <v>7</v>
      </c>
      <c r="F94" s="66">
        <f t="shared" si="19"/>
        <v>35.700000000000003</v>
      </c>
      <c r="G94" s="68">
        <f t="shared" si="17"/>
        <v>4.2700000000000002E-2</v>
      </c>
      <c r="H94" s="68">
        <f t="shared" si="18"/>
        <v>5.04E-2</v>
      </c>
      <c r="I94" s="68">
        <f t="shared" si="20"/>
        <v>0.21777000000000002</v>
      </c>
      <c r="J94" s="68">
        <f t="shared" si="20"/>
        <v>0.25704000000000005</v>
      </c>
      <c r="K94" s="61"/>
      <c r="L94" s="61"/>
      <c r="M94" s="61"/>
      <c r="N94" s="68">
        <f t="shared" si="21"/>
        <v>3.2987699999999998</v>
      </c>
      <c r="O94" s="68">
        <f t="shared" si="21"/>
        <v>3.4920899999999993</v>
      </c>
    </row>
    <row r="97" spans="2:15" x14ac:dyDescent="0.3">
      <c r="B97" s="20" t="s">
        <v>285</v>
      </c>
    </row>
    <row r="98" spans="2:15" x14ac:dyDescent="0.3">
      <c r="B98" s="61" t="s">
        <v>286</v>
      </c>
      <c r="C98" s="61" t="s">
        <v>287</v>
      </c>
    </row>
    <row r="99" spans="2:15" x14ac:dyDescent="0.3">
      <c r="B99" s="77" t="s">
        <v>208</v>
      </c>
      <c r="C99" s="77" t="s">
        <v>209</v>
      </c>
      <c r="D99" s="77" t="s">
        <v>274</v>
      </c>
      <c r="E99" s="77" t="s">
        <v>210</v>
      </c>
      <c r="F99" s="78" t="s">
        <v>211</v>
      </c>
      <c r="G99" s="78" t="s">
        <v>212</v>
      </c>
      <c r="H99" s="78" t="s">
        <v>213</v>
      </c>
      <c r="I99" s="78" t="s">
        <v>214</v>
      </c>
      <c r="J99" s="78" t="s">
        <v>215</v>
      </c>
      <c r="K99" s="78" t="s">
        <v>216</v>
      </c>
      <c r="L99" s="78" t="s">
        <v>217</v>
      </c>
      <c r="M99" s="78" t="s">
        <v>218</v>
      </c>
      <c r="N99" s="78" t="s">
        <v>219</v>
      </c>
      <c r="O99" s="78" t="s">
        <v>220</v>
      </c>
    </row>
    <row r="100" spans="2:15" x14ac:dyDescent="0.3">
      <c r="B100" s="61">
        <v>1</v>
      </c>
      <c r="C100" s="61" t="s">
        <v>288</v>
      </c>
      <c r="D100" s="80"/>
      <c r="E100" s="80">
        <v>11</v>
      </c>
      <c r="F100" s="67">
        <f>E100</f>
        <v>11</v>
      </c>
      <c r="G100" s="81">
        <f>E100*$E$4</f>
        <v>6.7100000000000007E-2</v>
      </c>
      <c r="H100" s="81">
        <f>E100*$E$5</f>
        <v>7.9199999999999993E-2</v>
      </c>
      <c r="I100" s="81">
        <f>G100</f>
        <v>6.7100000000000007E-2</v>
      </c>
      <c r="J100" s="81">
        <f>H100</f>
        <v>7.9199999999999993E-2</v>
      </c>
      <c r="K100" s="82"/>
      <c r="L100" s="82"/>
      <c r="M100" s="82"/>
      <c r="N100" s="81">
        <f>L100+G100</f>
        <v>6.7100000000000007E-2</v>
      </c>
      <c r="O100" s="81">
        <f>M100+H100</f>
        <v>7.9199999999999993E-2</v>
      </c>
    </row>
    <row r="101" spans="2:15" x14ac:dyDescent="0.3">
      <c r="B101" s="61">
        <v>6</v>
      </c>
      <c r="C101" s="61" t="s">
        <v>239</v>
      </c>
      <c r="D101" s="80"/>
      <c r="E101" s="80">
        <v>6.6</v>
      </c>
      <c r="F101" s="61">
        <f>F100+E101</f>
        <v>17.600000000000001</v>
      </c>
      <c r="G101" s="81">
        <f>E101*$E$4</f>
        <v>4.0259999999999997E-2</v>
      </c>
      <c r="H101" s="81">
        <f>E101*$E$5</f>
        <v>4.7519999999999993E-2</v>
      </c>
      <c r="I101" s="81">
        <f>I100+G101</f>
        <v>0.10736000000000001</v>
      </c>
      <c r="J101" s="81">
        <f>J100+H101</f>
        <v>0.12672</v>
      </c>
      <c r="K101" s="82">
        <v>10</v>
      </c>
      <c r="L101" s="83">
        <f>VLOOKUP($K101,Components!$A$3:$I$23,8,FALSE)</f>
        <v>4</v>
      </c>
      <c r="M101" s="83">
        <f>VLOOKUP($K101,Components!$A$3:$I$23,9,FALSE)</f>
        <v>4.2</v>
      </c>
      <c r="N101" s="81">
        <f>N100+L101+G101</f>
        <v>4.1073599999999999</v>
      </c>
      <c r="O101" s="81">
        <f>O100+M101+H101</f>
        <v>4.3267199999999999</v>
      </c>
    </row>
    <row r="102" spans="2:15" x14ac:dyDescent="0.3">
      <c r="B102" s="61">
        <v>7</v>
      </c>
      <c r="C102" s="61" t="s">
        <v>240</v>
      </c>
      <c r="D102" s="80"/>
      <c r="E102" s="80">
        <v>20</v>
      </c>
      <c r="F102" s="61">
        <f>F101+E102</f>
        <v>37.6</v>
      </c>
      <c r="G102" s="81">
        <f>E102*$E$4</f>
        <v>0.12200000000000001</v>
      </c>
      <c r="H102" s="81">
        <f>E102*$E$5</f>
        <v>0.14399999999999999</v>
      </c>
      <c r="I102" s="81">
        <f>I101+G102</f>
        <v>0.22936000000000001</v>
      </c>
      <c r="J102" s="81">
        <f>J101+H102</f>
        <v>0.27071999999999996</v>
      </c>
      <c r="K102" s="82">
        <v>4</v>
      </c>
      <c r="L102" s="83">
        <f>VLOOKUP($K102,Components!$A$3:$I$23,8,FALSE)</f>
        <v>14.99</v>
      </c>
      <c r="M102" s="83">
        <f>VLOOKUP($K102,Components!$A$3:$I$23,9,FALSE)</f>
        <v>15.7395</v>
      </c>
      <c r="N102" s="81">
        <f>N101+L102+G102</f>
        <v>19.219360000000002</v>
      </c>
      <c r="O102" s="81">
        <f>O101+M102+H102</f>
        <v>20.21022</v>
      </c>
    </row>
    <row r="103" spans="2:15" x14ac:dyDescent="0.3">
      <c r="G103" s="13"/>
    </row>
    <row r="104" spans="2:15" x14ac:dyDescent="0.3">
      <c r="B104" s="20" t="s">
        <v>289</v>
      </c>
    </row>
    <row r="105" spans="2:15" x14ac:dyDescent="0.3">
      <c r="B105" s="61" t="s">
        <v>290</v>
      </c>
      <c r="C105" s="61" t="s">
        <v>291</v>
      </c>
    </row>
    <row r="106" spans="2:15" x14ac:dyDescent="0.3">
      <c r="B106" s="77" t="s">
        <v>208</v>
      </c>
      <c r="C106" s="77" t="s">
        <v>209</v>
      </c>
      <c r="D106" s="77" t="s">
        <v>274</v>
      </c>
      <c r="E106" s="77" t="s">
        <v>210</v>
      </c>
      <c r="F106" s="78" t="s">
        <v>211</v>
      </c>
      <c r="G106" s="78" t="s">
        <v>212</v>
      </c>
      <c r="H106" s="78" t="s">
        <v>213</v>
      </c>
      <c r="I106" s="78" t="s">
        <v>214</v>
      </c>
      <c r="J106" s="78" t="s">
        <v>215</v>
      </c>
      <c r="K106" s="78" t="s">
        <v>216</v>
      </c>
      <c r="L106" s="78" t="s">
        <v>217</v>
      </c>
      <c r="M106" s="78" t="s">
        <v>218</v>
      </c>
      <c r="N106" s="78" t="s">
        <v>219</v>
      </c>
      <c r="O106" s="78" t="s">
        <v>220</v>
      </c>
    </row>
    <row r="107" spans="2:15" x14ac:dyDescent="0.3">
      <c r="B107" s="61">
        <v>1</v>
      </c>
      <c r="C107" s="61" t="s">
        <v>275</v>
      </c>
      <c r="D107" s="61">
        <v>7.9</v>
      </c>
      <c r="E107" s="66">
        <f>D107/$H$11</f>
        <v>3.95</v>
      </c>
      <c r="F107" s="72">
        <f>E107</f>
        <v>3.95</v>
      </c>
      <c r="G107" s="68">
        <f t="shared" ref="G107:G115" si="22">E107*$E$4</f>
        <v>2.4095000000000002E-2</v>
      </c>
      <c r="H107" s="68">
        <f t="shared" ref="H107:H115" si="23">E107*$E$5</f>
        <v>2.844E-2</v>
      </c>
      <c r="I107" s="68">
        <f>G107</f>
        <v>2.4095000000000002E-2</v>
      </c>
      <c r="J107" s="68">
        <f>H107</f>
        <v>2.844E-2</v>
      </c>
      <c r="K107" s="61"/>
      <c r="L107" s="61"/>
      <c r="M107" s="61"/>
      <c r="N107" s="68">
        <f>L107+G107</f>
        <v>2.4095000000000002E-2</v>
      </c>
      <c r="O107" s="68">
        <f>M107+H107</f>
        <v>2.844E-2</v>
      </c>
    </row>
    <row r="108" spans="2:15" x14ac:dyDescent="0.3">
      <c r="B108" s="61">
        <v>2</v>
      </c>
      <c r="C108" s="61" t="s">
        <v>276</v>
      </c>
      <c r="D108" s="61"/>
      <c r="E108" s="61">
        <v>2</v>
      </c>
      <c r="F108" s="66">
        <f t="shared" ref="F108:F115" si="24">F107+E108</f>
        <v>5.95</v>
      </c>
      <c r="G108" s="68">
        <f t="shared" si="22"/>
        <v>1.2200000000000001E-2</v>
      </c>
      <c r="H108" s="68">
        <f t="shared" si="23"/>
        <v>1.44E-2</v>
      </c>
      <c r="I108" s="68">
        <f t="shared" ref="I108:J115" si="25">I107+G108</f>
        <v>3.6295000000000001E-2</v>
      </c>
      <c r="J108" s="68">
        <f t="shared" si="25"/>
        <v>4.2840000000000003E-2</v>
      </c>
      <c r="K108" s="61"/>
      <c r="L108" s="61"/>
      <c r="M108" s="61"/>
      <c r="N108" s="68">
        <f t="shared" ref="N108:O115" si="26">N107+L108+G108</f>
        <v>3.6295000000000001E-2</v>
      </c>
      <c r="O108" s="68">
        <f t="shared" si="26"/>
        <v>4.2840000000000003E-2</v>
      </c>
    </row>
    <row r="109" spans="2:15" x14ac:dyDescent="0.3">
      <c r="B109" s="61">
        <v>3</v>
      </c>
      <c r="C109" s="61" t="s">
        <v>277</v>
      </c>
      <c r="D109" s="61"/>
      <c r="E109" s="61">
        <v>8</v>
      </c>
      <c r="F109" s="66">
        <f t="shared" si="24"/>
        <v>13.95</v>
      </c>
      <c r="G109" s="68">
        <f t="shared" si="22"/>
        <v>4.8800000000000003E-2</v>
      </c>
      <c r="H109" s="68">
        <f t="shared" si="23"/>
        <v>5.7599999999999998E-2</v>
      </c>
      <c r="I109" s="68">
        <f t="shared" si="25"/>
        <v>8.5095000000000004E-2</v>
      </c>
      <c r="J109" s="68">
        <f t="shared" si="25"/>
        <v>0.10044</v>
      </c>
      <c r="K109" s="61">
        <v>7</v>
      </c>
      <c r="L109" s="83">
        <f>VLOOKUP($K109,Components!$A$3:$I$23,8,FALSE)</f>
        <v>0.56999999999999995</v>
      </c>
      <c r="M109" s="83">
        <f>VLOOKUP($K109,Components!$A$3:$I$23,9,FALSE)</f>
        <v>0.59849999999999992</v>
      </c>
      <c r="N109" s="68">
        <f t="shared" si="26"/>
        <v>0.65509499999999987</v>
      </c>
      <c r="O109" s="68">
        <f t="shared" si="26"/>
        <v>0.69893999999999989</v>
      </c>
    </row>
    <row r="110" spans="2:15" x14ac:dyDescent="0.3">
      <c r="B110" s="61">
        <v>4</v>
      </c>
      <c r="C110" s="61" t="s">
        <v>278</v>
      </c>
      <c r="D110" s="61">
        <v>9.6</v>
      </c>
      <c r="E110" s="66">
        <f>D110/$H$11</f>
        <v>4.8</v>
      </c>
      <c r="F110" s="66">
        <f t="shared" si="24"/>
        <v>18.75</v>
      </c>
      <c r="G110" s="68">
        <f t="shared" si="22"/>
        <v>2.928E-2</v>
      </c>
      <c r="H110" s="68">
        <f t="shared" si="23"/>
        <v>3.456E-2</v>
      </c>
      <c r="I110" s="68">
        <f t="shared" si="25"/>
        <v>0.114375</v>
      </c>
      <c r="J110" s="68">
        <f t="shared" si="25"/>
        <v>0.13500000000000001</v>
      </c>
      <c r="K110" s="61"/>
      <c r="L110" s="61"/>
      <c r="M110" s="61"/>
      <c r="N110" s="68">
        <f t="shared" si="26"/>
        <v>0.68437499999999984</v>
      </c>
      <c r="O110" s="68">
        <f t="shared" si="26"/>
        <v>0.73349999999999993</v>
      </c>
    </row>
    <row r="111" spans="2:15" x14ac:dyDescent="0.3">
      <c r="B111" s="61">
        <v>5</v>
      </c>
      <c r="C111" s="61" t="s">
        <v>279</v>
      </c>
      <c r="D111" s="61"/>
      <c r="E111" s="61">
        <v>3</v>
      </c>
      <c r="F111" s="66">
        <f t="shared" si="24"/>
        <v>21.75</v>
      </c>
      <c r="G111" s="68">
        <f t="shared" si="22"/>
        <v>1.83E-2</v>
      </c>
      <c r="H111" s="68">
        <f t="shared" si="23"/>
        <v>2.1600000000000001E-2</v>
      </c>
      <c r="I111" s="68">
        <f t="shared" si="25"/>
        <v>0.13267500000000002</v>
      </c>
      <c r="J111" s="68">
        <f t="shared" si="25"/>
        <v>0.15660000000000002</v>
      </c>
      <c r="K111" s="61"/>
      <c r="L111" s="61"/>
      <c r="M111" s="61"/>
      <c r="N111" s="68">
        <f t="shared" si="26"/>
        <v>0.70267499999999983</v>
      </c>
      <c r="O111" s="68">
        <f t="shared" si="26"/>
        <v>0.75509999999999988</v>
      </c>
    </row>
    <row r="112" spans="2:15" x14ac:dyDescent="0.3">
      <c r="B112" s="61">
        <v>6</v>
      </c>
      <c r="C112" s="61" t="s">
        <v>280</v>
      </c>
      <c r="D112" s="61">
        <v>7.9</v>
      </c>
      <c r="E112" s="66">
        <f>D112/$H$11</f>
        <v>3.95</v>
      </c>
      <c r="F112" s="66">
        <f t="shared" si="24"/>
        <v>25.7</v>
      </c>
      <c r="G112" s="68">
        <f t="shared" si="22"/>
        <v>2.4095000000000002E-2</v>
      </c>
      <c r="H112" s="68">
        <f t="shared" si="23"/>
        <v>2.844E-2</v>
      </c>
      <c r="I112" s="68">
        <f t="shared" si="25"/>
        <v>0.15677000000000002</v>
      </c>
      <c r="J112" s="68">
        <f t="shared" si="25"/>
        <v>0.18504000000000001</v>
      </c>
      <c r="K112" s="61"/>
      <c r="L112" s="61"/>
      <c r="M112" s="61"/>
      <c r="N112" s="68">
        <f t="shared" si="26"/>
        <v>0.72676999999999981</v>
      </c>
      <c r="O112" s="68">
        <f t="shared" si="26"/>
        <v>0.7835399999999999</v>
      </c>
    </row>
    <row r="113" spans="2:15" x14ac:dyDescent="0.3">
      <c r="B113" s="61">
        <v>7</v>
      </c>
      <c r="C113" s="61" t="s">
        <v>292</v>
      </c>
      <c r="D113" s="61"/>
      <c r="E113" s="61">
        <v>14</v>
      </c>
      <c r="F113" s="66">
        <f t="shared" si="24"/>
        <v>39.700000000000003</v>
      </c>
      <c r="G113" s="68">
        <f t="shared" si="22"/>
        <v>8.5400000000000004E-2</v>
      </c>
      <c r="H113" s="68">
        <f t="shared" si="23"/>
        <v>0.1008</v>
      </c>
      <c r="I113" s="68">
        <f t="shared" si="25"/>
        <v>0.24217000000000002</v>
      </c>
      <c r="J113" s="68">
        <f t="shared" si="25"/>
        <v>0.28583999999999998</v>
      </c>
      <c r="K113" s="61"/>
      <c r="L113" s="61"/>
      <c r="M113" s="61"/>
      <c r="N113" s="68">
        <f t="shared" si="26"/>
        <v>0.81216999999999984</v>
      </c>
      <c r="O113" s="68">
        <f t="shared" si="26"/>
        <v>0.8843399999999999</v>
      </c>
    </row>
    <row r="114" spans="2:15" x14ac:dyDescent="0.3">
      <c r="B114" s="61">
        <v>10</v>
      </c>
      <c r="C114" s="61" t="s">
        <v>244</v>
      </c>
      <c r="D114" s="61"/>
      <c r="E114" s="61">
        <v>12</v>
      </c>
      <c r="F114" s="66">
        <f t="shared" si="24"/>
        <v>51.7</v>
      </c>
      <c r="G114" s="68">
        <f t="shared" si="22"/>
        <v>7.3200000000000001E-2</v>
      </c>
      <c r="H114" s="68">
        <f t="shared" si="23"/>
        <v>8.6400000000000005E-2</v>
      </c>
      <c r="I114" s="68">
        <f t="shared" si="25"/>
        <v>0.31537000000000004</v>
      </c>
      <c r="J114" s="68">
        <f t="shared" si="25"/>
        <v>0.37224000000000002</v>
      </c>
      <c r="K114" s="61"/>
      <c r="L114" s="61"/>
      <c r="M114" s="61"/>
      <c r="N114" s="68">
        <f t="shared" si="26"/>
        <v>0.88536999999999988</v>
      </c>
      <c r="O114" s="68">
        <f t="shared" si="26"/>
        <v>0.97073999999999994</v>
      </c>
    </row>
    <row r="115" spans="2:15" x14ac:dyDescent="0.3">
      <c r="B115" s="61">
        <v>11</v>
      </c>
      <c r="C115" s="61" t="s">
        <v>245</v>
      </c>
      <c r="D115" s="61"/>
      <c r="E115" s="61">
        <v>6</v>
      </c>
      <c r="F115" s="66">
        <f t="shared" si="24"/>
        <v>57.7</v>
      </c>
      <c r="G115" s="68">
        <f t="shared" si="22"/>
        <v>3.6600000000000001E-2</v>
      </c>
      <c r="H115" s="68">
        <f t="shared" si="23"/>
        <v>4.3200000000000002E-2</v>
      </c>
      <c r="I115" s="68">
        <f t="shared" si="25"/>
        <v>0.35197000000000006</v>
      </c>
      <c r="J115" s="68">
        <f t="shared" si="25"/>
        <v>0.41544000000000003</v>
      </c>
      <c r="K115" s="61"/>
      <c r="L115" s="61"/>
      <c r="M115" s="61"/>
      <c r="N115" s="68">
        <f t="shared" si="26"/>
        <v>0.92196999999999985</v>
      </c>
      <c r="O115" s="68">
        <f t="shared" si="26"/>
        <v>1.0139399999999998</v>
      </c>
    </row>
    <row r="116" spans="2:15" x14ac:dyDescent="0.3">
      <c r="B116" s="61"/>
      <c r="C116" s="61"/>
    </row>
    <row r="117" spans="2:15" x14ac:dyDescent="0.3">
      <c r="B117" s="65" t="s">
        <v>293</v>
      </c>
      <c r="C117" s="61"/>
    </row>
    <row r="118" spans="2:15" x14ac:dyDescent="0.3">
      <c r="B118" s="61" t="s">
        <v>294</v>
      </c>
      <c r="C118" s="61" t="s">
        <v>295</v>
      </c>
    </row>
    <row r="119" spans="2:15" x14ac:dyDescent="0.3">
      <c r="B119" s="75" t="s">
        <v>208</v>
      </c>
      <c r="C119" s="75" t="s">
        <v>209</v>
      </c>
      <c r="D119" s="75" t="s">
        <v>274</v>
      </c>
      <c r="E119" s="75" t="s">
        <v>210</v>
      </c>
      <c r="F119" s="76" t="s">
        <v>211</v>
      </c>
      <c r="G119" s="76" t="s">
        <v>212</v>
      </c>
      <c r="H119" s="76" t="s">
        <v>213</v>
      </c>
      <c r="I119" s="76" t="s">
        <v>214</v>
      </c>
      <c r="J119" s="76" t="s">
        <v>215</v>
      </c>
      <c r="K119" s="76" t="s">
        <v>216</v>
      </c>
      <c r="L119" s="76" t="s">
        <v>217</v>
      </c>
      <c r="M119" s="76" t="s">
        <v>218</v>
      </c>
      <c r="N119" s="76" t="s">
        <v>219</v>
      </c>
      <c r="O119" s="76" t="s">
        <v>220</v>
      </c>
    </row>
    <row r="120" spans="2:15" x14ac:dyDescent="0.3">
      <c r="B120" s="61">
        <v>1</v>
      </c>
      <c r="C120" s="61" t="s">
        <v>275</v>
      </c>
      <c r="D120" s="61">
        <v>7.9</v>
      </c>
      <c r="E120" s="66">
        <f>D120/$H$11</f>
        <v>3.95</v>
      </c>
      <c r="F120" s="72">
        <f>E120</f>
        <v>3.95</v>
      </c>
      <c r="G120" s="68">
        <f t="shared" ref="G120:G128" si="27">E120*$E$4</f>
        <v>2.4095000000000002E-2</v>
      </c>
      <c r="H120" s="68">
        <f t="shared" ref="H120:H128" si="28">E120*$E$5</f>
        <v>2.844E-2</v>
      </c>
      <c r="I120" s="68">
        <f>G120</f>
        <v>2.4095000000000002E-2</v>
      </c>
      <c r="J120" s="68">
        <f>H120</f>
        <v>2.844E-2</v>
      </c>
      <c r="K120" s="61"/>
      <c r="L120" s="61"/>
      <c r="M120" s="61"/>
      <c r="N120" s="68">
        <f>L120+G120</f>
        <v>2.4095000000000002E-2</v>
      </c>
      <c r="O120" s="68">
        <f>M120+H120</f>
        <v>2.844E-2</v>
      </c>
    </row>
    <row r="121" spans="2:15" x14ac:dyDescent="0.3">
      <c r="B121" s="61">
        <v>2</v>
      </c>
      <c r="C121" s="61" t="s">
        <v>276</v>
      </c>
      <c r="D121" s="61"/>
      <c r="E121" s="61">
        <v>2</v>
      </c>
      <c r="F121" s="66">
        <f t="shared" ref="F121:F128" si="29">F120+E121</f>
        <v>5.95</v>
      </c>
      <c r="G121" s="68">
        <f t="shared" si="27"/>
        <v>1.2200000000000001E-2</v>
      </c>
      <c r="H121" s="68">
        <f t="shared" si="28"/>
        <v>1.44E-2</v>
      </c>
      <c r="I121" s="68">
        <f t="shared" ref="I121:J128" si="30">I120+G121</f>
        <v>3.6295000000000001E-2</v>
      </c>
      <c r="J121" s="68">
        <f t="shared" si="30"/>
        <v>4.2840000000000003E-2</v>
      </c>
      <c r="K121" s="61">
        <v>5</v>
      </c>
      <c r="L121" s="68">
        <f>VLOOKUP($K121,Components!$A$3:$I$23,8,FALSE)</f>
        <v>4.1500000000000004</v>
      </c>
      <c r="M121" s="68">
        <f>VLOOKUP($K121,Components!$A$3:$I$23,9,FALSE)</f>
        <v>4.3574999999999999</v>
      </c>
      <c r="N121" s="68">
        <f t="shared" ref="N121:O128" si="31">N120+L121+G121</f>
        <v>4.1862950000000003</v>
      </c>
      <c r="O121" s="68">
        <f t="shared" si="31"/>
        <v>4.4003399999999999</v>
      </c>
    </row>
    <row r="122" spans="2:15" x14ac:dyDescent="0.3">
      <c r="B122" s="61">
        <v>3</v>
      </c>
      <c r="C122" s="61" t="s">
        <v>277</v>
      </c>
      <c r="D122" s="61"/>
      <c r="E122" s="61">
        <v>8</v>
      </c>
      <c r="F122" s="66">
        <f t="shared" si="29"/>
        <v>13.95</v>
      </c>
      <c r="G122" s="68">
        <f t="shared" si="27"/>
        <v>4.8800000000000003E-2</v>
      </c>
      <c r="H122" s="68">
        <f t="shared" si="28"/>
        <v>5.7599999999999998E-2</v>
      </c>
      <c r="I122" s="68">
        <f t="shared" si="30"/>
        <v>8.5095000000000004E-2</v>
      </c>
      <c r="J122" s="68">
        <f t="shared" si="30"/>
        <v>0.10044</v>
      </c>
      <c r="K122" s="61"/>
      <c r="L122" s="61"/>
      <c r="M122" s="61"/>
      <c r="N122" s="68">
        <f t="shared" si="31"/>
        <v>4.2350950000000003</v>
      </c>
      <c r="O122" s="68">
        <f t="shared" si="31"/>
        <v>4.4579399999999998</v>
      </c>
    </row>
    <row r="123" spans="2:15" x14ac:dyDescent="0.3">
      <c r="B123" s="61">
        <v>4</v>
      </c>
      <c r="C123" s="61" t="s">
        <v>278</v>
      </c>
      <c r="D123" s="61">
        <v>9.6</v>
      </c>
      <c r="E123" s="66">
        <f>D123/$H$11</f>
        <v>4.8</v>
      </c>
      <c r="F123" s="66">
        <f t="shared" si="29"/>
        <v>18.75</v>
      </c>
      <c r="G123" s="68">
        <f t="shared" si="27"/>
        <v>2.928E-2</v>
      </c>
      <c r="H123" s="68">
        <f t="shared" si="28"/>
        <v>3.456E-2</v>
      </c>
      <c r="I123" s="68">
        <f t="shared" si="30"/>
        <v>0.114375</v>
      </c>
      <c r="J123" s="68">
        <f t="shared" si="30"/>
        <v>0.13500000000000001</v>
      </c>
      <c r="K123" s="61"/>
      <c r="L123" s="61"/>
      <c r="M123" s="61"/>
      <c r="N123" s="68">
        <f t="shared" si="31"/>
        <v>4.2643750000000002</v>
      </c>
      <c r="O123" s="68">
        <f t="shared" si="31"/>
        <v>4.4924999999999997</v>
      </c>
    </row>
    <row r="124" spans="2:15" x14ac:dyDescent="0.3">
      <c r="B124" s="61">
        <v>5</v>
      </c>
      <c r="C124" s="61" t="s">
        <v>279</v>
      </c>
      <c r="D124" s="61"/>
      <c r="E124" s="61">
        <v>3</v>
      </c>
      <c r="F124" s="66">
        <f t="shared" si="29"/>
        <v>21.75</v>
      </c>
      <c r="G124" s="68">
        <f t="shared" si="27"/>
        <v>1.83E-2</v>
      </c>
      <c r="H124" s="68">
        <f t="shared" si="28"/>
        <v>2.1600000000000001E-2</v>
      </c>
      <c r="I124" s="68">
        <f t="shared" si="30"/>
        <v>0.13267500000000002</v>
      </c>
      <c r="J124" s="68">
        <f t="shared" si="30"/>
        <v>0.15660000000000002</v>
      </c>
      <c r="K124" s="61"/>
      <c r="L124" s="61"/>
      <c r="M124" s="61"/>
      <c r="N124" s="68">
        <f t="shared" si="31"/>
        <v>4.2826750000000002</v>
      </c>
      <c r="O124" s="68">
        <f t="shared" si="31"/>
        <v>4.5141</v>
      </c>
    </row>
    <row r="125" spans="2:15" x14ac:dyDescent="0.3">
      <c r="B125" s="61">
        <v>6</v>
      </c>
      <c r="C125" s="61" t="s">
        <v>280</v>
      </c>
      <c r="D125" s="61">
        <v>7.9</v>
      </c>
      <c r="E125" s="66">
        <f>D125/$H$11</f>
        <v>3.95</v>
      </c>
      <c r="F125" s="66">
        <f t="shared" si="29"/>
        <v>25.7</v>
      </c>
      <c r="G125" s="68">
        <f t="shared" si="27"/>
        <v>2.4095000000000002E-2</v>
      </c>
      <c r="H125" s="68">
        <f t="shared" si="28"/>
        <v>2.844E-2</v>
      </c>
      <c r="I125" s="68">
        <f t="shared" si="30"/>
        <v>0.15677000000000002</v>
      </c>
      <c r="J125" s="68">
        <f t="shared" si="30"/>
        <v>0.18504000000000001</v>
      </c>
      <c r="K125" s="61"/>
      <c r="L125" s="61"/>
      <c r="M125" s="61"/>
      <c r="N125" s="68">
        <f t="shared" si="31"/>
        <v>4.3067700000000002</v>
      </c>
      <c r="O125" s="68">
        <f t="shared" si="31"/>
        <v>4.5425399999999998</v>
      </c>
    </row>
    <row r="126" spans="2:15" x14ac:dyDescent="0.3">
      <c r="B126" s="61">
        <v>7</v>
      </c>
      <c r="C126" s="61" t="s">
        <v>292</v>
      </c>
      <c r="D126" s="61"/>
      <c r="E126" s="61">
        <v>14</v>
      </c>
      <c r="F126" s="66">
        <f t="shared" si="29"/>
        <v>39.700000000000003</v>
      </c>
      <c r="G126" s="68">
        <f t="shared" si="27"/>
        <v>8.5400000000000004E-2</v>
      </c>
      <c r="H126" s="68">
        <f t="shared" si="28"/>
        <v>0.1008</v>
      </c>
      <c r="I126" s="68">
        <f t="shared" si="30"/>
        <v>0.24217000000000002</v>
      </c>
      <c r="J126" s="68">
        <f t="shared" si="30"/>
        <v>0.28583999999999998</v>
      </c>
      <c r="K126" s="61"/>
      <c r="L126" s="61"/>
      <c r="M126" s="61"/>
      <c r="N126" s="68">
        <f t="shared" si="31"/>
        <v>4.3921700000000001</v>
      </c>
      <c r="O126" s="68">
        <f t="shared" si="31"/>
        <v>4.6433400000000002</v>
      </c>
    </row>
    <row r="127" spans="2:15" x14ac:dyDescent="0.3">
      <c r="B127" s="61">
        <v>13</v>
      </c>
      <c r="C127" s="61" t="s">
        <v>248</v>
      </c>
      <c r="D127" s="61"/>
      <c r="E127" s="61">
        <v>4.4000000000000004</v>
      </c>
      <c r="F127" s="66">
        <f t="shared" si="29"/>
        <v>44.1</v>
      </c>
      <c r="G127" s="68">
        <f t="shared" si="27"/>
        <v>2.6840000000000003E-2</v>
      </c>
      <c r="H127" s="68">
        <f t="shared" si="28"/>
        <v>3.168E-2</v>
      </c>
      <c r="I127" s="68">
        <f t="shared" si="30"/>
        <v>0.26901000000000003</v>
      </c>
      <c r="J127" s="68">
        <f t="shared" si="30"/>
        <v>0.31751999999999997</v>
      </c>
      <c r="K127" s="61"/>
      <c r="L127" s="61"/>
      <c r="M127" s="61"/>
      <c r="N127" s="68">
        <f t="shared" si="31"/>
        <v>4.4190100000000001</v>
      </c>
      <c r="O127" s="68">
        <f t="shared" si="31"/>
        <v>4.67502</v>
      </c>
    </row>
    <row r="128" spans="2:15" x14ac:dyDescent="0.3">
      <c r="B128" s="61">
        <v>14</v>
      </c>
      <c r="C128" s="61" t="s">
        <v>245</v>
      </c>
      <c r="D128" s="61"/>
      <c r="E128" s="61">
        <v>6</v>
      </c>
      <c r="F128" s="66">
        <f t="shared" si="29"/>
        <v>50.1</v>
      </c>
      <c r="G128" s="68">
        <f t="shared" si="27"/>
        <v>3.6600000000000001E-2</v>
      </c>
      <c r="H128" s="68">
        <f t="shared" si="28"/>
        <v>4.3200000000000002E-2</v>
      </c>
      <c r="I128" s="68">
        <f t="shared" si="30"/>
        <v>0.30561000000000005</v>
      </c>
      <c r="J128" s="68">
        <f t="shared" si="30"/>
        <v>0.36071999999999999</v>
      </c>
      <c r="K128" s="61"/>
      <c r="L128" s="61"/>
      <c r="M128" s="61"/>
      <c r="N128" s="68">
        <f t="shared" si="31"/>
        <v>4.4556100000000001</v>
      </c>
      <c r="O128" s="68">
        <f t="shared" si="31"/>
        <v>4.7182199999999996</v>
      </c>
    </row>
    <row r="130" spans="2:15" x14ac:dyDescent="0.3">
      <c r="B130" s="65" t="s">
        <v>296</v>
      </c>
      <c r="C130" s="61"/>
    </row>
    <row r="131" spans="2:15" x14ac:dyDescent="0.3">
      <c r="B131" s="61" t="s">
        <v>297</v>
      </c>
      <c r="C131" s="61" t="s">
        <v>298</v>
      </c>
    </row>
    <row r="132" spans="2:15" x14ac:dyDescent="0.3">
      <c r="B132" s="75" t="s">
        <v>208</v>
      </c>
      <c r="C132" s="75" t="s">
        <v>209</v>
      </c>
      <c r="D132" s="75" t="s">
        <v>274</v>
      </c>
      <c r="E132" s="75" t="s">
        <v>210</v>
      </c>
      <c r="F132" s="76" t="s">
        <v>211</v>
      </c>
      <c r="G132" s="76" t="s">
        <v>212</v>
      </c>
      <c r="H132" s="76" t="s">
        <v>213</v>
      </c>
      <c r="I132" s="76" t="s">
        <v>214</v>
      </c>
      <c r="J132" s="76" t="s">
        <v>215</v>
      </c>
      <c r="K132" s="76" t="s">
        <v>216</v>
      </c>
      <c r="L132" s="76" t="s">
        <v>217</v>
      </c>
      <c r="M132" s="76" t="s">
        <v>218</v>
      </c>
      <c r="N132" s="76" t="s">
        <v>219</v>
      </c>
      <c r="O132" s="76" t="s">
        <v>220</v>
      </c>
    </row>
    <row r="133" spans="2:15" x14ac:dyDescent="0.3">
      <c r="B133" s="61">
        <v>1</v>
      </c>
      <c r="C133" s="61" t="s">
        <v>275</v>
      </c>
      <c r="D133" s="61">
        <v>7.9</v>
      </c>
      <c r="E133" s="66">
        <f>D133/$H$11</f>
        <v>3.95</v>
      </c>
      <c r="F133" s="72">
        <f>E133</f>
        <v>3.95</v>
      </c>
      <c r="G133" s="68">
        <f t="shared" ref="G133:G141" si="32">E133*$E$4</f>
        <v>2.4095000000000002E-2</v>
      </c>
      <c r="H133" s="68">
        <f t="shared" ref="H133:H141" si="33">E133*$E$5</f>
        <v>2.844E-2</v>
      </c>
      <c r="I133" s="68">
        <f>G133</f>
        <v>2.4095000000000002E-2</v>
      </c>
      <c r="J133" s="68">
        <f>H133</f>
        <v>2.844E-2</v>
      </c>
      <c r="K133" s="61"/>
      <c r="L133" s="61"/>
      <c r="M133" s="61"/>
      <c r="N133" s="68">
        <f>L133+G133</f>
        <v>2.4095000000000002E-2</v>
      </c>
      <c r="O133" s="68">
        <f>M133+H133</f>
        <v>2.844E-2</v>
      </c>
    </row>
    <row r="134" spans="2:15" x14ac:dyDescent="0.3">
      <c r="B134" s="61">
        <v>2</v>
      </c>
      <c r="C134" s="61" t="s">
        <v>276</v>
      </c>
      <c r="D134" s="61"/>
      <c r="E134" s="61">
        <v>2</v>
      </c>
      <c r="F134" s="66">
        <f t="shared" ref="F134:F141" si="34">F133+E134</f>
        <v>5.95</v>
      </c>
      <c r="G134" s="68">
        <f t="shared" si="32"/>
        <v>1.2200000000000001E-2</v>
      </c>
      <c r="H134" s="68">
        <f t="shared" si="33"/>
        <v>1.44E-2</v>
      </c>
      <c r="I134" s="68">
        <f t="shared" ref="I134:J141" si="35">I133+G134</f>
        <v>3.6295000000000001E-2</v>
      </c>
      <c r="J134" s="68">
        <f t="shared" si="35"/>
        <v>4.2840000000000003E-2</v>
      </c>
      <c r="K134" s="61">
        <v>8</v>
      </c>
      <c r="L134" s="83">
        <f>VLOOKUP($K134,Components!$A$3:$I$23,8,FALSE)</f>
        <v>0.31</v>
      </c>
      <c r="M134" s="83">
        <f>VLOOKUP($K134,Components!$A$3:$I$23,9,FALSE)</f>
        <v>0.32550000000000001</v>
      </c>
      <c r="N134" s="68">
        <f t="shared" ref="N134:O141" si="36">N133+L134+G134</f>
        <v>0.34629499999999996</v>
      </c>
      <c r="O134" s="68">
        <f t="shared" si="36"/>
        <v>0.36834000000000006</v>
      </c>
    </row>
    <row r="135" spans="2:15" x14ac:dyDescent="0.3">
      <c r="B135" s="61">
        <v>3</v>
      </c>
      <c r="C135" s="61" t="s">
        <v>277</v>
      </c>
      <c r="D135" s="61"/>
      <c r="E135" s="61">
        <v>8</v>
      </c>
      <c r="F135" s="66">
        <f t="shared" si="34"/>
        <v>13.95</v>
      </c>
      <c r="G135" s="68">
        <f t="shared" si="32"/>
        <v>4.8800000000000003E-2</v>
      </c>
      <c r="H135" s="68">
        <f t="shared" si="33"/>
        <v>5.7599999999999998E-2</v>
      </c>
      <c r="I135" s="68">
        <f t="shared" si="35"/>
        <v>8.5095000000000004E-2</v>
      </c>
      <c r="J135" s="68">
        <f t="shared" si="35"/>
        <v>0.10044</v>
      </c>
      <c r="K135" s="61"/>
      <c r="L135" s="61"/>
      <c r="M135" s="61"/>
      <c r="N135" s="68">
        <f t="shared" si="36"/>
        <v>0.39509499999999997</v>
      </c>
      <c r="O135" s="68">
        <f t="shared" si="36"/>
        <v>0.42594000000000004</v>
      </c>
    </row>
    <row r="136" spans="2:15" x14ac:dyDescent="0.3">
      <c r="B136" s="61">
        <v>4</v>
      </c>
      <c r="C136" s="61" t="s">
        <v>278</v>
      </c>
      <c r="D136" s="61">
        <v>9.6</v>
      </c>
      <c r="E136" s="66">
        <f>D136/$H$11</f>
        <v>4.8</v>
      </c>
      <c r="F136" s="66">
        <f t="shared" si="34"/>
        <v>18.75</v>
      </c>
      <c r="G136" s="68">
        <f t="shared" si="32"/>
        <v>2.928E-2</v>
      </c>
      <c r="H136" s="68">
        <f t="shared" si="33"/>
        <v>3.456E-2</v>
      </c>
      <c r="I136" s="68">
        <f t="shared" si="35"/>
        <v>0.114375</v>
      </c>
      <c r="J136" s="68">
        <f t="shared" si="35"/>
        <v>0.13500000000000001</v>
      </c>
      <c r="K136" s="61"/>
      <c r="L136" s="61"/>
      <c r="M136" s="61"/>
      <c r="N136" s="68">
        <f t="shared" si="36"/>
        <v>0.42437499999999995</v>
      </c>
      <c r="O136" s="68">
        <f t="shared" si="36"/>
        <v>0.46050000000000002</v>
      </c>
    </row>
    <row r="137" spans="2:15" x14ac:dyDescent="0.3">
      <c r="B137" s="61">
        <v>5</v>
      </c>
      <c r="C137" s="61" t="s">
        <v>279</v>
      </c>
      <c r="D137" s="61"/>
      <c r="E137" s="61">
        <v>3</v>
      </c>
      <c r="F137" s="66">
        <f t="shared" si="34"/>
        <v>21.75</v>
      </c>
      <c r="G137" s="68">
        <f t="shared" si="32"/>
        <v>1.83E-2</v>
      </c>
      <c r="H137" s="68">
        <f t="shared" si="33"/>
        <v>2.1600000000000001E-2</v>
      </c>
      <c r="I137" s="68">
        <f t="shared" si="35"/>
        <v>0.13267500000000002</v>
      </c>
      <c r="J137" s="68">
        <f t="shared" si="35"/>
        <v>0.15660000000000002</v>
      </c>
      <c r="K137" s="61"/>
      <c r="L137" s="61"/>
      <c r="M137" s="61"/>
      <c r="N137" s="68">
        <f t="shared" si="36"/>
        <v>0.44267499999999993</v>
      </c>
      <c r="O137" s="68">
        <f t="shared" si="36"/>
        <v>0.48210000000000003</v>
      </c>
    </row>
    <row r="138" spans="2:15" x14ac:dyDescent="0.3">
      <c r="B138" s="61">
        <v>6</v>
      </c>
      <c r="C138" s="61" t="s">
        <v>280</v>
      </c>
      <c r="D138" s="61">
        <v>7.9</v>
      </c>
      <c r="E138" s="66">
        <f>D138/$H$11</f>
        <v>3.95</v>
      </c>
      <c r="F138" s="66">
        <f t="shared" si="34"/>
        <v>25.7</v>
      </c>
      <c r="G138" s="68">
        <f t="shared" si="32"/>
        <v>2.4095000000000002E-2</v>
      </c>
      <c r="H138" s="68">
        <f t="shared" si="33"/>
        <v>2.844E-2</v>
      </c>
      <c r="I138" s="68">
        <f t="shared" si="35"/>
        <v>0.15677000000000002</v>
      </c>
      <c r="J138" s="68">
        <f t="shared" si="35"/>
        <v>0.18504000000000001</v>
      </c>
      <c r="K138" s="61"/>
      <c r="L138" s="61"/>
      <c r="M138" s="61"/>
      <c r="N138" s="68">
        <f t="shared" si="36"/>
        <v>0.46676999999999991</v>
      </c>
      <c r="O138" s="68">
        <f t="shared" si="36"/>
        <v>0.51053999999999999</v>
      </c>
    </row>
    <row r="139" spans="2:15" x14ac:dyDescent="0.3">
      <c r="B139" s="61">
        <v>7</v>
      </c>
      <c r="C139" s="61" t="s">
        <v>292</v>
      </c>
      <c r="D139" s="61"/>
      <c r="E139" s="61">
        <v>14</v>
      </c>
      <c r="F139" s="66">
        <f t="shared" si="34"/>
        <v>39.700000000000003</v>
      </c>
      <c r="G139" s="68">
        <f t="shared" si="32"/>
        <v>8.5400000000000004E-2</v>
      </c>
      <c r="H139" s="68">
        <f t="shared" si="33"/>
        <v>0.1008</v>
      </c>
      <c r="I139" s="68">
        <f t="shared" si="35"/>
        <v>0.24217000000000002</v>
      </c>
      <c r="J139" s="68">
        <f t="shared" si="35"/>
        <v>0.28583999999999998</v>
      </c>
      <c r="K139" s="61"/>
      <c r="L139" s="61"/>
      <c r="M139" s="61"/>
      <c r="N139" s="68">
        <f t="shared" si="36"/>
        <v>0.55216999999999994</v>
      </c>
      <c r="O139" s="68">
        <f t="shared" si="36"/>
        <v>0.61133999999999999</v>
      </c>
    </row>
    <row r="140" spans="2:15" x14ac:dyDescent="0.3">
      <c r="B140" s="61">
        <v>16</v>
      </c>
      <c r="C140" s="61" t="s">
        <v>251</v>
      </c>
      <c r="D140" s="61"/>
      <c r="E140" s="61">
        <v>8.8000000000000007</v>
      </c>
      <c r="F140" s="66">
        <f t="shared" si="34"/>
        <v>48.5</v>
      </c>
      <c r="G140" s="68">
        <f t="shared" si="32"/>
        <v>5.3680000000000005E-2</v>
      </c>
      <c r="H140" s="68">
        <f t="shared" si="33"/>
        <v>6.336E-2</v>
      </c>
      <c r="I140" s="68">
        <f t="shared" si="35"/>
        <v>0.29585000000000006</v>
      </c>
      <c r="J140" s="68">
        <f t="shared" si="35"/>
        <v>0.34919999999999995</v>
      </c>
      <c r="K140" s="61"/>
      <c r="L140" s="61"/>
      <c r="M140" s="61"/>
      <c r="N140" s="68">
        <f t="shared" si="36"/>
        <v>0.60585</v>
      </c>
      <c r="O140" s="68">
        <f t="shared" si="36"/>
        <v>0.67469999999999997</v>
      </c>
    </row>
    <row r="141" spans="2:15" x14ac:dyDescent="0.3">
      <c r="B141" s="61">
        <v>17</v>
      </c>
      <c r="C141" s="61" t="s">
        <v>245</v>
      </c>
      <c r="D141" s="61"/>
      <c r="E141" s="61">
        <v>6</v>
      </c>
      <c r="F141" s="66">
        <f t="shared" si="34"/>
        <v>54.5</v>
      </c>
      <c r="G141" s="68">
        <f t="shared" si="32"/>
        <v>3.6600000000000001E-2</v>
      </c>
      <c r="H141" s="68">
        <f t="shared" si="33"/>
        <v>4.3200000000000002E-2</v>
      </c>
      <c r="I141" s="68">
        <f t="shared" si="35"/>
        <v>0.33245000000000008</v>
      </c>
      <c r="J141" s="68">
        <f t="shared" si="35"/>
        <v>0.39239999999999997</v>
      </c>
      <c r="K141" s="61"/>
      <c r="L141" s="61"/>
      <c r="M141" s="61"/>
      <c r="N141" s="68">
        <f t="shared" si="36"/>
        <v>0.64244999999999997</v>
      </c>
      <c r="O141" s="68">
        <f t="shared" si="36"/>
        <v>0.71789999999999998</v>
      </c>
    </row>
    <row r="142" spans="2:15" x14ac:dyDescent="0.3">
      <c r="B142" s="61"/>
      <c r="C142" s="61"/>
      <c r="D142" s="61"/>
      <c r="E142" s="61"/>
      <c r="F142" s="61"/>
      <c r="G142" s="61"/>
      <c r="H142" s="61"/>
      <c r="I142" s="61"/>
      <c r="J142" s="61"/>
      <c r="K142" s="61"/>
      <c r="L142" s="61"/>
      <c r="M142" s="61"/>
      <c r="N142" s="61"/>
      <c r="O142" s="61"/>
    </row>
    <row r="143" spans="2:15" x14ac:dyDescent="0.3">
      <c r="B143" s="61"/>
      <c r="C143" s="61"/>
      <c r="D143" s="61"/>
      <c r="E143" s="61"/>
      <c r="F143" s="61"/>
      <c r="G143" s="61"/>
      <c r="H143" s="61"/>
      <c r="I143" s="61"/>
      <c r="J143" s="61"/>
      <c r="K143" s="61"/>
      <c r="L143" s="61"/>
      <c r="M143" s="61"/>
      <c r="N143" s="61"/>
      <c r="O143" s="61"/>
    </row>
    <row r="144" spans="2:15" x14ac:dyDescent="0.3">
      <c r="B144" s="61"/>
      <c r="C144" s="61"/>
      <c r="D144" s="61"/>
      <c r="E144" s="61"/>
      <c r="F144" s="61"/>
      <c r="G144" s="61"/>
      <c r="H144" s="61"/>
      <c r="I144" s="61"/>
      <c r="J144" s="61"/>
      <c r="K144" s="61"/>
      <c r="L144" s="61"/>
      <c r="M144" s="61"/>
      <c r="N144" s="61"/>
      <c r="O144" s="61"/>
    </row>
    <row r="145" spans="2:15" x14ac:dyDescent="0.3">
      <c r="B145" s="61"/>
      <c r="C145" s="61"/>
      <c r="D145" s="61"/>
      <c r="E145" s="61"/>
      <c r="F145" s="67"/>
      <c r="G145" s="67"/>
      <c r="H145" s="67"/>
      <c r="I145" s="67"/>
      <c r="J145" s="67"/>
      <c r="K145" s="67"/>
      <c r="L145" s="67"/>
      <c r="M145" s="67"/>
      <c r="N145" s="67"/>
      <c r="O145" s="67"/>
    </row>
    <row r="146" spans="2:15" x14ac:dyDescent="0.3">
      <c r="B146" s="61"/>
      <c r="C146" s="61"/>
      <c r="D146" s="61"/>
      <c r="E146" s="61"/>
      <c r="F146" s="67"/>
      <c r="G146" s="68"/>
      <c r="H146" s="68"/>
      <c r="I146" s="68"/>
      <c r="J146" s="68"/>
      <c r="K146" s="61"/>
      <c r="L146" s="68"/>
      <c r="M146" s="68"/>
      <c r="N146" s="68"/>
      <c r="O146" s="68"/>
    </row>
    <row r="147" spans="2:15" x14ac:dyDescent="0.3">
      <c r="B147" s="61"/>
      <c r="C147" s="61"/>
      <c r="D147" s="61"/>
      <c r="E147" s="61"/>
      <c r="F147" s="61"/>
      <c r="G147" s="68"/>
      <c r="H147" s="68"/>
      <c r="I147" s="68"/>
      <c r="J147" s="68"/>
      <c r="K147" s="61"/>
      <c r="L147" s="68"/>
      <c r="M147" s="68"/>
      <c r="N147" s="68"/>
      <c r="O147" s="68"/>
    </row>
    <row r="148" spans="2:15" x14ac:dyDescent="0.3">
      <c r="B148" s="61"/>
      <c r="C148" s="61"/>
      <c r="D148" s="61"/>
      <c r="E148" s="61"/>
      <c r="F148" s="61"/>
      <c r="G148" s="68"/>
      <c r="H148" s="68"/>
      <c r="I148" s="68"/>
      <c r="J148" s="68"/>
      <c r="K148" s="61"/>
      <c r="L148" s="68"/>
      <c r="M148" s="68"/>
      <c r="N148" s="68"/>
      <c r="O148" s="68"/>
    </row>
    <row r="149" spans="2:15" x14ac:dyDescent="0.3">
      <c r="B149" s="61"/>
      <c r="C149" s="61"/>
      <c r="D149" s="61"/>
      <c r="E149" s="61"/>
      <c r="F149" s="61"/>
      <c r="G149" s="68"/>
      <c r="H149" s="68"/>
      <c r="I149" s="68"/>
      <c r="J149" s="68"/>
      <c r="K149" s="61"/>
      <c r="L149" s="61"/>
      <c r="M149" s="61"/>
      <c r="N149" s="68"/>
      <c r="O149" s="68"/>
    </row>
    <row r="150" spans="2:15" x14ac:dyDescent="0.3">
      <c r="B150" s="61"/>
      <c r="C150" s="61"/>
      <c r="D150" s="61"/>
      <c r="E150" s="61"/>
      <c r="F150" s="61"/>
      <c r="G150" s="68"/>
      <c r="H150" s="68"/>
      <c r="I150" s="68"/>
      <c r="J150" s="68"/>
      <c r="K150" s="61"/>
      <c r="L150" s="61"/>
      <c r="M150" s="61"/>
      <c r="N150" s="68"/>
      <c r="O150" s="68"/>
    </row>
    <row r="151" spans="2:15" x14ac:dyDescent="0.3">
      <c r="B151" s="61"/>
      <c r="C151" s="61"/>
      <c r="D151" s="61"/>
      <c r="E151" s="61"/>
      <c r="F151" s="61"/>
      <c r="G151" s="68"/>
      <c r="H151" s="68"/>
      <c r="I151" s="68"/>
      <c r="J151" s="68"/>
      <c r="K151" s="61"/>
      <c r="L151" s="61"/>
      <c r="M151" s="61"/>
      <c r="N151" s="68"/>
      <c r="O151" s="68"/>
    </row>
    <row r="152" spans="2:15" x14ac:dyDescent="0.3">
      <c r="B152" s="61"/>
      <c r="C152" s="61"/>
      <c r="D152" s="61"/>
      <c r="E152" s="61"/>
      <c r="F152" s="61"/>
      <c r="G152" s="68"/>
      <c r="H152" s="68"/>
      <c r="I152" s="68"/>
      <c r="J152" s="68"/>
      <c r="K152" s="61"/>
      <c r="L152" s="61"/>
      <c r="M152" s="61"/>
      <c r="N152" s="68"/>
      <c r="O152" s="68"/>
    </row>
    <row r="153" spans="2:15" x14ac:dyDescent="0.3">
      <c r="B153" s="61"/>
      <c r="C153" s="61"/>
      <c r="D153" s="61"/>
      <c r="E153" s="61"/>
      <c r="F153" s="61"/>
      <c r="G153" s="68"/>
      <c r="H153" s="68"/>
      <c r="I153" s="68"/>
      <c r="J153" s="68"/>
      <c r="K153" s="61"/>
      <c r="L153" s="61"/>
      <c r="M153" s="61"/>
      <c r="N153" s="68"/>
      <c r="O153" s="68"/>
    </row>
    <row r="154" spans="2:15" x14ac:dyDescent="0.3">
      <c r="B154" s="61"/>
      <c r="C154" s="61"/>
      <c r="D154" s="61"/>
      <c r="E154" s="61"/>
      <c r="F154" s="61"/>
      <c r="G154" s="68"/>
      <c r="H154" s="68"/>
      <c r="I154" s="68"/>
      <c r="J154" s="68"/>
      <c r="K154" s="61"/>
      <c r="L154" s="61"/>
      <c r="M154" s="61"/>
      <c r="N154" s="68"/>
      <c r="O154" s="68"/>
    </row>
    <row r="155" spans="2:15" x14ac:dyDescent="0.3">
      <c r="B155" s="61"/>
      <c r="C155" s="61"/>
      <c r="D155" s="61"/>
      <c r="E155" s="61"/>
      <c r="F155" s="61"/>
      <c r="G155" s="68"/>
      <c r="H155" s="68"/>
      <c r="I155" s="68"/>
      <c r="J155" s="68"/>
      <c r="K155" s="61"/>
      <c r="L155" s="61"/>
      <c r="M155" s="61"/>
      <c r="N155" s="68"/>
      <c r="O155" s="68"/>
    </row>
    <row r="156" spans="2:15" x14ac:dyDescent="0.3">
      <c r="B156" s="61"/>
      <c r="C156" s="61"/>
      <c r="D156" s="61"/>
      <c r="E156" s="61"/>
      <c r="F156" s="61"/>
      <c r="G156" s="61"/>
      <c r="H156" s="61"/>
      <c r="I156" s="61"/>
      <c r="J156" s="61"/>
      <c r="K156" s="61"/>
      <c r="L156" s="61"/>
      <c r="M156" s="61"/>
      <c r="N156" s="61"/>
      <c r="O156" s="61"/>
    </row>
    <row r="157" spans="2:15" x14ac:dyDescent="0.3">
      <c r="B157" s="61"/>
      <c r="C157" s="61"/>
      <c r="D157" s="61"/>
      <c r="E157" s="61"/>
      <c r="F157" s="61"/>
      <c r="G157" s="61"/>
      <c r="H157" s="61"/>
      <c r="I157" s="61"/>
      <c r="J157" s="61"/>
      <c r="K157" s="61"/>
      <c r="L157" s="61"/>
      <c r="M157" s="61"/>
      <c r="N157" s="61"/>
      <c r="O157" s="61"/>
    </row>
    <row r="158" spans="2:15" x14ac:dyDescent="0.3">
      <c r="B158" s="61"/>
      <c r="C158" s="61"/>
      <c r="D158" s="61"/>
      <c r="E158" s="61"/>
      <c r="F158" s="61"/>
      <c r="G158" s="61"/>
      <c r="H158" s="61"/>
      <c r="I158" s="61"/>
      <c r="J158" s="61"/>
      <c r="K158" s="61"/>
      <c r="L158" s="61"/>
      <c r="M158" s="61"/>
      <c r="N158" s="61"/>
      <c r="O158" s="61"/>
    </row>
    <row r="159" spans="2:15" x14ac:dyDescent="0.3">
      <c r="B159" s="61"/>
      <c r="C159" s="61"/>
      <c r="D159" s="61"/>
      <c r="E159" s="61"/>
      <c r="F159" s="67"/>
      <c r="G159" s="67"/>
      <c r="H159" s="67"/>
      <c r="I159" s="67"/>
      <c r="J159" s="67"/>
      <c r="K159" s="67"/>
      <c r="L159" s="67"/>
      <c r="M159" s="67"/>
      <c r="N159" s="67"/>
      <c r="O159" s="67"/>
    </row>
    <row r="160" spans="2:15" x14ac:dyDescent="0.3">
      <c r="B160" s="61"/>
      <c r="C160" s="61"/>
      <c r="D160" s="61"/>
      <c r="E160" s="61"/>
      <c r="F160" s="67"/>
      <c r="G160" s="68"/>
      <c r="H160" s="68"/>
      <c r="I160" s="68"/>
      <c r="J160" s="68"/>
      <c r="K160" s="61"/>
      <c r="L160" s="61"/>
      <c r="M160" s="61"/>
      <c r="N160" s="68"/>
      <c r="O160" s="68"/>
    </row>
    <row r="161" spans="2:15" x14ac:dyDescent="0.3">
      <c r="B161" s="61"/>
      <c r="C161" s="61"/>
      <c r="D161" s="61"/>
      <c r="E161" s="61"/>
      <c r="F161" s="61"/>
      <c r="G161" s="68"/>
      <c r="H161" s="68"/>
      <c r="I161" s="68"/>
      <c r="J161" s="68"/>
      <c r="K161" s="61"/>
      <c r="L161" s="68"/>
      <c r="M161" s="68"/>
      <c r="N161" s="68"/>
      <c r="O161" s="68"/>
    </row>
    <row r="162" spans="2:15" x14ac:dyDescent="0.3">
      <c r="B162" s="61"/>
      <c r="C162" s="61"/>
      <c r="D162" s="61"/>
      <c r="E162" s="61"/>
      <c r="F162" s="61"/>
      <c r="G162" s="68"/>
      <c r="H162" s="68"/>
      <c r="I162" s="68"/>
      <c r="J162" s="68"/>
      <c r="K162" s="61"/>
      <c r="L162" s="61"/>
      <c r="M162" s="61"/>
      <c r="N162" s="68"/>
      <c r="O162" s="68"/>
    </row>
    <row r="163" spans="2:15" x14ac:dyDescent="0.3">
      <c r="B163" s="61"/>
      <c r="C163" s="61"/>
      <c r="D163" s="61"/>
      <c r="E163" s="61"/>
      <c r="F163" s="61"/>
      <c r="G163" s="68"/>
      <c r="H163" s="68"/>
      <c r="I163" s="68"/>
      <c r="J163" s="68"/>
      <c r="K163" s="61"/>
      <c r="L163" s="61"/>
      <c r="M163" s="61"/>
      <c r="N163" s="68"/>
      <c r="O163" s="68"/>
    </row>
    <row r="164" spans="2:15" x14ac:dyDescent="0.3">
      <c r="B164" s="61"/>
      <c r="C164" s="61"/>
      <c r="D164" s="61"/>
      <c r="E164" s="61"/>
      <c r="F164" s="61"/>
      <c r="G164" s="68"/>
      <c r="H164" s="68"/>
      <c r="I164" s="68"/>
      <c r="J164" s="68"/>
      <c r="K164" s="61"/>
      <c r="L164" s="61"/>
      <c r="M164" s="61"/>
      <c r="N164" s="68"/>
      <c r="O164" s="68"/>
    </row>
    <row r="165" spans="2:15" x14ac:dyDescent="0.3">
      <c r="B165" s="61"/>
      <c r="C165" s="61"/>
      <c r="D165" s="61"/>
      <c r="E165" s="61"/>
      <c r="F165" s="61"/>
      <c r="G165" s="61"/>
      <c r="H165" s="61"/>
      <c r="I165" s="61"/>
      <c r="J165" s="61"/>
      <c r="K165" s="61"/>
      <c r="L165" s="61"/>
      <c r="M165" s="61"/>
      <c r="N165" s="61"/>
      <c r="O165" s="61"/>
    </row>
    <row r="166" spans="2:15" x14ac:dyDescent="0.3">
      <c r="B166" s="61"/>
      <c r="C166" s="61"/>
      <c r="D166" s="61"/>
      <c r="E166" s="61"/>
      <c r="F166" s="61"/>
      <c r="G166" s="61"/>
      <c r="H166" s="61"/>
      <c r="I166" s="61"/>
      <c r="J166" s="61"/>
      <c r="K166" s="61"/>
      <c r="L166" s="61"/>
      <c r="M166" s="61"/>
      <c r="N166" s="61"/>
      <c r="O166" s="61"/>
    </row>
    <row r="167" spans="2:15" x14ac:dyDescent="0.3">
      <c r="B167" s="61"/>
      <c r="C167" s="61"/>
      <c r="D167" s="61"/>
      <c r="E167" s="61"/>
      <c r="F167" s="61"/>
      <c r="G167" s="61"/>
      <c r="H167" s="61"/>
      <c r="I167" s="61"/>
      <c r="J167" s="61"/>
      <c r="K167" s="61"/>
      <c r="L167" s="61"/>
      <c r="M167" s="61"/>
      <c r="N167" s="61"/>
      <c r="O167" s="61"/>
    </row>
    <row r="168" spans="2:15" x14ac:dyDescent="0.3">
      <c r="B168" s="61"/>
      <c r="C168" s="61"/>
      <c r="D168" s="61"/>
      <c r="E168" s="61"/>
      <c r="F168" s="61"/>
      <c r="G168" s="61"/>
      <c r="H168" s="61"/>
      <c r="I168" s="61"/>
      <c r="J168" s="61"/>
      <c r="K168" s="61"/>
      <c r="L168" s="61"/>
      <c r="M168" s="61"/>
      <c r="N168" s="61"/>
      <c r="O168" s="61"/>
    </row>
    <row r="169" spans="2:15" x14ac:dyDescent="0.3">
      <c r="B169" s="61"/>
      <c r="C169" s="61"/>
      <c r="D169" s="61"/>
      <c r="E169" s="61"/>
      <c r="F169" s="67"/>
      <c r="G169" s="67"/>
      <c r="H169" s="67"/>
      <c r="I169" s="67"/>
      <c r="J169" s="67"/>
      <c r="K169" s="67"/>
      <c r="L169" s="67"/>
      <c r="M169" s="67"/>
      <c r="N169" s="67"/>
      <c r="O169" s="67"/>
    </row>
    <row r="170" spans="2:15" x14ac:dyDescent="0.3">
      <c r="B170" s="61"/>
      <c r="C170" s="61"/>
      <c r="D170" s="61"/>
      <c r="E170" s="61"/>
      <c r="F170" s="67"/>
      <c r="G170" s="68"/>
      <c r="H170" s="68"/>
      <c r="I170" s="68"/>
      <c r="J170" s="68"/>
      <c r="K170" s="61"/>
      <c r="L170" s="61"/>
      <c r="M170" s="61"/>
      <c r="N170" s="68"/>
      <c r="O170" s="68"/>
    </row>
    <row r="171" spans="2:15" x14ac:dyDescent="0.3">
      <c r="B171" s="61"/>
      <c r="C171" s="61"/>
      <c r="D171" s="61"/>
      <c r="E171" s="61"/>
      <c r="F171" s="61"/>
      <c r="G171" s="68"/>
      <c r="H171" s="68"/>
      <c r="I171" s="68"/>
      <c r="J171" s="68"/>
      <c r="K171" s="61"/>
      <c r="L171" s="68"/>
      <c r="M171" s="68"/>
      <c r="N171" s="68"/>
      <c r="O171" s="68"/>
    </row>
    <row r="172" spans="2:15" x14ac:dyDescent="0.3">
      <c r="B172" s="61"/>
      <c r="C172" s="61"/>
      <c r="D172" s="61"/>
      <c r="E172" s="61"/>
      <c r="F172" s="61"/>
      <c r="G172" s="68"/>
      <c r="H172" s="68"/>
      <c r="I172" s="68"/>
      <c r="J172" s="68"/>
      <c r="K172" s="61"/>
      <c r="L172" s="61"/>
      <c r="M172" s="61"/>
      <c r="N172" s="68"/>
      <c r="O172" s="68"/>
    </row>
    <row r="173" spans="2:15" x14ac:dyDescent="0.3">
      <c r="B173" s="61"/>
      <c r="C173" s="61"/>
      <c r="D173" s="61"/>
      <c r="E173" s="61"/>
      <c r="F173" s="61"/>
      <c r="G173" s="68"/>
      <c r="H173" s="68"/>
      <c r="I173" s="68"/>
      <c r="J173" s="68"/>
      <c r="K173" s="61"/>
      <c r="L173" s="61"/>
      <c r="M173" s="61"/>
      <c r="N173" s="68"/>
      <c r="O173" s="68"/>
    </row>
    <row r="174" spans="2:15" x14ac:dyDescent="0.3">
      <c r="B174" s="61"/>
      <c r="C174" s="61"/>
      <c r="D174" s="61"/>
      <c r="E174" s="61"/>
      <c r="F174" s="61"/>
      <c r="G174" s="68"/>
      <c r="H174" s="68"/>
      <c r="I174" s="68"/>
      <c r="J174" s="68"/>
      <c r="K174" s="61"/>
      <c r="L174" s="61"/>
      <c r="M174" s="61"/>
      <c r="N174" s="68"/>
      <c r="O174" s="68"/>
    </row>
  </sheetData>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8816-4B48-4F71-8F01-AFA37B12A7B2}">
  <dimension ref="A1:L109"/>
  <sheetViews>
    <sheetView topLeftCell="B85" zoomScaleNormal="100" workbookViewId="0">
      <selection activeCell="D35" sqref="D35"/>
    </sheetView>
  </sheetViews>
  <sheetFormatPr defaultRowHeight="14.4" x14ac:dyDescent="0.3"/>
  <cols>
    <col min="1" max="1" width="4.109375" customWidth="1"/>
    <col min="3" max="3" width="57.33203125" customWidth="1"/>
    <col min="4" max="4" width="16.6640625" bestFit="1" customWidth="1"/>
    <col min="5" max="5" width="13.33203125" customWidth="1"/>
    <col min="6" max="6" width="11.88671875" bestFit="1" customWidth="1"/>
    <col min="7" max="7" width="8.44140625" customWidth="1"/>
    <col min="9" max="9" width="27.6640625" customWidth="1"/>
    <col min="10" max="10" width="10.6640625" bestFit="1" customWidth="1"/>
    <col min="14" max="14" width="49.33203125" bestFit="1" customWidth="1"/>
    <col min="17" max="17" width="17.33203125" bestFit="1" customWidth="1"/>
    <col min="18" max="18" width="9.6640625" bestFit="1" customWidth="1"/>
    <col min="19" max="20" width="16.109375" bestFit="1" customWidth="1"/>
  </cols>
  <sheetData>
    <row r="1" spans="1:9" ht="19.8" x14ac:dyDescent="0.4">
      <c r="A1" t="s">
        <v>299</v>
      </c>
      <c r="B1" s="19"/>
      <c r="C1" s="18"/>
    </row>
    <row r="2" spans="1:9" ht="13.2" customHeight="1" x14ac:dyDescent="0.4">
      <c r="A2" s="19"/>
      <c r="B2" s="19"/>
      <c r="C2" s="18"/>
    </row>
    <row r="3" spans="1:9" ht="13.2" customHeight="1" x14ac:dyDescent="0.3">
      <c r="A3" t="s">
        <v>140</v>
      </c>
      <c r="C3" t="s">
        <v>141</v>
      </c>
      <c r="D3" s="14" t="s">
        <v>142</v>
      </c>
      <c r="E3" t="s">
        <v>84</v>
      </c>
      <c r="H3" t="s">
        <v>143</v>
      </c>
      <c r="I3" t="s">
        <v>144</v>
      </c>
    </row>
    <row r="4" spans="1:9" ht="13.2" customHeight="1" x14ac:dyDescent="0.3">
      <c r="B4">
        <v>1</v>
      </c>
      <c r="C4" t="s">
        <v>300</v>
      </c>
      <c r="H4" t="s">
        <v>301</v>
      </c>
      <c r="I4" t="s">
        <v>302</v>
      </c>
    </row>
    <row r="5" spans="1:9" ht="13.2" customHeight="1" x14ac:dyDescent="0.3">
      <c r="C5" t="s">
        <v>303</v>
      </c>
      <c r="D5">
        <v>1</v>
      </c>
      <c r="E5" t="s">
        <v>304</v>
      </c>
    </row>
    <row r="6" spans="1:9" ht="12.9" customHeight="1" x14ac:dyDescent="0.3">
      <c r="D6">
        <v>2</v>
      </c>
      <c r="E6" t="s">
        <v>301</v>
      </c>
    </row>
    <row r="7" spans="1:9" ht="12.9" customHeight="1" x14ac:dyDescent="0.3"/>
    <row r="8" spans="1:9" ht="12.9" customHeight="1" x14ac:dyDescent="0.3">
      <c r="B8">
        <v>2</v>
      </c>
      <c r="C8" t="s">
        <v>305</v>
      </c>
      <c r="H8" t="s">
        <v>301</v>
      </c>
      <c r="I8" t="s">
        <v>302</v>
      </c>
    </row>
    <row r="9" spans="1:9" ht="12.9" customHeight="1" x14ac:dyDescent="0.3">
      <c r="C9" t="s">
        <v>306</v>
      </c>
      <c r="D9">
        <v>1</v>
      </c>
      <c r="E9" t="s">
        <v>304</v>
      </c>
    </row>
    <row r="10" spans="1:9" ht="12.9" customHeight="1" x14ac:dyDescent="0.3">
      <c r="D10">
        <v>2</v>
      </c>
      <c r="E10" t="s">
        <v>301</v>
      </c>
    </row>
    <row r="11" spans="1:9" ht="12.9" customHeight="1" x14ac:dyDescent="0.3"/>
    <row r="12" spans="1:9" ht="12.9" customHeight="1" x14ac:dyDescent="0.3">
      <c r="B12">
        <v>3</v>
      </c>
      <c r="C12" t="s">
        <v>307</v>
      </c>
      <c r="H12" t="s">
        <v>301</v>
      </c>
      <c r="I12" t="s">
        <v>308</v>
      </c>
    </row>
    <row r="13" spans="1:9" ht="12.9" customHeight="1" x14ac:dyDescent="0.3">
      <c r="D13">
        <v>1</v>
      </c>
      <c r="E13" t="s">
        <v>304</v>
      </c>
    </row>
    <row r="14" spans="1:9" ht="12.9" customHeight="1" x14ac:dyDescent="0.3">
      <c r="D14">
        <v>2</v>
      </c>
      <c r="E14" t="s">
        <v>301</v>
      </c>
    </row>
    <row r="15" spans="1:9" ht="13.2" customHeight="1" x14ac:dyDescent="0.3"/>
    <row r="16" spans="1:9" ht="13.2" customHeight="1" x14ac:dyDescent="0.3">
      <c r="A16" t="s">
        <v>153</v>
      </c>
    </row>
    <row r="17" spans="2:3" ht="13.2" customHeight="1" x14ac:dyDescent="0.3">
      <c r="B17">
        <v>1</v>
      </c>
      <c r="C17" t="s">
        <v>309</v>
      </c>
    </row>
    <row r="18" spans="2:3" ht="13.2" customHeight="1" x14ac:dyDescent="0.3">
      <c r="C18" t="s">
        <v>310</v>
      </c>
    </row>
    <row r="19" spans="2:3" ht="13.2" customHeight="1" x14ac:dyDescent="0.3">
      <c r="C19" t="s">
        <v>311</v>
      </c>
    </row>
    <row r="20" spans="2:3" ht="13.2" customHeight="1" x14ac:dyDescent="0.3">
      <c r="C20" t="s">
        <v>312</v>
      </c>
    </row>
    <row r="21" spans="2:3" ht="13.2" customHeight="1" x14ac:dyDescent="0.3"/>
    <row r="22" spans="2:3" ht="13.2" customHeight="1" x14ac:dyDescent="0.3">
      <c r="B22">
        <v>2</v>
      </c>
      <c r="C22" t="s">
        <v>313</v>
      </c>
    </row>
    <row r="23" spans="2:3" ht="13.2" customHeight="1" x14ac:dyDescent="0.3">
      <c r="C23" t="s">
        <v>314</v>
      </c>
    </row>
    <row r="24" spans="2:3" ht="13.2" customHeight="1" x14ac:dyDescent="0.3">
      <c r="C24" t="s">
        <v>315</v>
      </c>
    </row>
    <row r="25" spans="2:3" ht="13.2" customHeight="1" x14ac:dyDescent="0.3">
      <c r="C25" t="s">
        <v>316</v>
      </c>
    </row>
    <row r="26" spans="2:3" ht="13.2" customHeight="1" x14ac:dyDescent="0.3">
      <c r="C26" t="s">
        <v>312</v>
      </c>
    </row>
    <row r="27" spans="2:3" ht="13.2" customHeight="1" x14ac:dyDescent="0.3"/>
    <row r="28" spans="2:3" ht="13.2" customHeight="1" x14ac:dyDescent="0.3">
      <c r="B28">
        <v>3</v>
      </c>
      <c r="C28" t="s">
        <v>317</v>
      </c>
    </row>
    <row r="29" spans="2:3" ht="13.2" customHeight="1" x14ac:dyDescent="0.3">
      <c r="C29" t="s">
        <v>318</v>
      </c>
    </row>
    <row r="30" spans="2:3" ht="13.2" customHeight="1" x14ac:dyDescent="0.3">
      <c r="C30" t="s">
        <v>312</v>
      </c>
    </row>
    <row r="31" spans="2:3" ht="13.2" customHeight="1" x14ac:dyDescent="0.3"/>
    <row r="32" spans="2:3" ht="13.2" customHeight="1" x14ac:dyDescent="0.3"/>
    <row r="33" spans="1:5" x14ac:dyDescent="0.3">
      <c r="A33" t="s">
        <v>198</v>
      </c>
    </row>
    <row r="34" spans="1:5" x14ac:dyDescent="0.3">
      <c r="B34">
        <v>1</v>
      </c>
      <c r="C34" t="s">
        <v>319</v>
      </c>
      <c r="D34" s="116">
        <f>(('A Assembly'!W69+'A Assembly'!F69)/2)/60</f>
        <v>7.3013945578231292</v>
      </c>
      <c r="E34" t="s">
        <v>320</v>
      </c>
    </row>
    <row r="35" spans="1:5" x14ac:dyDescent="0.3">
      <c r="B35">
        <v>2</v>
      </c>
      <c r="C35" t="s">
        <v>321</v>
      </c>
      <c r="D35" s="116">
        <f>(('A Picking'!K43+'A Picking'!L43)/2)/60</f>
        <v>4.88795</v>
      </c>
      <c r="E35" t="s">
        <v>320</v>
      </c>
    </row>
    <row r="36" spans="1:5" x14ac:dyDescent="0.3">
      <c r="B36">
        <v>3</v>
      </c>
      <c r="C36" t="s">
        <v>322</v>
      </c>
      <c r="D36">
        <v>7.5</v>
      </c>
      <c r="E36" t="s">
        <v>323</v>
      </c>
    </row>
    <row r="37" spans="1:5" x14ac:dyDescent="0.3">
      <c r="B37">
        <v>4</v>
      </c>
      <c r="C37" t="s">
        <v>324</v>
      </c>
      <c r="D37">
        <v>3</v>
      </c>
      <c r="E37" t="s">
        <v>325</v>
      </c>
    </row>
    <row r="38" spans="1:5" x14ac:dyDescent="0.3">
      <c r="B38">
        <v>5</v>
      </c>
      <c r="C38" t="s">
        <v>326</v>
      </c>
      <c r="D38">
        <v>2</v>
      </c>
      <c r="E38" t="s">
        <v>327</v>
      </c>
    </row>
    <row r="39" spans="1:5" x14ac:dyDescent="0.3">
      <c r="B39">
        <v>6</v>
      </c>
      <c r="C39" t="s">
        <v>328</v>
      </c>
      <c r="D39" s="22">
        <f>'A Assembly'!P67/100</f>
        <v>0.02</v>
      </c>
    </row>
    <row r="40" spans="1:5" x14ac:dyDescent="0.3">
      <c r="B40">
        <v>7</v>
      </c>
      <c r="C40" t="s">
        <v>329</v>
      </c>
      <c r="D40" s="69">
        <f>'A Assembly'!P64/100</f>
        <v>9.5000000000000001E-2</v>
      </c>
    </row>
    <row r="41" spans="1:5" x14ac:dyDescent="0.3">
      <c r="B41">
        <v>8</v>
      </c>
      <c r="C41" t="s">
        <v>330</v>
      </c>
      <c r="D41" s="23">
        <v>10</v>
      </c>
    </row>
    <row r="42" spans="1:5" x14ac:dyDescent="0.3">
      <c r="D42" s="22"/>
    </row>
    <row r="43" spans="1:5" x14ac:dyDescent="0.3">
      <c r="A43" t="s">
        <v>331</v>
      </c>
    </row>
    <row r="45" spans="1:5" x14ac:dyDescent="0.3">
      <c r="B45" t="s">
        <v>332</v>
      </c>
      <c r="E45" s="20"/>
    </row>
    <row r="46" spans="1:5" x14ac:dyDescent="0.3">
      <c r="C46" t="s">
        <v>333</v>
      </c>
      <c r="D46">
        <v>1</v>
      </c>
      <c r="E46" t="s">
        <v>323</v>
      </c>
    </row>
    <row r="47" spans="1:5" x14ac:dyDescent="0.3">
      <c r="C47" t="s">
        <v>334</v>
      </c>
      <c r="D47">
        <f>D36</f>
        <v>7.5</v>
      </c>
      <c r="E47" t="s">
        <v>323</v>
      </c>
    </row>
    <row r="49" spans="3:9" x14ac:dyDescent="0.3">
      <c r="C49" t="s">
        <v>335</v>
      </c>
      <c r="D49" s="117">
        <f>D46/(D34/60)</f>
        <v>8.2176082287886469</v>
      </c>
      <c r="E49" t="s">
        <v>336</v>
      </c>
    </row>
    <row r="50" spans="3:9" x14ac:dyDescent="0.3">
      <c r="C50" t="s">
        <v>337</v>
      </c>
      <c r="D50" s="117">
        <f>D49*D47</f>
        <v>61.632061715914851</v>
      </c>
      <c r="E50" t="s">
        <v>338</v>
      </c>
    </row>
    <row r="51" spans="3:9" x14ac:dyDescent="0.3">
      <c r="C51" t="str">
        <f>"TrackRs made by "&amp;D37&amp;" tables Per Shift"</f>
        <v>TrackRs made by 3 tables Per Shift</v>
      </c>
      <c r="D51" s="117">
        <f>D50*D37</f>
        <v>184.89618514774455</v>
      </c>
      <c r="E51" t="s">
        <v>339</v>
      </c>
    </row>
    <row r="52" spans="3:9" x14ac:dyDescent="0.3">
      <c r="C52" t="str">
        <f>"TrackRs per day in "&amp;D38&amp;" shifts"</f>
        <v>TrackRs per day in 2 shifts</v>
      </c>
      <c r="D52" s="117">
        <f>D51*D38</f>
        <v>369.79237029548909</v>
      </c>
      <c r="E52" t="s">
        <v>339</v>
      </c>
    </row>
    <row r="53" spans="3:9" x14ac:dyDescent="0.3">
      <c r="C53" t="s">
        <v>340</v>
      </c>
      <c r="D53" s="71">
        <f>D39+D40+D42</f>
        <v>0.115</v>
      </c>
    </row>
    <row r="54" spans="3:9" x14ac:dyDescent="0.3">
      <c r="C54" t="s">
        <v>341</v>
      </c>
      <c r="D54" s="117">
        <f>D52*(1-D53)</f>
        <v>327.26624771150784</v>
      </c>
      <c r="E54" t="s">
        <v>339</v>
      </c>
    </row>
    <row r="56" spans="3:9" x14ac:dyDescent="0.3">
      <c r="C56" t="s">
        <v>342</v>
      </c>
    </row>
    <row r="57" spans="3:9" x14ac:dyDescent="0.3">
      <c r="C57" t="s">
        <v>343</v>
      </c>
    </row>
    <row r="59" spans="3:9" x14ac:dyDescent="0.3">
      <c r="D59" t="s">
        <v>80</v>
      </c>
      <c r="E59" t="s">
        <v>135</v>
      </c>
      <c r="F59" t="s">
        <v>137</v>
      </c>
    </row>
    <row r="60" spans="3:9" x14ac:dyDescent="0.3">
      <c r="C60" t="s">
        <v>344</v>
      </c>
      <c r="D60" s="91">
        <f>GETPIVOTDATA("WholeSalePrice",WholeSale!$A$8,"ProductCode","Trackr A")</f>
        <v>140</v>
      </c>
      <c r="E60" s="91">
        <f>GETPIVOTDATA("WholeSalePrice",WholeSale!$A$8,"ProductCode","Trackr B")</f>
        <v>115</v>
      </c>
      <c r="F60" s="91">
        <f>GETPIVOTDATA("WholeSalePrice",WholeSale!$A$8,"ProductCode","Trackr C")</f>
        <v>155</v>
      </c>
    </row>
    <row r="61" spans="3:9" x14ac:dyDescent="0.3">
      <c r="C61" t="s">
        <v>345</v>
      </c>
      <c r="D61" s="91">
        <f>Table3[[#Totals],[Max]]</f>
        <v>104.11484999999999</v>
      </c>
      <c r="E61" s="91">
        <f>Table4[[#Totals],[Max]]</f>
        <v>99.914849999999987</v>
      </c>
      <c r="F61" s="91">
        <f>Table5[[#Totals],[Max]]</f>
        <v>109.36484999999999</v>
      </c>
    </row>
    <row r="62" spans="3:9" x14ac:dyDescent="0.3">
      <c r="C62" t="s">
        <v>346</v>
      </c>
      <c r="D62" s="91">
        <f>D41</f>
        <v>10</v>
      </c>
      <c r="E62" s="91">
        <f>D62</f>
        <v>10</v>
      </c>
      <c r="F62" s="91">
        <f>E62</f>
        <v>10</v>
      </c>
      <c r="I62" t="s">
        <v>347</v>
      </c>
    </row>
    <row r="63" spans="3:9" x14ac:dyDescent="0.3">
      <c r="C63" t="s">
        <v>348</v>
      </c>
      <c r="D63" s="89">
        <f>(GETPIVOTDATA("Quantity",DayProdn!$A$8,"ProductCode","Trackr A")+GETPIVOTDATA("Quantity",DayProdn!$D$8,"ProductCode","Trackr A"))/126</f>
        <v>65.785714285714292</v>
      </c>
      <c r="E63" s="89">
        <f>(GETPIVOTDATA("Quantity",DayProdn!$A$8,"ProductCode","Trackr B")+GETPIVOTDATA("Quantity",DayProdn!$D$8,"ProductCode","Trackr B"))/126</f>
        <v>59.452380952380949</v>
      </c>
      <c r="F63" s="89">
        <f>(GETPIVOTDATA("Quantity",DayProdn!$A$8,"ProductCode","Trackr C")+GETPIVOTDATA("Quantity",DayProdn!$D$8,"ProductCode","Trackr C"))/126</f>
        <v>55.182539682539684</v>
      </c>
    </row>
    <row r="64" spans="3:9" x14ac:dyDescent="0.3">
      <c r="C64" t="s">
        <v>349</v>
      </c>
      <c r="D64" s="92">
        <f>D63/SUM($D$63:$F$63)</f>
        <v>0.36462411472308975</v>
      </c>
      <c r="E64" s="92">
        <f>E63/SUM($D$63:$F$63)</f>
        <v>0.32952096071789905</v>
      </c>
      <c r="F64" s="92">
        <f>F63/SUM($D$63:$F$63)</f>
        <v>0.30585492455901109</v>
      </c>
    </row>
    <row r="65" spans="2:12" x14ac:dyDescent="0.3">
      <c r="C65" t="s">
        <v>350</v>
      </c>
      <c r="D65" s="91">
        <f>D60-(D61+D62)</f>
        <v>25.88515000000001</v>
      </c>
      <c r="E65" s="91">
        <f>E60-(E61+E62)</f>
        <v>5.0851500000000129</v>
      </c>
      <c r="F65" s="91">
        <f>F60-(F61+F62)</f>
        <v>35.63515000000001</v>
      </c>
    </row>
    <row r="66" spans="2:12" x14ac:dyDescent="0.3">
      <c r="D66" s="89"/>
      <c r="E66" s="89"/>
      <c r="F66" s="89"/>
    </row>
    <row r="67" spans="2:12" x14ac:dyDescent="0.3">
      <c r="B67" t="s">
        <v>351</v>
      </c>
      <c r="D67" s="89"/>
      <c r="E67" s="89"/>
      <c r="F67" s="89"/>
    </row>
    <row r="68" spans="2:12" x14ac:dyDescent="0.3">
      <c r="C68" t="s">
        <v>352</v>
      </c>
      <c r="D68" s="91">
        <f>D65*D64*$D54</f>
        <v>3088.8533574165194</v>
      </c>
      <c r="E68" s="91">
        <f t="shared" ref="E68:F68" si="0">E65*E64*$D54</f>
        <v>548.38811045574209</v>
      </c>
      <c r="F68" s="91">
        <f t="shared" si="0"/>
        <v>3566.9357429323782</v>
      </c>
    </row>
    <row r="69" spans="2:12" x14ac:dyDescent="0.3">
      <c r="C69" t="s">
        <v>353</v>
      </c>
      <c r="D69" s="89"/>
      <c r="E69" s="89"/>
      <c r="F69" s="89"/>
    </row>
    <row r="70" spans="2:12" x14ac:dyDescent="0.3">
      <c r="D70" s="89"/>
      <c r="E70" s="89"/>
      <c r="F70" s="89"/>
    </row>
    <row r="71" spans="2:12" x14ac:dyDescent="0.3">
      <c r="C71" t="s">
        <v>354</v>
      </c>
      <c r="D71" s="93">
        <f>D61*(D52-D54)*D64</f>
        <v>1614.4100489976402</v>
      </c>
      <c r="E71" s="93">
        <f>E61*(D52-D54)*E64</f>
        <v>1400.1316488153432</v>
      </c>
      <c r="F71" s="93">
        <f>F61*(D52-D54)*F64</f>
        <v>1422.4893573452489</v>
      </c>
    </row>
    <row r="72" spans="2:12" x14ac:dyDescent="0.3">
      <c r="D72" s="89"/>
      <c r="E72" s="89"/>
      <c r="F72" s="89"/>
    </row>
    <row r="73" spans="2:12" x14ac:dyDescent="0.3">
      <c r="C73" t="s">
        <v>355</v>
      </c>
      <c r="D73" s="91">
        <f>SUM(D68:F68)-SUM(D71:F71)</f>
        <v>2767.1461556464074</v>
      </c>
      <c r="E73" s="89"/>
      <c r="F73" s="89"/>
      <c r="J73" s="24"/>
      <c r="K73" s="24"/>
      <c r="L73" s="24"/>
    </row>
    <row r="74" spans="2:12" x14ac:dyDescent="0.3">
      <c r="J74" s="24"/>
      <c r="K74" s="24"/>
      <c r="L74" s="24"/>
    </row>
    <row r="75" spans="2:12" x14ac:dyDescent="0.3">
      <c r="B75" t="s">
        <v>356</v>
      </c>
      <c r="D75" t="s">
        <v>357</v>
      </c>
      <c r="F75" t="s">
        <v>358</v>
      </c>
    </row>
    <row r="76" spans="2:12" x14ac:dyDescent="0.3">
      <c r="C76" t="s">
        <v>400</v>
      </c>
      <c r="D76" s="91">
        <f>Employees!C22</f>
        <v>22</v>
      </c>
      <c r="E76" s="89" t="s">
        <v>359</v>
      </c>
      <c r="F76" s="89">
        <f>VLOOKUP(C76,Employees!$A$5:$B$14,2,FALSE)</f>
        <v>12</v>
      </c>
    </row>
    <row r="77" spans="2:12" x14ac:dyDescent="0.3">
      <c r="C77" t="s">
        <v>370</v>
      </c>
      <c r="D77" s="91">
        <f>Employees!C21</f>
        <v>26</v>
      </c>
      <c r="E77" s="89" t="s">
        <v>359</v>
      </c>
      <c r="F77" s="89">
        <f>VLOOKUP(C77,Employees!$A$5:$B$14,2,FALSE)</f>
        <v>6</v>
      </c>
    </row>
    <row r="78" spans="2:12" x14ac:dyDescent="0.3">
      <c r="C78" t="s">
        <v>360</v>
      </c>
      <c r="D78" s="91">
        <f>Employees!C23</f>
        <v>26</v>
      </c>
      <c r="E78" s="89" t="s">
        <v>359</v>
      </c>
      <c r="F78" s="89">
        <f>VLOOKUP(C78,Employees!$A$5:$B$14,2,FALSE)</f>
        <v>6</v>
      </c>
    </row>
    <row r="79" spans="2:12" x14ac:dyDescent="0.3">
      <c r="D79" s="89"/>
      <c r="E79" s="89"/>
      <c r="F79" s="89"/>
    </row>
    <row r="80" spans="2:12" x14ac:dyDescent="0.3">
      <c r="C80" t="s">
        <v>361</v>
      </c>
      <c r="D80" s="94">
        <v>0.2</v>
      </c>
      <c r="E80" s="89"/>
      <c r="F80" s="89"/>
    </row>
    <row r="81" spans="2:9" x14ac:dyDescent="0.3">
      <c r="D81" s="89"/>
      <c r="E81" s="89"/>
      <c r="F81" s="89"/>
    </row>
    <row r="82" spans="2:9" x14ac:dyDescent="0.3">
      <c r="C82" t="s">
        <v>362</v>
      </c>
      <c r="D82" s="91">
        <f>(D76*F76+D77*F77+D78*F78)*D36*(1+D80)</f>
        <v>5184</v>
      </c>
      <c r="E82" s="89"/>
      <c r="F82" s="89"/>
    </row>
    <row r="84" spans="2:9" x14ac:dyDescent="0.3">
      <c r="B84" t="s">
        <v>363</v>
      </c>
      <c r="I84" t="s">
        <v>364</v>
      </c>
    </row>
    <row r="85" spans="2:9" ht="28.8" x14ac:dyDescent="0.3">
      <c r="C85" s="25" t="s">
        <v>365</v>
      </c>
      <c r="D85" s="26" t="s">
        <v>366</v>
      </c>
      <c r="E85" s="13" t="s">
        <v>367</v>
      </c>
      <c r="F85" t="s">
        <v>368</v>
      </c>
      <c r="I85" s="27" t="s">
        <v>369</v>
      </c>
    </row>
    <row r="86" spans="2:9" x14ac:dyDescent="0.3">
      <c r="C86" t="s">
        <v>370</v>
      </c>
      <c r="D86" s="15">
        <v>0</v>
      </c>
      <c r="E86" s="13">
        <f>VLOOKUP(C86,Employees!$A$5:$B$14,2,FALSE)</f>
        <v>6</v>
      </c>
      <c r="F86">
        <v>8</v>
      </c>
      <c r="I86" s="16">
        <f t="shared" ref="I86:I93" si="1">D86*E86*F86</f>
        <v>0</v>
      </c>
    </row>
    <row r="87" spans="2:9" x14ac:dyDescent="0.3">
      <c r="C87" t="s">
        <v>371</v>
      </c>
      <c r="D87" s="95">
        <f>VLOOKUP(C87,Employees!$B$21:$C$33,2,FALSE)</f>
        <v>30</v>
      </c>
      <c r="E87" s="96">
        <f>VLOOKUP(C87,Employees!$A$5:$B$14,2,FALSE)</f>
        <v>3</v>
      </c>
      <c r="F87" s="89">
        <v>8</v>
      </c>
      <c r="G87" s="89"/>
      <c r="H87" s="89"/>
      <c r="I87" s="93">
        <f t="shared" si="1"/>
        <v>720</v>
      </c>
    </row>
    <row r="88" spans="2:9" x14ac:dyDescent="0.3">
      <c r="C88" t="s">
        <v>372</v>
      </c>
      <c r="D88" s="95">
        <f>VLOOKUP(C88,Employees!$B$21:$C$33,2,FALSE)</f>
        <v>26</v>
      </c>
      <c r="E88" s="96">
        <f>VLOOKUP(C88,Employees!$A$5:$B$14,2,FALSE)</f>
        <v>3</v>
      </c>
      <c r="F88" s="89">
        <v>8</v>
      </c>
      <c r="G88" s="89"/>
      <c r="H88" s="89"/>
      <c r="I88" s="93">
        <f t="shared" si="1"/>
        <v>624</v>
      </c>
    </row>
    <row r="89" spans="2:9" x14ac:dyDescent="0.3">
      <c r="C89" t="s">
        <v>373</v>
      </c>
      <c r="D89" s="95">
        <f>VLOOKUP(C89,Employees!$B$21:$C$33,2,FALSE)</f>
        <v>30</v>
      </c>
      <c r="E89" s="96">
        <f>VLOOKUP(C89,Employees!$A$5:$B$14,2,FALSE)</f>
        <v>2</v>
      </c>
      <c r="F89" s="89">
        <v>8</v>
      </c>
      <c r="G89" s="89"/>
      <c r="H89" s="89"/>
      <c r="I89" s="93">
        <f t="shared" si="1"/>
        <v>480</v>
      </c>
    </row>
    <row r="90" spans="2:9" x14ac:dyDescent="0.3">
      <c r="C90" t="s">
        <v>374</v>
      </c>
      <c r="D90" s="95">
        <f>VLOOKUP(C90,Employees!$B$21:$C$33,2,FALSE)</f>
        <v>23.08</v>
      </c>
      <c r="E90" s="96">
        <f>VLOOKUP(C90,Employees!$A$5:$B$14,2,FALSE)</f>
        <v>2</v>
      </c>
      <c r="F90" s="89">
        <v>8</v>
      </c>
      <c r="G90" s="89"/>
      <c r="H90" s="89"/>
      <c r="I90" s="93">
        <f t="shared" si="1"/>
        <v>369.28</v>
      </c>
    </row>
    <row r="91" spans="2:9" x14ac:dyDescent="0.3">
      <c r="C91" t="s">
        <v>375</v>
      </c>
      <c r="D91" s="95">
        <f>VLOOKUP(C91,Employees!$B$21:$C$33,2,FALSE)</f>
        <v>26</v>
      </c>
      <c r="E91" s="96">
        <f>VLOOKUP(C91,Employees!$A$5:$B$14,2,FALSE)</f>
        <v>2</v>
      </c>
      <c r="F91" s="89">
        <v>8</v>
      </c>
      <c r="G91" s="89"/>
      <c r="H91" s="89"/>
      <c r="I91" s="93">
        <f t="shared" si="1"/>
        <v>416</v>
      </c>
    </row>
    <row r="92" spans="2:9" x14ac:dyDescent="0.3">
      <c r="C92" t="s">
        <v>376</v>
      </c>
      <c r="D92" s="95">
        <f>VLOOKUP(C92,Employees!$B$21:$C$33,2,FALSE)</f>
        <v>21.54</v>
      </c>
      <c r="E92" s="96">
        <f>VLOOKUP(C92,Employees!$A$5:$B$14,2,FALSE)</f>
        <v>3</v>
      </c>
      <c r="F92" s="89">
        <v>8</v>
      </c>
      <c r="G92" s="89"/>
      <c r="H92" s="89"/>
      <c r="I92" s="93">
        <f t="shared" si="1"/>
        <v>516.96</v>
      </c>
    </row>
    <row r="93" spans="2:9" x14ac:dyDescent="0.3">
      <c r="C93" t="s">
        <v>377</v>
      </c>
      <c r="D93" s="95">
        <f>VLOOKUP(C93,Employees!$B$21:$C$33,2,FALSE)</f>
        <v>30.77</v>
      </c>
      <c r="E93" s="96">
        <f>VLOOKUP(C93,Employees!$A$5:$B$14,2,FALSE)</f>
        <v>1</v>
      </c>
      <c r="F93" s="89">
        <v>8</v>
      </c>
      <c r="G93" s="89"/>
      <c r="H93" s="89"/>
      <c r="I93" s="93">
        <f t="shared" si="1"/>
        <v>246.16</v>
      </c>
    </row>
    <row r="94" spans="2:9" x14ac:dyDescent="0.3">
      <c r="D94" s="89"/>
      <c r="E94" s="89"/>
      <c r="F94" s="89"/>
      <c r="G94" s="89"/>
      <c r="H94" s="89"/>
      <c r="I94" s="93">
        <f>SUM(I86:I93)</f>
        <v>3372.3999999999996</v>
      </c>
    </row>
    <row r="95" spans="2:9" x14ac:dyDescent="0.3">
      <c r="C95" t="s">
        <v>378</v>
      </c>
      <c r="D95" s="21">
        <v>0.5</v>
      </c>
    </row>
    <row r="97" spans="2:5" ht="21.15" customHeight="1" x14ac:dyDescent="0.3">
      <c r="C97" t="s">
        <v>379</v>
      </c>
      <c r="D97" s="16">
        <f>D95*I94</f>
        <v>1686.1999999999998</v>
      </c>
    </row>
    <row r="98" spans="2:5" ht="23.4" customHeight="1" x14ac:dyDescent="0.3"/>
    <row r="99" spans="2:5" x14ac:dyDescent="0.3">
      <c r="B99" t="s">
        <v>380</v>
      </c>
    </row>
    <row r="100" spans="2:5" x14ac:dyDescent="0.3">
      <c r="C100" t="s">
        <v>381</v>
      </c>
      <c r="D100" s="17">
        <v>42</v>
      </c>
      <c r="E100" t="s">
        <v>382</v>
      </c>
    </row>
    <row r="101" spans="2:5" x14ac:dyDescent="0.3">
      <c r="C101" t="s">
        <v>383</v>
      </c>
      <c r="D101">
        <v>24</v>
      </c>
      <c r="E101" t="s">
        <v>384</v>
      </c>
    </row>
    <row r="103" spans="2:5" x14ac:dyDescent="0.3">
      <c r="B103" t="s">
        <v>385</v>
      </c>
    </row>
    <row r="104" spans="2:5" x14ac:dyDescent="0.3">
      <c r="C104" t="s">
        <v>386</v>
      </c>
      <c r="D104" s="16">
        <f>D73</f>
        <v>2767.1461556464074</v>
      </c>
    </row>
    <row r="105" spans="2:5" x14ac:dyDescent="0.3">
      <c r="C105" t="s">
        <v>387</v>
      </c>
      <c r="D105" s="16">
        <f>-D82</f>
        <v>-5184</v>
      </c>
    </row>
    <row r="106" spans="2:5" x14ac:dyDescent="0.3">
      <c r="C106" t="s">
        <v>388</v>
      </c>
      <c r="D106" s="16">
        <f>-D97</f>
        <v>-1686.1999999999998</v>
      </c>
    </row>
    <row r="107" spans="2:5" x14ac:dyDescent="0.3">
      <c r="C107" t="s">
        <v>380</v>
      </c>
      <c r="D107" s="17">
        <f>-(D100*D101)</f>
        <v>-1008</v>
      </c>
    </row>
    <row r="109" spans="2:5" x14ac:dyDescent="0.3">
      <c r="C109" s="14" t="s">
        <v>389</v>
      </c>
      <c r="D109" s="16">
        <f>SUM(D104:D108)</f>
        <v>-5111.0538443535925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4BF7-4EEF-4413-A447-0B97417BEBD4}">
  <dimension ref="A1:L109"/>
  <sheetViews>
    <sheetView topLeftCell="A85" zoomScaleNormal="100" workbookViewId="0">
      <selection activeCell="D61" sqref="D61"/>
    </sheetView>
  </sheetViews>
  <sheetFormatPr defaultRowHeight="14.4" x14ac:dyDescent="0.3"/>
  <cols>
    <col min="1" max="1" width="4.109375" customWidth="1"/>
    <col min="3" max="3" width="57.33203125" customWidth="1"/>
    <col min="4" max="4" width="16.6640625" bestFit="1" customWidth="1"/>
    <col min="5" max="5" width="13.33203125" customWidth="1"/>
    <col min="6" max="6" width="11.88671875" bestFit="1" customWidth="1"/>
    <col min="7" max="7" width="8.44140625" customWidth="1"/>
    <col min="9" max="9" width="27.6640625" customWidth="1"/>
    <col min="10" max="10" width="10.6640625" bestFit="1" customWidth="1"/>
    <col min="14" max="14" width="49.33203125" bestFit="1" customWidth="1"/>
    <col min="17" max="17" width="17.33203125" bestFit="1" customWidth="1"/>
    <col min="18" max="18" width="9.6640625" bestFit="1" customWidth="1"/>
    <col min="19" max="20" width="16.109375" bestFit="1" customWidth="1"/>
  </cols>
  <sheetData>
    <row r="1" spans="1:9" ht="19.8" x14ac:dyDescent="0.4">
      <c r="A1" t="s">
        <v>299</v>
      </c>
      <c r="B1" s="19"/>
      <c r="C1" s="18"/>
    </row>
    <row r="2" spans="1:9" ht="13.2" customHeight="1" x14ac:dyDescent="0.4">
      <c r="A2" s="19"/>
      <c r="B2" s="19"/>
      <c r="C2" s="18"/>
    </row>
    <row r="3" spans="1:9" ht="13.2" customHeight="1" x14ac:dyDescent="0.3">
      <c r="A3" t="s">
        <v>140</v>
      </c>
      <c r="C3" t="s">
        <v>141</v>
      </c>
      <c r="D3" s="14" t="s">
        <v>142</v>
      </c>
      <c r="E3" t="s">
        <v>84</v>
      </c>
      <c r="H3" t="s">
        <v>143</v>
      </c>
      <c r="I3" t="s">
        <v>144</v>
      </c>
    </row>
    <row r="4" spans="1:9" ht="13.2" customHeight="1" x14ac:dyDescent="0.3">
      <c r="B4">
        <v>1</v>
      </c>
      <c r="C4" t="s">
        <v>300</v>
      </c>
      <c r="H4" t="s">
        <v>301</v>
      </c>
      <c r="I4" t="s">
        <v>302</v>
      </c>
    </row>
    <row r="5" spans="1:9" ht="13.2" customHeight="1" x14ac:dyDescent="0.3">
      <c r="C5" t="s">
        <v>303</v>
      </c>
      <c r="D5">
        <v>1</v>
      </c>
      <c r="E5" t="s">
        <v>304</v>
      </c>
    </row>
    <row r="6" spans="1:9" ht="12.9" customHeight="1" x14ac:dyDescent="0.3">
      <c r="D6">
        <v>2</v>
      </c>
      <c r="E6" t="s">
        <v>301</v>
      </c>
    </row>
    <row r="7" spans="1:9" ht="12.9" customHeight="1" x14ac:dyDescent="0.3"/>
    <row r="8" spans="1:9" ht="12.9" customHeight="1" x14ac:dyDescent="0.3">
      <c r="B8">
        <v>2</v>
      </c>
      <c r="C8" t="s">
        <v>305</v>
      </c>
      <c r="H8" t="s">
        <v>301</v>
      </c>
      <c r="I8" t="s">
        <v>302</v>
      </c>
    </row>
    <row r="9" spans="1:9" ht="12.9" customHeight="1" x14ac:dyDescent="0.3">
      <c r="C9" t="s">
        <v>306</v>
      </c>
      <c r="D9">
        <v>1</v>
      </c>
      <c r="E9" t="s">
        <v>304</v>
      </c>
    </row>
    <row r="10" spans="1:9" ht="12.9" customHeight="1" x14ac:dyDescent="0.3">
      <c r="D10">
        <v>2</v>
      </c>
      <c r="E10" t="s">
        <v>301</v>
      </c>
    </row>
    <row r="11" spans="1:9" ht="12.9" customHeight="1" x14ac:dyDescent="0.3"/>
    <row r="12" spans="1:9" ht="12.9" customHeight="1" x14ac:dyDescent="0.3">
      <c r="B12">
        <v>3</v>
      </c>
      <c r="C12" t="s">
        <v>307</v>
      </c>
      <c r="H12" t="s">
        <v>301</v>
      </c>
      <c r="I12" t="s">
        <v>308</v>
      </c>
    </row>
    <row r="13" spans="1:9" ht="12.9" customHeight="1" x14ac:dyDescent="0.3">
      <c r="D13">
        <v>1</v>
      </c>
      <c r="E13" t="s">
        <v>304</v>
      </c>
    </row>
    <row r="14" spans="1:9" ht="12.9" customHeight="1" x14ac:dyDescent="0.3">
      <c r="D14">
        <v>2</v>
      </c>
      <c r="E14" t="s">
        <v>301</v>
      </c>
    </row>
    <row r="15" spans="1:9" ht="13.2" customHeight="1" x14ac:dyDescent="0.3"/>
    <row r="16" spans="1:9" ht="13.2" customHeight="1" x14ac:dyDescent="0.3">
      <c r="A16" t="s">
        <v>153</v>
      </c>
    </row>
    <row r="17" spans="2:3" ht="13.2" customHeight="1" x14ac:dyDescent="0.3">
      <c r="B17">
        <v>1</v>
      </c>
      <c r="C17" t="s">
        <v>309</v>
      </c>
    </row>
    <row r="18" spans="2:3" ht="13.2" customHeight="1" x14ac:dyDescent="0.3">
      <c r="C18" t="s">
        <v>310</v>
      </c>
    </row>
    <row r="19" spans="2:3" ht="13.2" customHeight="1" x14ac:dyDescent="0.3">
      <c r="C19" t="s">
        <v>311</v>
      </c>
    </row>
    <row r="20" spans="2:3" ht="13.2" customHeight="1" x14ac:dyDescent="0.3">
      <c r="C20" t="s">
        <v>312</v>
      </c>
    </row>
    <row r="21" spans="2:3" ht="13.2" customHeight="1" x14ac:dyDescent="0.3"/>
    <row r="22" spans="2:3" ht="13.2" customHeight="1" x14ac:dyDescent="0.3">
      <c r="B22">
        <v>2</v>
      </c>
      <c r="C22" t="s">
        <v>313</v>
      </c>
    </row>
    <row r="23" spans="2:3" ht="13.2" customHeight="1" x14ac:dyDescent="0.3">
      <c r="C23" t="s">
        <v>314</v>
      </c>
    </row>
    <row r="24" spans="2:3" ht="13.2" customHeight="1" x14ac:dyDescent="0.3">
      <c r="C24" t="s">
        <v>315</v>
      </c>
    </row>
    <row r="25" spans="2:3" ht="13.2" customHeight="1" x14ac:dyDescent="0.3">
      <c r="C25" t="s">
        <v>316</v>
      </c>
    </row>
    <row r="26" spans="2:3" ht="13.2" customHeight="1" x14ac:dyDescent="0.3">
      <c r="C26" t="s">
        <v>312</v>
      </c>
    </row>
    <row r="27" spans="2:3" ht="13.2" customHeight="1" x14ac:dyDescent="0.3"/>
    <row r="28" spans="2:3" ht="13.2" customHeight="1" x14ac:dyDescent="0.3">
      <c r="B28">
        <v>3</v>
      </c>
      <c r="C28" t="s">
        <v>317</v>
      </c>
    </row>
    <row r="29" spans="2:3" ht="13.2" customHeight="1" x14ac:dyDescent="0.3">
      <c r="C29" t="s">
        <v>318</v>
      </c>
    </row>
    <row r="30" spans="2:3" ht="13.2" customHeight="1" x14ac:dyDescent="0.3">
      <c r="C30" t="s">
        <v>312</v>
      </c>
    </row>
    <row r="31" spans="2:3" ht="13.2" customHeight="1" x14ac:dyDescent="0.3"/>
    <row r="32" spans="2:3" ht="13.2" customHeight="1" x14ac:dyDescent="0.3"/>
    <row r="33" spans="1:5" x14ac:dyDescent="0.3">
      <c r="A33" t="s">
        <v>198</v>
      </c>
    </row>
    <row r="34" spans="1:5" x14ac:dyDescent="0.3">
      <c r="B34">
        <v>1</v>
      </c>
      <c r="C34" t="s">
        <v>319</v>
      </c>
      <c r="D34" s="117">
        <f>(('T Assembly'!W69+'T Assembly'!F69)/2)/60</f>
        <v>6.7941666666666665</v>
      </c>
      <c r="E34" t="s">
        <v>320</v>
      </c>
    </row>
    <row r="35" spans="1:5" x14ac:dyDescent="0.3">
      <c r="B35">
        <v>2</v>
      </c>
      <c r="C35" t="s">
        <v>321</v>
      </c>
      <c r="D35" s="116">
        <f>(('T Picking'!K43+'T Picking'!L43)/2)/60</f>
        <v>2.3960858585858582</v>
      </c>
      <c r="E35" t="s">
        <v>320</v>
      </c>
    </row>
    <row r="36" spans="1:5" x14ac:dyDescent="0.3">
      <c r="B36">
        <v>3</v>
      </c>
      <c r="C36" t="s">
        <v>322</v>
      </c>
      <c r="D36">
        <v>4</v>
      </c>
      <c r="E36" t="s">
        <v>323</v>
      </c>
    </row>
    <row r="37" spans="1:5" x14ac:dyDescent="0.3">
      <c r="B37">
        <v>4</v>
      </c>
      <c r="C37" t="s">
        <v>324</v>
      </c>
      <c r="D37">
        <v>3</v>
      </c>
      <c r="E37" t="s">
        <v>325</v>
      </c>
    </row>
    <row r="38" spans="1:5" x14ac:dyDescent="0.3">
      <c r="B38">
        <v>5</v>
      </c>
      <c r="C38" t="s">
        <v>326</v>
      </c>
      <c r="D38">
        <v>2</v>
      </c>
      <c r="E38" t="s">
        <v>327</v>
      </c>
    </row>
    <row r="39" spans="1:5" x14ac:dyDescent="0.3">
      <c r="B39">
        <v>6</v>
      </c>
      <c r="C39" t="s">
        <v>328</v>
      </c>
      <c r="D39" s="22">
        <f>'A Assembly'!P67/100</f>
        <v>0.02</v>
      </c>
    </row>
    <row r="40" spans="1:5" x14ac:dyDescent="0.3">
      <c r="B40">
        <v>7</v>
      </c>
      <c r="C40" t="s">
        <v>329</v>
      </c>
      <c r="D40" s="69">
        <f>'A Assembly'!P64/100</f>
        <v>9.5000000000000001E-2</v>
      </c>
    </row>
    <row r="41" spans="1:5" x14ac:dyDescent="0.3">
      <c r="B41">
        <v>8</v>
      </c>
      <c r="C41" t="s">
        <v>330</v>
      </c>
      <c r="D41" s="23">
        <v>10</v>
      </c>
    </row>
    <row r="42" spans="1:5" x14ac:dyDescent="0.3">
      <c r="D42" s="22"/>
    </row>
    <row r="43" spans="1:5" x14ac:dyDescent="0.3">
      <c r="A43" t="s">
        <v>331</v>
      </c>
    </row>
    <row r="45" spans="1:5" x14ac:dyDescent="0.3">
      <c r="B45" t="s">
        <v>332</v>
      </c>
      <c r="E45" s="20"/>
    </row>
    <row r="46" spans="1:5" x14ac:dyDescent="0.3">
      <c r="C46" t="s">
        <v>333</v>
      </c>
      <c r="D46">
        <v>1</v>
      </c>
      <c r="E46" t="s">
        <v>323</v>
      </c>
    </row>
    <row r="47" spans="1:5" x14ac:dyDescent="0.3">
      <c r="C47" t="s">
        <v>334</v>
      </c>
      <c r="D47">
        <f>D36</f>
        <v>4</v>
      </c>
      <c r="E47" t="s">
        <v>323</v>
      </c>
    </row>
    <row r="49" spans="3:9" x14ac:dyDescent="0.3">
      <c r="C49" t="s">
        <v>335</v>
      </c>
      <c r="D49" s="116">
        <f>D46/(D34/60)</f>
        <v>8.8311051146817121</v>
      </c>
      <c r="E49" t="s">
        <v>336</v>
      </c>
    </row>
    <row r="50" spans="3:9" x14ac:dyDescent="0.3">
      <c r="C50" t="s">
        <v>337</v>
      </c>
      <c r="D50" s="116">
        <f>D49*D47</f>
        <v>35.324420458726848</v>
      </c>
      <c r="E50" t="s">
        <v>338</v>
      </c>
    </row>
    <row r="51" spans="3:9" x14ac:dyDescent="0.3">
      <c r="C51" t="str">
        <f>"TrackRs made by "&amp;D37&amp;" tables Per Shift"</f>
        <v>TrackRs made by 3 tables Per Shift</v>
      </c>
      <c r="D51" s="116">
        <f>D50*D37</f>
        <v>105.97326137618055</v>
      </c>
      <c r="E51" t="s">
        <v>339</v>
      </c>
    </row>
    <row r="52" spans="3:9" x14ac:dyDescent="0.3">
      <c r="C52" t="str">
        <f>"TrackRs per day in "&amp;D38&amp;" shifts"</f>
        <v>TrackRs per day in 2 shifts</v>
      </c>
      <c r="D52" s="116">
        <f>D51*D38</f>
        <v>211.94652275236109</v>
      </c>
      <c r="E52" t="s">
        <v>339</v>
      </c>
    </row>
    <row r="53" spans="3:9" x14ac:dyDescent="0.3">
      <c r="C53" t="s">
        <v>340</v>
      </c>
      <c r="D53" s="71">
        <f>D39+D40+D42</f>
        <v>0.115</v>
      </c>
    </row>
    <row r="54" spans="3:9" x14ac:dyDescent="0.3">
      <c r="C54" t="s">
        <v>341</v>
      </c>
      <c r="D54" s="116">
        <f>D52*(1-D53)</f>
        <v>187.57267263583958</v>
      </c>
      <c r="E54" t="s">
        <v>339</v>
      </c>
    </row>
    <row r="56" spans="3:9" x14ac:dyDescent="0.3">
      <c r="C56" t="s">
        <v>342</v>
      </c>
    </row>
    <row r="57" spans="3:9" x14ac:dyDescent="0.3">
      <c r="C57" t="s">
        <v>343</v>
      </c>
    </row>
    <row r="59" spans="3:9" x14ac:dyDescent="0.3">
      <c r="D59" t="s">
        <v>80</v>
      </c>
      <c r="E59" t="s">
        <v>135</v>
      </c>
      <c r="F59" t="s">
        <v>137</v>
      </c>
    </row>
    <row r="60" spans="3:9" x14ac:dyDescent="0.3">
      <c r="C60" t="s">
        <v>344</v>
      </c>
      <c r="D60" s="17">
        <f>GETPIVOTDATA("WholeSalePrice",WholeSale!$A$8,"ProductCode","Trackr A")</f>
        <v>140</v>
      </c>
      <c r="E60" s="17">
        <f>GETPIVOTDATA("WholeSalePrice",WholeSale!$A$8,"ProductCode","Trackr B")</f>
        <v>115</v>
      </c>
      <c r="F60" s="17">
        <f>GETPIVOTDATA("WholeSalePrice",WholeSale!$A$8,"ProductCode","Trackr C")</f>
        <v>155</v>
      </c>
    </row>
    <row r="61" spans="3:9" x14ac:dyDescent="0.3">
      <c r="C61" t="s">
        <v>345</v>
      </c>
      <c r="D61" s="17">
        <f>Table3[[#Totals],[Max]]</f>
        <v>104.11484999999999</v>
      </c>
      <c r="E61" s="17">
        <f>Table4[[#Totals],[Max]]</f>
        <v>99.914849999999987</v>
      </c>
      <c r="F61" s="17">
        <f>Table5[[#Totals],[Max]]</f>
        <v>109.36484999999999</v>
      </c>
    </row>
    <row r="62" spans="3:9" x14ac:dyDescent="0.3">
      <c r="C62" t="s">
        <v>346</v>
      </c>
      <c r="D62" s="17">
        <f>D41</f>
        <v>10</v>
      </c>
      <c r="E62" s="17">
        <f>D62</f>
        <v>10</v>
      </c>
      <c r="F62" s="17">
        <f>E62</f>
        <v>10</v>
      </c>
      <c r="I62" t="s">
        <v>347</v>
      </c>
    </row>
    <row r="63" spans="3:9" x14ac:dyDescent="0.3">
      <c r="C63" t="s">
        <v>348</v>
      </c>
      <c r="D63" s="116">
        <f>(GETPIVOTDATA("Quantity",DayProdn!$A$8,"ProductCode","Trackr A")+GETPIVOTDATA("Quantity",DayProdn!$D$8,"ProductCode","Trackr A"))/126</f>
        <v>65.785714285714292</v>
      </c>
      <c r="E63" s="116">
        <f>(GETPIVOTDATA("Quantity",DayProdn!$A$8,"ProductCode","Trackr B")+GETPIVOTDATA("Quantity",DayProdn!$D$8,"ProductCode","Trackr B"))/126</f>
        <v>59.452380952380949</v>
      </c>
      <c r="F63" s="116">
        <f>(GETPIVOTDATA("Quantity",DayProdn!$A$8,"ProductCode","Trackr C")+GETPIVOTDATA("Quantity",DayProdn!$D$8,"ProductCode","Trackr C"))/126</f>
        <v>55.182539682539684</v>
      </c>
    </row>
    <row r="64" spans="3:9" x14ac:dyDescent="0.3">
      <c r="C64" t="s">
        <v>349</v>
      </c>
      <c r="D64" s="22">
        <f>D63/SUM($D$63:$F$63)</f>
        <v>0.36462411472308975</v>
      </c>
      <c r="E64" s="22">
        <f>E63/SUM($D$63:$F$63)</f>
        <v>0.32952096071789905</v>
      </c>
      <c r="F64" s="22">
        <f>F63/SUM($D$63:$F$63)</f>
        <v>0.30585492455901109</v>
      </c>
    </row>
    <row r="65" spans="2:12" x14ac:dyDescent="0.3">
      <c r="C65" t="s">
        <v>350</v>
      </c>
      <c r="D65" s="17">
        <f>D60-(D61+D62)</f>
        <v>25.88515000000001</v>
      </c>
      <c r="E65" s="17">
        <f>E60-(E61+E62)</f>
        <v>5.0851500000000129</v>
      </c>
      <c r="F65" s="17">
        <f>F60-(F61+F62)</f>
        <v>35.63515000000001</v>
      </c>
    </row>
    <row r="67" spans="2:12" x14ac:dyDescent="0.3">
      <c r="B67" t="s">
        <v>351</v>
      </c>
    </row>
    <row r="68" spans="2:12" x14ac:dyDescent="0.3">
      <c r="C68" t="s">
        <v>352</v>
      </c>
      <c r="D68" s="17">
        <f>D65*D64*$D54</f>
        <v>1770.3765166200167</v>
      </c>
      <c r="E68" s="17">
        <f t="shared" ref="E68:F68" si="0">E65*E64*$D54</f>
        <v>314.30868364579146</v>
      </c>
      <c r="F68" s="17">
        <f t="shared" si="0"/>
        <v>2044.3894691270473</v>
      </c>
    </row>
    <row r="69" spans="2:12" x14ac:dyDescent="0.3">
      <c r="C69" t="s">
        <v>353</v>
      </c>
    </row>
    <row r="71" spans="2:12" x14ac:dyDescent="0.3">
      <c r="C71" t="s">
        <v>354</v>
      </c>
      <c r="D71" s="16">
        <f>D61*(D52-D54)*D64</f>
        <v>925.29923185841483</v>
      </c>
      <c r="E71" s="16">
        <f>E61*(D52-D54)*E64</f>
        <v>802.48555189177102</v>
      </c>
      <c r="F71" s="16">
        <f>F61*(D52-D54)*F64</f>
        <v>815.29987409057105</v>
      </c>
    </row>
    <row r="73" spans="2:12" x14ac:dyDescent="0.3">
      <c r="C73" t="s">
        <v>355</v>
      </c>
      <c r="D73" s="17">
        <f>SUM(D68:F68)-SUM(D71:F71)</f>
        <v>1585.9900115520982</v>
      </c>
      <c r="J73" s="24"/>
      <c r="K73" s="24"/>
      <c r="L73" s="24"/>
    </row>
    <row r="74" spans="2:12" x14ac:dyDescent="0.3">
      <c r="J74" s="24"/>
      <c r="K74" s="24"/>
      <c r="L74" s="24"/>
    </row>
    <row r="75" spans="2:12" x14ac:dyDescent="0.3">
      <c r="B75" t="s">
        <v>356</v>
      </c>
      <c r="D75" t="s">
        <v>357</v>
      </c>
      <c r="F75" t="s">
        <v>358</v>
      </c>
    </row>
    <row r="76" spans="2:12" x14ac:dyDescent="0.3">
      <c r="C76" t="s">
        <v>400</v>
      </c>
      <c r="D76" s="17">
        <f>Employees!C22</f>
        <v>22</v>
      </c>
      <c r="E76" t="s">
        <v>359</v>
      </c>
      <c r="F76">
        <f>VLOOKUP(C76,Employees!$A$5:$B$14,2,FALSE)</f>
        <v>12</v>
      </c>
    </row>
    <row r="77" spans="2:12" x14ac:dyDescent="0.3">
      <c r="C77" t="s">
        <v>370</v>
      </c>
      <c r="D77" s="17">
        <f>Employees!C21</f>
        <v>26</v>
      </c>
      <c r="E77" t="s">
        <v>359</v>
      </c>
      <c r="F77">
        <f>VLOOKUP(C77,Employees!$A$5:$B$14,2,FALSE)</f>
        <v>6</v>
      </c>
    </row>
    <row r="78" spans="2:12" x14ac:dyDescent="0.3">
      <c r="C78" t="s">
        <v>360</v>
      </c>
      <c r="D78" s="17">
        <f>Employees!C23</f>
        <v>26</v>
      </c>
      <c r="E78" t="s">
        <v>359</v>
      </c>
      <c r="F78">
        <f>VLOOKUP(C78,Employees!$A$5:$B$14,2,FALSE)</f>
        <v>6</v>
      </c>
    </row>
    <row r="80" spans="2:12" x14ac:dyDescent="0.3">
      <c r="C80" t="s">
        <v>361</v>
      </c>
      <c r="D80" s="21">
        <v>0.2</v>
      </c>
    </row>
    <row r="82" spans="2:9" x14ac:dyDescent="0.3">
      <c r="C82" t="s">
        <v>362</v>
      </c>
      <c r="D82" s="17">
        <f>(D76*F76+D77*F77+D78*F78)*D36*(1+D80)</f>
        <v>2764.7999999999997</v>
      </c>
    </row>
    <row r="84" spans="2:9" x14ac:dyDescent="0.3">
      <c r="B84" t="s">
        <v>363</v>
      </c>
      <c r="I84" t="s">
        <v>364</v>
      </c>
    </row>
    <row r="85" spans="2:9" ht="28.8" x14ac:dyDescent="0.3">
      <c r="C85" s="25" t="s">
        <v>365</v>
      </c>
      <c r="D85" s="26" t="s">
        <v>366</v>
      </c>
      <c r="E85" s="13" t="s">
        <v>367</v>
      </c>
      <c r="F85" t="s">
        <v>368</v>
      </c>
      <c r="I85" s="27" t="s">
        <v>369</v>
      </c>
    </row>
    <row r="86" spans="2:9" x14ac:dyDescent="0.3">
      <c r="C86" t="s">
        <v>370</v>
      </c>
      <c r="D86" s="15">
        <v>0</v>
      </c>
      <c r="E86" s="13">
        <f>VLOOKUP(C86,Employees!$A$5:$B$14,2,FALSE)</f>
        <v>6</v>
      </c>
      <c r="F86">
        <v>8</v>
      </c>
      <c r="I86" s="16">
        <f t="shared" ref="I86:I93" si="1">D86*E86*F86</f>
        <v>0</v>
      </c>
    </row>
    <row r="87" spans="2:9" x14ac:dyDescent="0.3">
      <c r="C87" t="s">
        <v>371</v>
      </c>
      <c r="D87" s="15">
        <f>VLOOKUP(C87,Employees!$B$21:$C$33,2,FALSE)</f>
        <v>30</v>
      </c>
      <c r="E87" s="13">
        <f>VLOOKUP(C87,Employees!$A$5:$B$14,2,FALSE)</f>
        <v>3</v>
      </c>
      <c r="F87">
        <v>8</v>
      </c>
      <c r="I87" s="16">
        <f t="shared" si="1"/>
        <v>720</v>
      </c>
    </row>
    <row r="88" spans="2:9" x14ac:dyDescent="0.3">
      <c r="C88" t="s">
        <v>372</v>
      </c>
      <c r="D88" s="15">
        <f>VLOOKUP(C88,Employees!$B$21:$C$33,2,FALSE)</f>
        <v>26</v>
      </c>
      <c r="E88" s="13">
        <f>VLOOKUP(C88,Employees!$A$5:$B$14,2,FALSE)</f>
        <v>3</v>
      </c>
      <c r="F88">
        <v>8</v>
      </c>
      <c r="I88" s="16">
        <f t="shared" si="1"/>
        <v>624</v>
      </c>
    </row>
    <row r="89" spans="2:9" x14ac:dyDescent="0.3">
      <c r="C89" t="s">
        <v>373</v>
      </c>
      <c r="D89" s="15">
        <f>VLOOKUP(C89,Employees!$B$21:$C$33,2,FALSE)</f>
        <v>30</v>
      </c>
      <c r="E89" s="13">
        <f>VLOOKUP(C89,Employees!$A$5:$B$14,2,FALSE)</f>
        <v>2</v>
      </c>
      <c r="F89">
        <v>8</v>
      </c>
      <c r="I89" s="16">
        <f t="shared" si="1"/>
        <v>480</v>
      </c>
    </row>
    <row r="90" spans="2:9" x14ac:dyDescent="0.3">
      <c r="C90" t="s">
        <v>374</v>
      </c>
      <c r="D90" s="15">
        <f>VLOOKUP(C90,Employees!$B$21:$C$33,2,FALSE)</f>
        <v>23.08</v>
      </c>
      <c r="E90" s="13">
        <f>VLOOKUP(C90,Employees!$A$5:$B$14,2,FALSE)</f>
        <v>2</v>
      </c>
      <c r="F90">
        <v>8</v>
      </c>
      <c r="I90" s="16">
        <f t="shared" si="1"/>
        <v>369.28</v>
      </c>
    </row>
    <row r="91" spans="2:9" x14ac:dyDescent="0.3">
      <c r="C91" t="s">
        <v>375</v>
      </c>
      <c r="D91" s="15">
        <f>VLOOKUP(C91,Employees!$B$21:$C$33,2,FALSE)</f>
        <v>26</v>
      </c>
      <c r="E91" s="13">
        <f>VLOOKUP(C91,Employees!$A$5:$B$14,2,FALSE)</f>
        <v>2</v>
      </c>
      <c r="F91">
        <v>8</v>
      </c>
      <c r="I91" s="16">
        <f t="shared" si="1"/>
        <v>416</v>
      </c>
    </row>
    <row r="92" spans="2:9" x14ac:dyDescent="0.3">
      <c r="C92" t="s">
        <v>376</v>
      </c>
      <c r="D92" s="15">
        <f>VLOOKUP(C92,Employees!$B$21:$C$33,2,FALSE)</f>
        <v>21.54</v>
      </c>
      <c r="E92" s="13">
        <f>VLOOKUP(C92,Employees!$A$5:$B$14,2,FALSE)</f>
        <v>3</v>
      </c>
      <c r="F92">
        <v>8</v>
      </c>
      <c r="I92" s="16">
        <f t="shared" si="1"/>
        <v>516.96</v>
      </c>
    </row>
    <row r="93" spans="2:9" x14ac:dyDescent="0.3">
      <c r="C93" t="s">
        <v>377</v>
      </c>
      <c r="D93" s="15">
        <f>VLOOKUP(C93,Employees!$B$21:$C$33,2,FALSE)</f>
        <v>30.77</v>
      </c>
      <c r="E93" s="13">
        <f>VLOOKUP(C93,Employees!$A$5:$B$14,2,FALSE)</f>
        <v>1</v>
      </c>
      <c r="F93">
        <v>8</v>
      </c>
      <c r="I93" s="16">
        <f t="shared" si="1"/>
        <v>246.16</v>
      </c>
    </row>
    <row r="94" spans="2:9" x14ac:dyDescent="0.3">
      <c r="I94" s="16">
        <f>SUM(I86:I93)</f>
        <v>3372.3999999999996</v>
      </c>
    </row>
    <row r="95" spans="2:9" x14ac:dyDescent="0.3">
      <c r="C95" t="s">
        <v>378</v>
      </c>
      <c r="D95" s="21">
        <v>0.5</v>
      </c>
    </row>
    <row r="97" spans="2:5" ht="21.15" customHeight="1" x14ac:dyDescent="0.3">
      <c r="C97" t="s">
        <v>379</v>
      </c>
      <c r="D97" s="16">
        <f>D95*I94</f>
        <v>1686.1999999999998</v>
      </c>
    </row>
    <row r="98" spans="2:5" ht="23.4" customHeight="1" x14ac:dyDescent="0.3"/>
    <row r="99" spans="2:5" x14ac:dyDescent="0.3">
      <c r="B99" t="s">
        <v>380</v>
      </c>
    </row>
    <row r="100" spans="2:5" x14ac:dyDescent="0.3">
      <c r="C100" t="s">
        <v>381</v>
      </c>
      <c r="D100" s="17">
        <v>42</v>
      </c>
      <c r="E100" t="s">
        <v>382</v>
      </c>
    </row>
    <row r="101" spans="2:5" x14ac:dyDescent="0.3">
      <c r="C101" t="s">
        <v>383</v>
      </c>
      <c r="D101">
        <v>24</v>
      </c>
      <c r="E101" t="s">
        <v>384</v>
      </c>
    </row>
    <row r="103" spans="2:5" x14ac:dyDescent="0.3">
      <c r="B103" t="s">
        <v>385</v>
      </c>
    </row>
    <row r="104" spans="2:5" x14ac:dyDescent="0.3">
      <c r="C104" t="s">
        <v>386</v>
      </c>
      <c r="D104" s="16">
        <f>D73</f>
        <v>1585.9900115520982</v>
      </c>
    </row>
    <row r="105" spans="2:5" x14ac:dyDescent="0.3">
      <c r="C105" t="s">
        <v>387</v>
      </c>
      <c r="D105" s="16">
        <f>-D82</f>
        <v>-2764.7999999999997</v>
      </c>
    </row>
    <row r="106" spans="2:5" x14ac:dyDescent="0.3">
      <c r="C106" t="s">
        <v>388</v>
      </c>
      <c r="D106" s="16">
        <f>-D97</f>
        <v>-1686.1999999999998</v>
      </c>
    </row>
    <row r="107" spans="2:5" x14ac:dyDescent="0.3">
      <c r="C107" t="s">
        <v>380</v>
      </c>
      <c r="D107" s="17">
        <f>-(D100*D101)</f>
        <v>-1008</v>
      </c>
    </row>
    <row r="109" spans="2:5" x14ac:dyDescent="0.3">
      <c r="C109" s="14" t="s">
        <v>389</v>
      </c>
      <c r="D109" s="16">
        <f>SUM(D104:D108)</f>
        <v>-3873.0099884479014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D2DD-6EE5-4DC1-86F4-0B4E04352513}">
  <dimension ref="A1:L109"/>
  <sheetViews>
    <sheetView tabSelected="1" topLeftCell="A85" zoomScaleNormal="100" workbookViewId="0">
      <selection activeCell="G41" sqref="G41"/>
    </sheetView>
  </sheetViews>
  <sheetFormatPr defaultRowHeight="14.4" x14ac:dyDescent="0.3"/>
  <cols>
    <col min="1" max="1" width="4.109375" customWidth="1"/>
    <col min="3" max="3" width="57.33203125" customWidth="1"/>
    <col min="4" max="4" width="16.6640625" bestFit="1" customWidth="1"/>
    <col min="5" max="5" width="13.33203125" customWidth="1"/>
    <col min="6" max="6" width="11.88671875" bestFit="1" customWidth="1"/>
    <col min="7" max="7" width="8.44140625" customWidth="1"/>
    <col min="9" max="9" width="27.6640625" customWidth="1"/>
    <col min="10" max="10" width="10.6640625" bestFit="1" customWidth="1"/>
    <col min="14" max="14" width="49.33203125" bestFit="1" customWidth="1"/>
    <col min="17" max="17" width="17.33203125" bestFit="1" customWidth="1"/>
    <col min="18" max="18" width="9.6640625" bestFit="1" customWidth="1"/>
    <col min="19" max="20" width="16.109375" bestFit="1" customWidth="1"/>
  </cols>
  <sheetData>
    <row r="1" spans="1:9" ht="19.8" x14ac:dyDescent="0.4">
      <c r="A1" t="s">
        <v>299</v>
      </c>
      <c r="B1" s="19"/>
      <c r="C1" s="18"/>
    </row>
    <row r="2" spans="1:9" ht="13.2" customHeight="1" x14ac:dyDescent="0.4">
      <c r="A2" s="19"/>
      <c r="B2" s="19"/>
      <c r="C2" s="18"/>
    </row>
    <row r="3" spans="1:9" ht="13.2" customHeight="1" x14ac:dyDescent="0.3">
      <c r="A3" t="s">
        <v>140</v>
      </c>
      <c r="C3" t="s">
        <v>141</v>
      </c>
      <c r="D3" s="14" t="s">
        <v>142</v>
      </c>
      <c r="E3" t="s">
        <v>84</v>
      </c>
      <c r="H3" t="s">
        <v>143</v>
      </c>
      <c r="I3" t="s">
        <v>144</v>
      </c>
    </row>
    <row r="4" spans="1:9" ht="13.2" customHeight="1" x14ac:dyDescent="0.3">
      <c r="B4">
        <v>1</v>
      </c>
      <c r="C4" t="s">
        <v>300</v>
      </c>
      <c r="H4" t="s">
        <v>301</v>
      </c>
      <c r="I4" t="s">
        <v>302</v>
      </c>
    </row>
    <row r="5" spans="1:9" ht="13.2" customHeight="1" x14ac:dyDescent="0.3">
      <c r="C5" t="s">
        <v>303</v>
      </c>
      <c r="D5">
        <v>1</v>
      </c>
      <c r="E5" t="s">
        <v>304</v>
      </c>
    </row>
    <row r="6" spans="1:9" ht="12.9" customHeight="1" x14ac:dyDescent="0.3">
      <c r="D6">
        <v>2</v>
      </c>
      <c r="E6" t="s">
        <v>301</v>
      </c>
    </row>
    <row r="7" spans="1:9" ht="12.9" customHeight="1" x14ac:dyDescent="0.3"/>
    <row r="8" spans="1:9" ht="12.9" customHeight="1" x14ac:dyDescent="0.3">
      <c r="B8">
        <v>2</v>
      </c>
      <c r="C8" t="s">
        <v>305</v>
      </c>
      <c r="H8" t="s">
        <v>301</v>
      </c>
      <c r="I8" t="s">
        <v>302</v>
      </c>
    </row>
    <row r="9" spans="1:9" ht="12.9" customHeight="1" x14ac:dyDescent="0.3">
      <c r="C9" t="s">
        <v>306</v>
      </c>
      <c r="D9">
        <v>1</v>
      </c>
      <c r="E9" t="s">
        <v>304</v>
      </c>
    </row>
    <row r="10" spans="1:9" ht="12.9" customHeight="1" x14ac:dyDescent="0.3">
      <c r="D10">
        <v>2</v>
      </c>
      <c r="E10" t="s">
        <v>301</v>
      </c>
    </row>
    <row r="11" spans="1:9" ht="12.9" customHeight="1" x14ac:dyDescent="0.3"/>
    <row r="12" spans="1:9" ht="12.9" customHeight="1" x14ac:dyDescent="0.3">
      <c r="B12">
        <v>3</v>
      </c>
      <c r="C12" t="s">
        <v>307</v>
      </c>
      <c r="H12" t="s">
        <v>301</v>
      </c>
      <c r="I12" t="s">
        <v>308</v>
      </c>
    </row>
    <row r="13" spans="1:9" ht="12.9" customHeight="1" x14ac:dyDescent="0.3">
      <c r="D13">
        <v>1</v>
      </c>
      <c r="E13" t="s">
        <v>304</v>
      </c>
    </row>
    <row r="14" spans="1:9" ht="12.9" customHeight="1" x14ac:dyDescent="0.3">
      <c r="D14">
        <v>2</v>
      </c>
      <c r="E14" t="s">
        <v>301</v>
      </c>
    </row>
    <row r="15" spans="1:9" ht="13.2" customHeight="1" x14ac:dyDescent="0.3"/>
    <row r="16" spans="1:9" ht="13.2" customHeight="1" x14ac:dyDescent="0.3">
      <c r="A16" t="s">
        <v>153</v>
      </c>
    </row>
    <row r="17" spans="2:3" ht="13.2" customHeight="1" x14ac:dyDescent="0.3">
      <c r="B17">
        <v>1</v>
      </c>
      <c r="C17" t="s">
        <v>309</v>
      </c>
    </row>
    <row r="18" spans="2:3" ht="13.2" customHeight="1" x14ac:dyDescent="0.3">
      <c r="C18" t="s">
        <v>310</v>
      </c>
    </row>
    <row r="19" spans="2:3" ht="13.2" customHeight="1" x14ac:dyDescent="0.3">
      <c r="C19" t="s">
        <v>311</v>
      </c>
    </row>
    <row r="20" spans="2:3" ht="13.2" customHeight="1" x14ac:dyDescent="0.3">
      <c r="C20" t="s">
        <v>312</v>
      </c>
    </row>
    <row r="21" spans="2:3" ht="13.2" customHeight="1" x14ac:dyDescent="0.3"/>
    <row r="22" spans="2:3" ht="13.2" customHeight="1" x14ac:dyDescent="0.3">
      <c r="B22">
        <v>2</v>
      </c>
      <c r="C22" t="s">
        <v>313</v>
      </c>
    </row>
    <row r="23" spans="2:3" ht="13.2" customHeight="1" x14ac:dyDescent="0.3">
      <c r="C23" t="s">
        <v>314</v>
      </c>
    </row>
    <row r="24" spans="2:3" ht="13.2" customHeight="1" x14ac:dyDescent="0.3">
      <c r="C24" t="s">
        <v>315</v>
      </c>
    </row>
    <row r="25" spans="2:3" ht="13.2" customHeight="1" x14ac:dyDescent="0.3">
      <c r="C25" t="s">
        <v>316</v>
      </c>
    </row>
    <row r="26" spans="2:3" ht="13.2" customHeight="1" x14ac:dyDescent="0.3">
      <c r="C26" t="s">
        <v>312</v>
      </c>
    </row>
    <row r="27" spans="2:3" ht="13.2" customHeight="1" x14ac:dyDescent="0.3"/>
    <row r="28" spans="2:3" ht="13.2" customHeight="1" x14ac:dyDescent="0.3">
      <c r="B28">
        <v>3</v>
      </c>
      <c r="C28" t="s">
        <v>317</v>
      </c>
    </row>
    <row r="29" spans="2:3" ht="13.2" customHeight="1" x14ac:dyDescent="0.3">
      <c r="C29" t="s">
        <v>318</v>
      </c>
    </row>
    <row r="30" spans="2:3" ht="13.2" customHeight="1" x14ac:dyDescent="0.3">
      <c r="C30" t="s">
        <v>312</v>
      </c>
    </row>
    <row r="31" spans="2:3" ht="13.2" customHeight="1" x14ac:dyDescent="0.3"/>
    <row r="32" spans="2:3" ht="13.2" customHeight="1" x14ac:dyDescent="0.3"/>
    <row r="33" spans="1:5" x14ac:dyDescent="0.3">
      <c r="A33" t="s">
        <v>198</v>
      </c>
    </row>
    <row r="34" spans="1:5" x14ac:dyDescent="0.3">
      <c r="B34">
        <v>1</v>
      </c>
      <c r="C34" t="s">
        <v>594</v>
      </c>
      <c r="D34" s="117">
        <f>'T Assembly'!F69/60</f>
        <v>4.458333333333333</v>
      </c>
      <c r="E34" t="s">
        <v>320</v>
      </c>
    </row>
    <row r="35" spans="1:5" x14ac:dyDescent="0.3">
      <c r="B35">
        <v>2</v>
      </c>
      <c r="C35" t="s">
        <v>321</v>
      </c>
      <c r="D35" s="116">
        <f>'T Picking'!K43/60</f>
        <v>2.5560606060606057</v>
      </c>
      <c r="E35" t="s">
        <v>320</v>
      </c>
    </row>
    <row r="36" spans="1:5" x14ac:dyDescent="0.3">
      <c r="B36">
        <v>3</v>
      </c>
      <c r="C36" t="s">
        <v>322</v>
      </c>
      <c r="D36">
        <v>4</v>
      </c>
      <c r="E36" t="s">
        <v>323</v>
      </c>
    </row>
    <row r="37" spans="1:5" x14ac:dyDescent="0.3">
      <c r="B37">
        <v>4</v>
      </c>
      <c r="C37" t="s">
        <v>324</v>
      </c>
      <c r="D37">
        <v>3</v>
      </c>
      <c r="E37" t="s">
        <v>325</v>
      </c>
    </row>
    <row r="38" spans="1:5" x14ac:dyDescent="0.3">
      <c r="B38">
        <v>5</v>
      </c>
      <c r="C38" t="s">
        <v>326</v>
      </c>
      <c r="D38">
        <v>2</v>
      </c>
      <c r="E38" t="s">
        <v>327</v>
      </c>
    </row>
    <row r="39" spans="1:5" x14ac:dyDescent="0.3">
      <c r="B39">
        <v>6</v>
      </c>
      <c r="C39" t="s">
        <v>328</v>
      </c>
      <c r="D39" s="22">
        <v>0</v>
      </c>
    </row>
    <row r="40" spans="1:5" x14ac:dyDescent="0.3">
      <c r="B40">
        <v>7</v>
      </c>
      <c r="C40" t="s">
        <v>329</v>
      </c>
      <c r="D40" s="69">
        <v>0</v>
      </c>
    </row>
    <row r="41" spans="1:5" x14ac:dyDescent="0.3">
      <c r="B41">
        <v>8</v>
      </c>
      <c r="C41" t="s">
        <v>330</v>
      </c>
      <c r="D41" s="23">
        <v>10</v>
      </c>
    </row>
    <row r="42" spans="1:5" x14ac:dyDescent="0.3">
      <c r="D42" s="22"/>
    </row>
    <row r="43" spans="1:5" x14ac:dyDescent="0.3">
      <c r="A43" t="s">
        <v>331</v>
      </c>
    </row>
    <row r="45" spans="1:5" x14ac:dyDescent="0.3">
      <c r="B45" t="s">
        <v>332</v>
      </c>
      <c r="E45" s="20"/>
    </row>
    <row r="46" spans="1:5" x14ac:dyDescent="0.3">
      <c r="C46" t="s">
        <v>333</v>
      </c>
      <c r="D46">
        <v>1</v>
      </c>
      <c r="E46" t="s">
        <v>323</v>
      </c>
    </row>
    <row r="47" spans="1:5" x14ac:dyDescent="0.3">
      <c r="C47" t="s">
        <v>334</v>
      </c>
      <c r="D47">
        <f>D36</f>
        <v>4</v>
      </c>
      <c r="E47" t="s">
        <v>323</v>
      </c>
    </row>
    <row r="49" spans="3:9" x14ac:dyDescent="0.3">
      <c r="C49" t="s">
        <v>335</v>
      </c>
      <c r="D49" s="116">
        <f>D46/(D34/60)</f>
        <v>13.457943925233645</v>
      </c>
      <c r="E49" t="s">
        <v>336</v>
      </c>
    </row>
    <row r="50" spans="3:9" x14ac:dyDescent="0.3">
      <c r="C50" t="s">
        <v>337</v>
      </c>
      <c r="D50" s="116">
        <f>D49*D47</f>
        <v>53.831775700934578</v>
      </c>
      <c r="E50" t="s">
        <v>338</v>
      </c>
    </row>
    <row r="51" spans="3:9" x14ac:dyDescent="0.3">
      <c r="C51" t="str">
        <f>"TrackRs made by "&amp;D37&amp;" tables Per Shift"</f>
        <v>TrackRs made by 3 tables Per Shift</v>
      </c>
      <c r="D51" s="116">
        <f>D50*D37</f>
        <v>161.49532710280374</v>
      </c>
      <c r="E51" t="s">
        <v>339</v>
      </c>
    </row>
    <row r="52" spans="3:9" x14ac:dyDescent="0.3">
      <c r="C52" t="str">
        <f>"TrackRs per day in "&amp;D38&amp;" shifts"</f>
        <v>TrackRs per day in 2 shifts</v>
      </c>
      <c r="D52" s="116">
        <f>D51*D38</f>
        <v>322.99065420560748</v>
      </c>
      <c r="E52" t="s">
        <v>339</v>
      </c>
    </row>
    <row r="53" spans="3:9" x14ac:dyDescent="0.3">
      <c r="C53" t="s">
        <v>340</v>
      </c>
      <c r="D53" s="71">
        <f>D39+D40+D42</f>
        <v>0</v>
      </c>
    </row>
    <row r="54" spans="3:9" x14ac:dyDescent="0.3">
      <c r="C54" t="s">
        <v>341</v>
      </c>
      <c r="D54" s="116">
        <f>D52*(1-D53)</f>
        <v>322.99065420560748</v>
      </c>
      <c r="E54" t="s">
        <v>339</v>
      </c>
    </row>
    <row r="56" spans="3:9" x14ac:dyDescent="0.3">
      <c r="C56" t="s">
        <v>342</v>
      </c>
    </row>
    <row r="57" spans="3:9" x14ac:dyDescent="0.3">
      <c r="C57" t="s">
        <v>343</v>
      </c>
    </row>
    <row r="59" spans="3:9" x14ac:dyDescent="0.3">
      <c r="D59" t="s">
        <v>80</v>
      </c>
      <c r="E59" t="s">
        <v>135</v>
      </c>
      <c r="F59" t="s">
        <v>137</v>
      </c>
    </row>
    <row r="60" spans="3:9" x14ac:dyDescent="0.3">
      <c r="C60" t="s">
        <v>344</v>
      </c>
      <c r="D60" s="17">
        <f>GETPIVOTDATA("WholeSalePrice",WholeSale!$A$8,"ProductCode","Trackr A")</f>
        <v>140</v>
      </c>
      <c r="E60" s="17">
        <f>GETPIVOTDATA("WholeSalePrice",WholeSale!$A$8,"ProductCode","Trackr B")</f>
        <v>115</v>
      </c>
      <c r="F60" s="17">
        <f>GETPIVOTDATA("WholeSalePrice",WholeSale!$A$8,"ProductCode","Trackr C")</f>
        <v>155</v>
      </c>
    </row>
    <row r="61" spans="3:9" x14ac:dyDescent="0.3">
      <c r="C61" t="s">
        <v>345</v>
      </c>
      <c r="D61" s="17">
        <f>Table3[[#Totals],[Max]]</f>
        <v>104.11484999999999</v>
      </c>
      <c r="E61" s="17">
        <f>Table4[[#Totals],[Max]]</f>
        <v>99.914849999999987</v>
      </c>
      <c r="F61" s="17">
        <f>Table5[[#Totals],[Max]]</f>
        <v>109.36484999999999</v>
      </c>
    </row>
    <row r="62" spans="3:9" x14ac:dyDescent="0.3">
      <c r="C62" t="s">
        <v>346</v>
      </c>
      <c r="D62" s="17">
        <f>D41</f>
        <v>10</v>
      </c>
      <c r="E62" s="17">
        <f>D62</f>
        <v>10</v>
      </c>
      <c r="F62" s="17">
        <f>E62</f>
        <v>10</v>
      </c>
      <c r="I62" t="s">
        <v>347</v>
      </c>
    </row>
    <row r="63" spans="3:9" x14ac:dyDescent="0.3">
      <c r="C63" t="s">
        <v>348</v>
      </c>
      <c r="D63" s="116">
        <f>(GETPIVOTDATA("Quantity",DayProdn!$A$8,"ProductCode","Trackr A")+GETPIVOTDATA("Quantity",DayProdn!$D$8,"ProductCode","Trackr A"))/126</f>
        <v>65.785714285714292</v>
      </c>
      <c r="E63" s="116">
        <f>(GETPIVOTDATA("Quantity",DayProdn!$A$8,"ProductCode","Trackr B")+GETPIVOTDATA("Quantity",DayProdn!$D$8,"ProductCode","Trackr B"))/126</f>
        <v>59.452380952380949</v>
      </c>
      <c r="F63" s="116">
        <f>(GETPIVOTDATA("Quantity",DayProdn!$A$8,"ProductCode","Trackr C")+GETPIVOTDATA("Quantity",DayProdn!$D$8,"ProductCode","Trackr C"))/126</f>
        <v>55.182539682539684</v>
      </c>
    </row>
    <row r="64" spans="3:9" x14ac:dyDescent="0.3">
      <c r="C64" t="s">
        <v>349</v>
      </c>
      <c r="D64" s="22">
        <f>D63/SUM($D$63:$F$63)</f>
        <v>0.36462411472308975</v>
      </c>
      <c r="E64" s="22">
        <f>E63/SUM($D$63:$F$63)</f>
        <v>0.32952096071789905</v>
      </c>
      <c r="F64" s="22">
        <f>F63/SUM($D$63:$F$63)</f>
        <v>0.30585492455901109</v>
      </c>
    </row>
    <row r="65" spans="2:12" x14ac:dyDescent="0.3">
      <c r="C65" t="s">
        <v>350</v>
      </c>
      <c r="D65" s="17">
        <f>D60-(D61+D62)</f>
        <v>25.88515000000001</v>
      </c>
      <c r="E65" s="17">
        <f>E60-(E61+E62)</f>
        <v>5.0851500000000129</v>
      </c>
      <c r="F65" s="17">
        <f>F60-(F61+F62)</f>
        <v>35.63515000000001</v>
      </c>
    </row>
    <row r="67" spans="2:12" x14ac:dyDescent="0.3">
      <c r="B67" t="s">
        <v>351</v>
      </c>
    </row>
    <row r="68" spans="2:12" x14ac:dyDescent="0.3">
      <c r="C68" t="s">
        <v>352</v>
      </c>
      <c r="D68" s="17">
        <f>D65*D64*$D54</f>
        <v>3048.4988098638778</v>
      </c>
      <c r="E68" s="17">
        <f t="shared" ref="E68:F68" si="0">E65*E64*$D54</f>
        <v>541.22365441979787</v>
      </c>
      <c r="F68" s="17">
        <f t="shared" si="0"/>
        <v>3520.3352535599165</v>
      </c>
    </row>
    <row r="69" spans="2:12" x14ac:dyDescent="0.3">
      <c r="C69" t="s">
        <v>353</v>
      </c>
    </row>
    <row r="71" spans="2:12" x14ac:dyDescent="0.3">
      <c r="C71" t="s">
        <v>354</v>
      </c>
      <c r="D71" s="16">
        <f>D61*(D52-D54)*D64</f>
        <v>0</v>
      </c>
      <c r="E71" s="16">
        <f>E61*(D52-D54)*E64</f>
        <v>0</v>
      </c>
      <c r="F71" s="16">
        <f>F61*(D52-D54)*F64</f>
        <v>0</v>
      </c>
    </row>
    <row r="73" spans="2:12" x14ac:dyDescent="0.3">
      <c r="C73" t="s">
        <v>355</v>
      </c>
      <c r="D73" s="17">
        <f>SUM(D68:F68)-SUM(D71:F71)</f>
        <v>7110.0577178435924</v>
      </c>
      <c r="J73" s="24"/>
      <c r="K73" s="24"/>
      <c r="L73" s="24"/>
    </row>
    <row r="74" spans="2:12" x14ac:dyDescent="0.3">
      <c r="J74" s="24"/>
      <c r="K74" s="24"/>
      <c r="L74" s="24"/>
    </row>
    <row r="75" spans="2:12" x14ac:dyDescent="0.3">
      <c r="B75" t="s">
        <v>356</v>
      </c>
      <c r="D75" t="s">
        <v>357</v>
      </c>
      <c r="F75" t="s">
        <v>358</v>
      </c>
    </row>
    <row r="76" spans="2:12" x14ac:dyDescent="0.3">
      <c r="C76" t="s">
        <v>400</v>
      </c>
      <c r="D76" s="17">
        <f>Employees!C22</f>
        <v>22</v>
      </c>
      <c r="E76" t="s">
        <v>359</v>
      </c>
      <c r="F76">
        <v>18</v>
      </c>
    </row>
    <row r="77" spans="2:12" x14ac:dyDescent="0.3">
      <c r="C77" t="s">
        <v>370</v>
      </c>
      <c r="D77" s="17">
        <f>Employees!C21</f>
        <v>26</v>
      </c>
      <c r="E77" t="s">
        <v>359</v>
      </c>
      <c r="F77">
        <v>0</v>
      </c>
    </row>
    <row r="78" spans="2:12" x14ac:dyDescent="0.3">
      <c r="C78" t="s">
        <v>360</v>
      </c>
      <c r="D78" s="17">
        <f>Employees!C23</f>
        <v>26</v>
      </c>
      <c r="E78" t="s">
        <v>359</v>
      </c>
      <c r="F78">
        <f>VLOOKUP(C78,Employees!$A$5:$B$14,2,FALSE)</f>
        <v>6</v>
      </c>
    </row>
    <row r="80" spans="2:12" x14ac:dyDescent="0.3">
      <c r="C80" t="s">
        <v>361</v>
      </c>
      <c r="D80" s="21">
        <v>0.2</v>
      </c>
    </row>
    <row r="82" spans="2:9" x14ac:dyDescent="0.3">
      <c r="C82" t="s">
        <v>362</v>
      </c>
      <c r="D82" s="17">
        <f>(D76*F76+D77*F77+D78*F78)*D36*(1+D80)</f>
        <v>2649.6</v>
      </c>
    </row>
    <row r="84" spans="2:9" x14ac:dyDescent="0.3">
      <c r="B84" t="s">
        <v>363</v>
      </c>
      <c r="I84" t="s">
        <v>364</v>
      </c>
    </row>
    <row r="85" spans="2:9" ht="28.8" x14ac:dyDescent="0.3">
      <c r="C85" s="25" t="s">
        <v>365</v>
      </c>
      <c r="D85" s="26" t="s">
        <v>366</v>
      </c>
      <c r="E85" s="13" t="s">
        <v>367</v>
      </c>
      <c r="F85" t="s">
        <v>368</v>
      </c>
      <c r="I85" s="27" t="s">
        <v>369</v>
      </c>
    </row>
    <row r="86" spans="2:9" x14ac:dyDescent="0.3">
      <c r="C86" t="s">
        <v>370</v>
      </c>
      <c r="D86" s="15">
        <v>0</v>
      </c>
      <c r="E86" s="13">
        <f>VLOOKUP(C86,Employees!$A$5:$B$14,2,FALSE)</f>
        <v>6</v>
      </c>
      <c r="F86">
        <v>8</v>
      </c>
      <c r="I86" s="16">
        <f t="shared" ref="I86:I93" si="1">D86*E86*F86</f>
        <v>0</v>
      </c>
    </row>
    <row r="87" spans="2:9" x14ac:dyDescent="0.3">
      <c r="C87" t="s">
        <v>371</v>
      </c>
      <c r="D87" s="15">
        <f>VLOOKUP(C87,Employees!$B$21:$C$33,2,FALSE)</f>
        <v>30</v>
      </c>
      <c r="E87" s="13">
        <f>VLOOKUP(C87,Employees!$A$5:$B$14,2,FALSE)</f>
        <v>3</v>
      </c>
      <c r="F87">
        <v>8</v>
      </c>
      <c r="I87" s="16">
        <f t="shared" si="1"/>
        <v>720</v>
      </c>
    </row>
    <row r="88" spans="2:9" x14ac:dyDescent="0.3">
      <c r="C88" t="s">
        <v>372</v>
      </c>
      <c r="D88" s="15">
        <f>VLOOKUP(C88,Employees!$B$21:$C$33,2,FALSE)</f>
        <v>26</v>
      </c>
      <c r="E88" s="13">
        <f>VLOOKUP(C88,Employees!$A$5:$B$14,2,FALSE)</f>
        <v>3</v>
      </c>
      <c r="F88">
        <v>8</v>
      </c>
      <c r="I88" s="16">
        <f t="shared" si="1"/>
        <v>624</v>
      </c>
    </row>
    <row r="89" spans="2:9" x14ac:dyDescent="0.3">
      <c r="C89" t="s">
        <v>373</v>
      </c>
      <c r="D89" s="15">
        <f>VLOOKUP(C89,Employees!$B$21:$C$33,2,FALSE)</f>
        <v>30</v>
      </c>
      <c r="E89" s="13">
        <f>VLOOKUP(C89,Employees!$A$5:$B$14,2,FALSE)</f>
        <v>2</v>
      </c>
      <c r="F89">
        <v>8</v>
      </c>
      <c r="I89" s="16">
        <f t="shared" si="1"/>
        <v>480</v>
      </c>
    </row>
    <row r="90" spans="2:9" x14ac:dyDescent="0.3">
      <c r="C90" t="s">
        <v>374</v>
      </c>
      <c r="D90" s="15">
        <f>VLOOKUP(C90,Employees!$B$21:$C$33,2,FALSE)</f>
        <v>23.08</v>
      </c>
      <c r="E90" s="13">
        <f>VLOOKUP(C90,Employees!$A$5:$B$14,2,FALSE)</f>
        <v>2</v>
      </c>
      <c r="F90">
        <v>8</v>
      </c>
      <c r="I90" s="16">
        <f t="shared" si="1"/>
        <v>369.28</v>
      </c>
    </row>
    <row r="91" spans="2:9" x14ac:dyDescent="0.3">
      <c r="C91" t="s">
        <v>375</v>
      </c>
      <c r="D91" s="15">
        <f>VLOOKUP(C91,Employees!$B$21:$C$33,2,FALSE)</f>
        <v>26</v>
      </c>
      <c r="E91" s="13">
        <f>VLOOKUP(C91,Employees!$A$5:$B$14,2,FALSE)</f>
        <v>2</v>
      </c>
      <c r="F91">
        <v>8</v>
      </c>
      <c r="I91" s="16">
        <f t="shared" si="1"/>
        <v>416</v>
      </c>
    </row>
    <row r="92" spans="2:9" x14ac:dyDescent="0.3">
      <c r="C92" t="s">
        <v>376</v>
      </c>
      <c r="D92" s="15">
        <f>VLOOKUP(C92,Employees!$B$21:$C$33,2,FALSE)</f>
        <v>21.54</v>
      </c>
      <c r="E92" s="13">
        <f>VLOOKUP(C92,Employees!$A$5:$B$14,2,FALSE)</f>
        <v>3</v>
      </c>
      <c r="F92">
        <v>8</v>
      </c>
      <c r="I92" s="16">
        <f t="shared" si="1"/>
        <v>516.96</v>
      </c>
    </row>
    <row r="93" spans="2:9" x14ac:dyDescent="0.3">
      <c r="C93" t="s">
        <v>377</v>
      </c>
      <c r="D93" s="15">
        <f>VLOOKUP(C93,Employees!$B$21:$C$33,2,FALSE)</f>
        <v>30.77</v>
      </c>
      <c r="E93" s="13">
        <f>VLOOKUP(C93,Employees!$A$5:$B$14,2,FALSE)</f>
        <v>1</v>
      </c>
      <c r="F93">
        <v>8</v>
      </c>
      <c r="I93" s="16">
        <f t="shared" si="1"/>
        <v>246.16</v>
      </c>
    </row>
    <row r="94" spans="2:9" x14ac:dyDescent="0.3">
      <c r="I94" s="16">
        <f>SUM(I86:I93)</f>
        <v>3372.3999999999996</v>
      </c>
    </row>
    <row r="95" spans="2:9" x14ac:dyDescent="0.3">
      <c r="C95" t="s">
        <v>378</v>
      </c>
      <c r="D95" s="21">
        <v>0.5</v>
      </c>
    </row>
    <row r="97" spans="2:5" ht="21.15" customHeight="1" x14ac:dyDescent="0.3">
      <c r="C97" t="s">
        <v>379</v>
      </c>
      <c r="D97" s="16">
        <f>D95*I94</f>
        <v>1686.1999999999998</v>
      </c>
    </row>
    <row r="98" spans="2:5" ht="23.4" customHeight="1" x14ac:dyDescent="0.3"/>
    <row r="99" spans="2:5" x14ac:dyDescent="0.3">
      <c r="B99" t="s">
        <v>380</v>
      </c>
    </row>
    <row r="100" spans="2:5" x14ac:dyDescent="0.3">
      <c r="C100" t="s">
        <v>381</v>
      </c>
      <c r="D100" s="17">
        <v>42</v>
      </c>
      <c r="E100" t="s">
        <v>382</v>
      </c>
    </row>
    <row r="101" spans="2:5" x14ac:dyDescent="0.3">
      <c r="C101" t="s">
        <v>383</v>
      </c>
      <c r="D101">
        <v>24</v>
      </c>
      <c r="E101" t="s">
        <v>384</v>
      </c>
    </row>
    <row r="103" spans="2:5" x14ac:dyDescent="0.3">
      <c r="B103" t="s">
        <v>385</v>
      </c>
    </row>
    <row r="104" spans="2:5" x14ac:dyDescent="0.3">
      <c r="C104" t="s">
        <v>386</v>
      </c>
      <c r="D104" s="16">
        <f>D73</f>
        <v>7110.0577178435924</v>
      </c>
    </row>
    <row r="105" spans="2:5" x14ac:dyDescent="0.3">
      <c r="C105" t="s">
        <v>387</v>
      </c>
      <c r="D105" s="16">
        <f>-D82</f>
        <v>-2649.6</v>
      </c>
    </row>
    <row r="106" spans="2:5" x14ac:dyDescent="0.3">
      <c r="C106" t="s">
        <v>388</v>
      </c>
      <c r="D106" s="16">
        <f>-D97</f>
        <v>-1686.1999999999998</v>
      </c>
    </row>
    <row r="107" spans="2:5" x14ac:dyDescent="0.3">
      <c r="C107" t="s">
        <v>380</v>
      </c>
      <c r="D107" s="17">
        <f>-(D100*D101)</f>
        <v>-1008</v>
      </c>
    </row>
    <row r="109" spans="2:5" x14ac:dyDescent="0.3">
      <c r="C109" s="14" t="s">
        <v>389</v>
      </c>
      <c r="D109" s="16">
        <f>SUM(D104:D108)</f>
        <v>1766.2577178435922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94E05-7C1C-4737-A7E8-E8598074524E}">
  <dimension ref="A1:L109"/>
  <sheetViews>
    <sheetView topLeftCell="A85" zoomScaleNormal="100" workbookViewId="0">
      <selection activeCell="I47" sqref="I47"/>
    </sheetView>
  </sheetViews>
  <sheetFormatPr defaultRowHeight="14.4" x14ac:dyDescent="0.3"/>
  <cols>
    <col min="1" max="1" width="4.109375" customWidth="1"/>
    <col min="3" max="3" width="57.33203125" customWidth="1"/>
    <col min="4" max="4" width="16.6640625" bestFit="1" customWidth="1"/>
    <col min="5" max="5" width="13.33203125" customWidth="1"/>
    <col min="6" max="6" width="11.88671875" bestFit="1" customWidth="1"/>
    <col min="7" max="7" width="8.44140625" customWidth="1"/>
    <col min="9" max="9" width="27.6640625" customWidth="1"/>
    <col min="10" max="10" width="10.6640625" bestFit="1" customWidth="1"/>
    <col min="14" max="14" width="49.33203125" bestFit="1" customWidth="1"/>
    <col min="17" max="17" width="17.33203125" bestFit="1" customWidth="1"/>
    <col min="18" max="18" width="9.6640625" bestFit="1" customWidth="1"/>
    <col min="19" max="20" width="16.109375" bestFit="1" customWidth="1"/>
  </cols>
  <sheetData>
    <row r="1" spans="1:9" ht="19.8" x14ac:dyDescent="0.4">
      <c r="A1" t="s">
        <v>299</v>
      </c>
      <c r="B1" s="19"/>
      <c r="C1" s="18"/>
    </row>
    <row r="2" spans="1:9" ht="13.2" customHeight="1" x14ac:dyDescent="0.4">
      <c r="A2" s="19"/>
      <c r="B2" s="19"/>
      <c r="C2" s="18"/>
    </row>
    <row r="3" spans="1:9" ht="13.2" customHeight="1" x14ac:dyDescent="0.3">
      <c r="A3" t="s">
        <v>140</v>
      </c>
      <c r="C3" t="s">
        <v>141</v>
      </c>
      <c r="D3" s="14" t="s">
        <v>142</v>
      </c>
      <c r="E3" t="s">
        <v>84</v>
      </c>
      <c r="H3" t="s">
        <v>143</v>
      </c>
      <c r="I3" t="s">
        <v>144</v>
      </c>
    </row>
    <row r="4" spans="1:9" ht="13.2" customHeight="1" x14ac:dyDescent="0.3">
      <c r="B4">
        <v>1</v>
      </c>
      <c r="C4" t="s">
        <v>300</v>
      </c>
      <c r="H4" t="s">
        <v>301</v>
      </c>
      <c r="I4" t="s">
        <v>302</v>
      </c>
    </row>
    <row r="5" spans="1:9" ht="13.2" customHeight="1" x14ac:dyDescent="0.3">
      <c r="C5" t="s">
        <v>303</v>
      </c>
      <c r="D5">
        <v>1</v>
      </c>
      <c r="E5" t="s">
        <v>304</v>
      </c>
    </row>
    <row r="6" spans="1:9" ht="12.9" customHeight="1" x14ac:dyDescent="0.3">
      <c r="D6">
        <v>2</v>
      </c>
      <c r="E6" t="s">
        <v>301</v>
      </c>
    </row>
    <row r="7" spans="1:9" ht="12.9" customHeight="1" x14ac:dyDescent="0.3"/>
    <row r="8" spans="1:9" ht="12.9" customHeight="1" x14ac:dyDescent="0.3">
      <c r="B8">
        <v>2</v>
      </c>
      <c r="C8" t="s">
        <v>305</v>
      </c>
      <c r="H8" t="s">
        <v>301</v>
      </c>
      <c r="I8" t="s">
        <v>302</v>
      </c>
    </row>
    <row r="9" spans="1:9" ht="12.9" customHeight="1" x14ac:dyDescent="0.3">
      <c r="C9" t="s">
        <v>306</v>
      </c>
      <c r="D9">
        <v>1</v>
      </c>
      <c r="E9" t="s">
        <v>304</v>
      </c>
    </row>
    <row r="10" spans="1:9" ht="12.9" customHeight="1" x14ac:dyDescent="0.3">
      <c r="D10">
        <v>2</v>
      </c>
      <c r="E10" t="s">
        <v>301</v>
      </c>
    </row>
    <row r="11" spans="1:9" ht="12.9" customHeight="1" x14ac:dyDescent="0.3"/>
    <row r="12" spans="1:9" ht="12.9" customHeight="1" x14ac:dyDescent="0.3">
      <c r="B12">
        <v>3</v>
      </c>
      <c r="C12" t="s">
        <v>307</v>
      </c>
      <c r="H12" t="s">
        <v>301</v>
      </c>
      <c r="I12" t="s">
        <v>308</v>
      </c>
    </row>
    <row r="13" spans="1:9" ht="12.9" customHeight="1" x14ac:dyDescent="0.3">
      <c r="D13">
        <v>1</v>
      </c>
      <c r="E13" t="s">
        <v>304</v>
      </c>
    </row>
    <row r="14" spans="1:9" ht="12.9" customHeight="1" x14ac:dyDescent="0.3">
      <c r="D14">
        <v>2</v>
      </c>
      <c r="E14" t="s">
        <v>301</v>
      </c>
    </row>
    <row r="15" spans="1:9" ht="13.2" customHeight="1" x14ac:dyDescent="0.3"/>
    <row r="16" spans="1:9" ht="13.2" customHeight="1" x14ac:dyDescent="0.3">
      <c r="A16" t="s">
        <v>153</v>
      </c>
    </row>
    <row r="17" spans="2:3" ht="13.2" customHeight="1" x14ac:dyDescent="0.3">
      <c r="B17">
        <v>1</v>
      </c>
      <c r="C17" t="s">
        <v>309</v>
      </c>
    </row>
    <row r="18" spans="2:3" ht="13.2" customHeight="1" x14ac:dyDescent="0.3">
      <c r="C18" t="s">
        <v>310</v>
      </c>
    </row>
    <row r="19" spans="2:3" ht="13.2" customHeight="1" x14ac:dyDescent="0.3">
      <c r="C19" t="s">
        <v>311</v>
      </c>
    </row>
    <row r="20" spans="2:3" ht="13.2" customHeight="1" x14ac:dyDescent="0.3">
      <c r="C20" t="s">
        <v>312</v>
      </c>
    </row>
    <row r="21" spans="2:3" ht="13.2" customHeight="1" x14ac:dyDescent="0.3"/>
    <row r="22" spans="2:3" ht="13.2" customHeight="1" x14ac:dyDescent="0.3">
      <c r="B22">
        <v>2</v>
      </c>
      <c r="C22" t="s">
        <v>313</v>
      </c>
    </row>
    <row r="23" spans="2:3" ht="13.2" customHeight="1" x14ac:dyDescent="0.3">
      <c r="C23" t="s">
        <v>314</v>
      </c>
    </row>
    <row r="24" spans="2:3" ht="13.2" customHeight="1" x14ac:dyDescent="0.3">
      <c r="C24" t="s">
        <v>315</v>
      </c>
    </row>
    <row r="25" spans="2:3" ht="13.2" customHeight="1" x14ac:dyDescent="0.3">
      <c r="C25" t="s">
        <v>316</v>
      </c>
    </row>
    <row r="26" spans="2:3" ht="13.2" customHeight="1" x14ac:dyDescent="0.3">
      <c r="C26" t="s">
        <v>312</v>
      </c>
    </row>
    <row r="27" spans="2:3" ht="13.2" customHeight="1" x14ac:dyDescent="0.3"/>
    <row r="28" spans="2:3" ht="13.2" customHeight="1" x14ac:dyDescent="0.3">
      <c r="B28">
        <v>3</v>
      </c>
      <c r="C28" t="s">
        <v>317</v>
      </c>
    </row>
    <row r="29" spans="2:3" ht="13.2" customHeight="1" x14ac:dyDescent="0.3">
      <c r="C29" t="s">
        <v>318</v>
      </c>
    </row>
    <row r="30" spans="2:3" ht="13.2" customHeight="1" x14ac:dyDescent="0.3">
      <c r="C30" t="s">
        <v>312</v>
      </c>
    </row>
    <row r="31" spans="2:3" ht="13.2" customHeight="1" x14ac:dyDescent="0.3"/>
    <row r="32" spans="2:3" ht="13.2" customHeight="1" x14ac:dyDescent="0.3"/>
    <row r="33" spans="1:5" x14ac:dyDescent="0.3">
      <c r="A33" t="s">
        <v>198</v>
      </c>
    </row>
    <row r="34" spans="1:5" x14ac:dyDescent="0.3">
      <c r="B34">
        <v>1</v>
      </c>
      <c r="C34" t="s">
        <v>319</v>
      </c>
      <c r="D34" s="117">
        <f>(('A Assembly'!W69+'A Assembly'!F69)/2)/60</f>
        <v>7.3013945578231292</v>
      </c>
      <c r="E34" t="s">
        <v>320</v>
      </c>
    </row>
    <row r="35" spans="1:5" x14ac:dyDescent="0.3">
      <c r="B35">
        <v>2</v>
      </c>
      <c r="C35" t="s">
        <v>321</v>
      </c>
      <c r="D35" s="116">
        <f>(('A Picking'!K43+'A Picking'!L43)/2)/60</f>
        <v>4.88795</v>
      </c>
      <c r="E35" t="s">
        <v>320</v>
      </c>
    </row>
    <row r="36" spans="1:5" x14ac:dyDescent="0.3">
      <c r="B36">
        <v>3</v>
      </c>
      <c r="C36" t="s">
        <v>322</v>
      </c>
      <c r="D36">
        <v>4</v>
      </c>
      <c r="E36" t="s">
        <v>323</v>
      </c>
    </row>
    <row r="37" spans="1:5" x14ac:dyDescent="0.3">
      <c r="B37">
        <v>4</v>
      </c>
      <c r="C37" t="s">
        <v>324</v>
      </c>
      <c r="D37">
        <v>3</v>
      </c>
      <c r="E37" t="s">
        <v>325</v>
      </c>
    </row>
    <row r="38" spans="1:5" x14ac:dyDescent="0.3">
      <c r="B38">
        <v>5</v>
      </c>
      <c r="C38" t="s">
        <v>326</v>
      </c>
      <c r="D38">
        <v>2</v>
      </c>
      <c r="E38" t="s">
        <v>327</v>
      </c>
    </row>
    <row r="39" spans="1:5" x14ac:dyDescent="0.3">
      <c r="B39">
        <v>6</v>
      </c>
      <c r="C39" t="s">
        <v>328</v>
      </c>
      <c r="D39" s="22">
        <f>'A Assembly'!P67/100</f>
        <v>0.02</v>
      </c>
    </row>
    <row r="40" spans="1:5" x14ac:dyDescent="0.3">
      <c r="B40">
        <v>7</v>
      </c>
      <c r="C40" t="s">
        <v>329</v>
      </c>
      <c r="D40" s="69">
        <f>'A Assembly'!P64/100</f>
        <v>9.5000000000000001E-2</v>
      </c>
    </row>
    <row r="41" spans="1:5" x14ac:dyDescent="0.3">
      <c r="B41">
        <v>8</v>
      </c>
      <c r="C41" t="s">
        <v>330</v>
      </c>
      <c r="D41" s="23">
        <v>10</v>
      </c>
    </row>
    <row r="42" spans="1:5" x14ac:dyDescent="0.3">
      <c r="D42" s="22"/>
    </row>
    <row r="43" spans="1:5" x14ac:dyDescent="0.3">
      <c r="A43" t="s">
        <v>331</v>
      </c>
    </row>
    <row r="45" spans="1:5" x14ac:dyDescent="0.3">
      <c r="B45" t="s">
        <v>332</v>
      </c>
      <c r="E45" s="20"/>
    </row>
    <row r="46" spans="1:5" x14ac:dyDescent="0.3">
      <c r="C46" t="s">
        <v>333</v>
      </c>
      <c r="D46">
        <v>1</v>
      </c>
      <c r="E46" t="s">
        <v>323</v>
      </c>
    </row>
    <row r="47" spans="1:5" x14ac:dyDescent="0.3">
      <c r="C47" t="s">
        <v>334</v>
      </c>
      <c r="D47">
        <f>D36</f>
        <v>4</v>
      </c>
      <c r="E47" t="s">
        <v>323</v>
      </c>
    </row>
    <row r="49" spans="3:9" x14ac:dyDescent="0.3">
      <c r="C49" t="s">
        <v>335</v>
      </c>
      <c r="D49" s="116">
        <f>D46/(D34/60)</f>
        <v>8.2176082287886469</v>
      </c>
      <c r="E49" t="s">
        <v>336</v>
      </c>
    </row>
    <row r="50" spans="3:9" x14ac:dyDescent="0.3">
      <c r="C50" t="s">
        <v>337</v>
      </c>
      <c r="D50" s="116">
        <f>D49*D47</f>
        <v>32.870432915154588</v>
      </c>
      <c r="E50" t="s">
        <v>338</v>
      </c>
    </row>
    <row r="51" spans="3:9" x14ac:dyDescent="0.3">
      <c r="C51" t="str">
        <f>"TrackRs made by "&amp;D37&amp;" tables Per Shift"</f>
        <v>TrackRs made by 3 tables Per Shift</v>
      </c>
      <c r="D51" s="116">
        <f>D50*D37</f>
        <v>98.611298745463756</v>
      </c>
      <c r="E51" t="s">
        <v>339</v>
      </c>
    </row>
    <row r="52" spans="3:9" x14ac:dyDescent="0.3">
      <c r="C52" t="str">
        <f>"TrackRs per day in "&amp;D38&amp;" shifts"</f>
        <v>TrackRs per day in 2 shifts</v>
      </c>
      <c r="D52" s="116">
        <f>D51*D38</f>
        <v>197.22259749092751</v>
      </c>
      <c r="E52" t="s">
        <v>339</v>
      </c>
    </row>
    <row r="53" spans="3:9" x14ac:dyDescent="0.3">
      <c r="C53" t="s">
        <v>340</v>
      </c>
      <c r="D53" s="71">
        <f>D39+D40+D42</f>
        <v>0.115</v>
      </c>
    </row>
    <row r="54" spans="3:9" x14ac:dyDescent="0.3">
      <c r="C54" t="s">
        <v>341</v>
      </c>
      <c r="D54" s="116">
        <f>D52*(1-D53)</f>
        <v>174.54199877947084</v>
      </c>
      <c r="E54" t="s">
        <v>339</v>
      </c>
    </row>
    <row r="56" spans="3:9" x14ac:dyDescent="0.3">
      <c r="C56" t="s">
        <v>342</v>
      </c>
    </row>
    <row r="57" spans="3:9" x14ac:dyDescent="0.3">
      <c r="C57" t="s">
        <v>343</v>
      </c>
    </row>
    <row r="59" spans="3:9" x14ac:dyDescent="0.3">
      <c r="D59" t="s">
        <v>80</v>
      </c>
      <c r="E59" t="s">
        <v>135</v>
      </c>
      <c r="F59" t="s">
        <v>137</v>
      </c>
    </row>
    <row r="60" spans="3:9" x14ac:dyDescent="0.3">
      <c r="C60" t="s">
        <v>344</v>
      </c>
      <c r="D60" s="17">
        <f>GETPIVOTDATA("WholeSalePrice",WholeSale!$A$8,"ProductCode","Trackr A")</f>
        <v>140</v>
      </c>
      <c r="E60" s="17">
        <f>GETPIVOTDATA("WholeSalePrice",WholeSale!$A$8,"ProductCode","Trackr B")</f>
        <v>115</v>
      </c>
      <c r="F60" s="17">
        <f>GETPIVOTDATA("WholeSalePrice",WholeSale!$A$8,"ProductCode","Trackr C")</f>
        <v>155</v>
      </c>
    </row>
    <row r="61" spans="3:9" x14ac:dyDescent="0.3">
      <c r="C61" t="s">
        <v>345</v>
      </c>
      <c r="D61" s="17">
        <f>Table3[[#Totals],[Max]]</f>
        <v>104.11484999999999</v>
      </c>
      <c r="E61" s="17">
        <f>Table4[[#Totals],[Max]]</f>
        <v>99.914849999999987</v>
      </c>
      <c r="F61" s="17">
        <f>Table5[[#Totals],[Max]]</f>
        <v>109.36484999999999</v>
      </c>
    </row>
    <row r="62" spans="3:9" x14ac:dyDescent="0.3">
      <c r="C62" t="s">
        <v>346</v>
      </c>
      <c r="D62" s="17">
        <f>D41</f>
        <v>10</v>
      </c>
      <c r="E62" s="17">
        <f>D62</f>
        <v>10</v>
      </c>
      <c r="F62" s="17">
        <f>E62</f>
        <v>10</v>
      </c>
      <c r="I62" t="s">
        <v>347</v>
      </c>
    </row>
    <row r="63" spans="3:9" x14ac:dyDescent="0.3">
      <c r="C63" t="s">
        <v>348</v>
      </c>
      <c r="D63" s="116">
        <f>(GETPIVOTDATA("Quantity",DayProdn!$A$8,"ProductCode","Trackr A")+GETPIVOTDATA("Quantity",DayProdn!$D$8,"ProductCode","Trackr A"))/126</f>
        <v>65.785714285714292</v>
      </c>
      <c r="E63" s="116">
        <f>(GETPIVOTDATA("Quantity",DayProdn!$A$8,"ProductCode","Trackr B")+GETPIVOTDATA("Quantity",DayProdn!$D$8,"ProductCode","Trackr B"))/126</f>
        <v>59.452380952380949</v>
      </c>
      <c r="F63" s="116">
        <f>(GETPIVOTDATA("Quantity",DayProdn!$A$8,"ProductCode","Trackr C")+GETPIVOTDATA("Quantity",DayProdn!$D$8,"ProductCode","Trackr C"))/126</f>
        <v>55.182539682539684</v>
      </c>
    </row>
    <row r="64" spans="3:9" x14ac:dyDescent="0.3">
      <c r="C64" t="s">
        <v>349</v>
      </c>
      <c r="D64" s="22">
        <f>D63/SUM($D$63:$F$63)</f>
        <v>0.36462411472308975</v>
      </c>
      <c r="E64" s="22">
        <f>E63/SUM($D$63:$F$63)</f>
        <v>0.32952096071789905</v>
      </c>
      <c r="F64" s="22">
        <f>F63/SUM($D$63:$F$63)</f>
        <v>0.30585492455901109</v>
      </c>
    </row>
    <row r="65" spans="2:12" x14ac:dyDescent="0.3">
      <c r="C65" t="s">
        <v>350</v>
      </c>
      <c r="D65" s="17">
        <f>D60-(D61+D62)</f>
        <v>25.88515000000001</v>
      </c>
      <c r="E65" s="17">
        <f>E60-(E61+E62)</f>
        <v>5.0851500000000129</v>
      </c>
      <c r="F65" s="17">
        <f>F60-(F61+F62)</f>
        <v>35.63515000000001</v>
      </c>
    </row>
    <row r="67" spans="2:12" x14ac:dyDescent="0.3">
      <c r="B67" t="s">
        <v>351</v>
      </c>
    </row>
    <row r="68" spans="2:12" x14ac:dyDescent="0.3">
      <c r="C68" t="s">
        <v>352</v>
      </c>
      <c r="D68" s="17">
        <f>D65*D64*$D54</f>
        <v>1647.3884572888103</v>
      </c>
      <c r="E68" s="17">
        <f t="shared" ref="E68:F68" si="0">E65*E64*$D54</f>
        <v>292.47365890972912</v>
      </c>
      <c r="F68" s="17">
        <f t="shared" si="0"/>
        <v>1902.365729563935</v>
      </c>
    </row>
    <row r="69" spans="2:12" x14ac:dyDescent="0.3">
      <c r="C69" t="s">
        <v>353</v>
      </c>
    </row>
    <row r="71" spans="2:12" x14ac:dyDescent="0.3">
      <c r="C71" t="s">
        <v>354</v>
      </c>
      <c r="D71" s="16">
        <f>D61*(D52-D54)*D64</f>
        <v>861.01869279874154</v>
      </c>
      <c r="E71" s="16">
        <f>E61*(D52-D54)*E64</f>
        <v>746.73687936818294</v>
      </c>
      <c r="F71" s="16">
        <f>F61*(D52-D54)*F64</f>
        <v>758.66099058413283</v>
      </c>
    </row>
    <row r="73" spans="2:12" x14ac:dyDescent="0.3">
      <c r="C73" t="s">
        <v>355</v>
      </c>
      <c r="D73" s="17">
        <f>SUM(D68:F68)-SUM(D71:F71)</f>
        <v>1475.8112830114169</v>
      </c>
      <c r="J73" s="24"/>
      <c r="K73" s="24"/>
      <c r="L73" s="24"/>
    </row>
    <row r="74" spans="2:12" x14ac:dyDescent="0.3">
      <c r="J74" s="24"/>
      <c r="K74" s="24"/>
      <c r="L74" s="24"/>
    </row>
    <row r="75" spans="2:12" x14ac:dyDescent="0.3">
      <c r="B75" t="s">
        <v>356</v>
      </c>
      <c r="D75" t="s">
        <v>357</v>
      </c>
      <c r="F75" t="s">
        <v>358</v>
      </c>
    </row>
    <row r="76" spans="2:12" x14ac:dyDescent="0.3">
      <c r="C76" t="s">
        <v>400</v>
      </c>
      <c r="D76" s="17">
        <f>Employees!C22</f>
        <v>22</v>
      </c>
      <c r="E76" t="s">
        <v>359</v>
      </c>
      <c r="F76">
        <v>0</v>
      </c>
    </row>
    <row r="77" spans="2:12" x14ac:dyDescent="0.3">
      <c r="C77" t="s">
        <v>370</v>
      </c>
      <c r="D77" s="17">
        <f>Employees!C21</f>
        <v>26</v>
      </c>
      <c r="E77" t="s">
        <v>359</v>
      </c>
      <c r="F77">
        <v>18</v>
      </c>
    </row>
    <row r="78" spans="2:12" x14ac:dyDescent="0.3">
      <c r="C78" t="s">
        <v>360</v>
      </c>
      <c r="D78" s="17">
        <f>Employees!C23</f>
        <v>26</v>
      </c>
      <c r="E78" t="s">
        <v>359</v>
      </c>
      <c r="F78">
        <f>VLOOKUP(C78,Employees!$A$5:$B$14,2,FALSE)</f>
        <v>6</v>
      </c>
    </row>
    <row r="80" spans="2:12" x14ac:dyDescent="0.3">
      <c r="C80" t="s">
        <v>361</v>
      </c>
      <c r="D80" s="21">
        <v>0.2</v>
      </c>
    </row>
    <row r="82" spans="2:9" x14ac:dyDescent="0.3">
      <c r="C82" t="s">
        <v>362</v>
      </c>
      <c r="D82" s="17">
        <f>(D76*F76+D77*F77+D78*F78)*D36*(1+D80)</f>
        <v>2995.2</v>
      </c>
    </row>
    <row r="84" spans="2:9" x14ac:dyDescent="0.3">
      <c r="B84" t="s">
        <v>363</v>
      </c>
      <c r="I84" t="s">
        <v>364</v>
      </c>
    </row>
    <row r="85" spans="2:9" ht="28.8" x14ac:dyDescent="0.3">
      <c r="C85" s="25" t="s">
        <v>365</v>
      </c>
      <c r="D85" s="26" t="s">
        <v>366</v>
      </c>
      <c r="E85" s="13" t="s">
        <v>367</v>
      </c>
      <c r="F85" t="s">
        <v>368</v>
      </c>
      <c r="I85" s="27" t="s">
        <v>369</v>
      </c>
    </row>
    <row r="86" spans="2:9" x14ac:dyDescent="0.3">
      <c r="C86" t="s">
        <v>370</v>
      </c>
      <c r="D86" s="15">
        <v>0</v>
      </c>
      <c r="E86" s="13">
        <f>VLOOKUP(C86,Employees!$A$5:$B$14,2,FALSE)</f>
        <v>6</v>
      </c>
      <c r="F86">
        <v>8</v>
      </c>
      <c r="I86" s="16">
        <f t="shared" ref="I86:I93" si="1">D86*E86*F86</f>
        <v>0</v>
      </c>
    </row>
    <row r="87" spans="2:9" x14ac:dyDescent="0.3">
      <c r="C87" t="s">
        <v>371</v>
      </c>
      <c r="D87" s="15">
        <f>VLOOKUP(C87,Employees!$B$21:$C$33,2,FALSE)</f>
        <v>30</v>
      </c>
      <c r="E87" s="13">
        <f>VLOOKUP(C87,Employees!$A$5:$B$14,2,FALSE)</f>
        <v>3</v>
      </c>
      <c r="F87">
        <v>8</v>
      </c>
      <c r="I87" s="16">
        <f t="shared" si="1"/>
        <v>720</v>
      </c>
    </row>
    <row r="88" spans="2:9" x14ac:dyDescent="0.3">
      <c r="C88" t="s">
        <v>372</v>
      </c>
      <c r="D88" s="15">
        <f>VLOOKUP(C88,Employees!$B$21:$C$33,2,FALSE)</f>
        <v>26</v>
      </c>
      <c r="E88" s="13">
        <f>VLOOKUP(C88,Employees!$A$5:$B$14,2,FALSE)</f>
        <v>3</v>
      </c>
      <c r="F88">
        <v>8</v>
      </c>
      <c r="I88" s="16">
        <f t="shared" si="1"/>
        <v>624</v>
      </c>
    </row>
    <row r="89" spans="2:9" x14ac:dyDescent="0.3">
      <c r="C89" t="s">
        <v>373</v>
      </c>
      <c r="D89" s="15">
        <f>VLOOKUP(C89,Employees!$B$21:$C$33,2,FALSE)</f>
        <v>30</v>
      </c>
      <c r="E89" s="13">
        <f>VLOOKUP(C89,Employees!$A$5:$B$14,2,FALSE)</f>
        <v>2</v>
      </c>
      <c r="F89">
        <v>8</v>
      </c>
      <c r="I89" s="16">
        <f t="shared" si="1"/>
        <v>480</v>
      </c>
    </row>
    <row r="90" spans="2:9" x14ac:dyDescent="0.3">
      <c r="C90" t="s">
        <v>374</v>
      </c>
      <c r="D90" s="15">
        <f>VLOOKUP(C90,Employees!$B$21:$C$33,2,FALSE)</f>
        <v>23.08</v>
      </c>
      <c r="E90" s="13">
        <f>VLOOKUP(C90,Employees!$A$5:$B$14,2,FALSE)</f>
        <v>2</v>
      </c>
      <c r="F90">
        <v>8</v>
      </c>
      <c r="I90" s="16">
        <f t="shared" si="1"/>
        <v>369.28</v>
      </c>
    </row>
    <row r="91" spans="2:9" x14ac:dyDescent="0.3">
      <c r="C91" t="s">
        <v>375</v>
      </c>
      <c r="D91" s="15">
        <f>VLOOKUP(C91,Employees!$B$21:$C$33,2,FALSE)</f>
        <v>26</v>
      </c>
      <c r="E91" s="13">
        <f>VLOOKUP(C91,Employees!$A$5:$B$14,2,FALSE)</f>
        <v>2</v>
      </c>
      <c r="F91">
        <v>8</v>
      </c>
      <c r="I91" s="16">
        <f t="shared" si="1"/>
        <v>416</v>
      </c>
    </row>
    <row r="92" spans="2:9" x14ac:dyDescent="0.3">
      <c r="C92" t="s">
        <v>376</v>
      </c>
      <c r="D92" s="15">
        <f>VLOOKUP(C92,Employees!$B$21:$C$33,2,FALSE)</f>
        <v>21.54</v>
      </c>
      <c r="E92" s="13">
        <f>VLOOKUP(C92,Employees!$A$5:$B$14,2,FALSE)</f>
        <v>3</v>
      </c>
      <c r="F92">
        <v>8</v>
      </c>
      <c r="I92" s="16">
        <f t="shared" si="1"/>
        <v>516.96</v>
      </c>
    </row>
    <row r="93" spans="2:9" x14ac:dyDescent="0.3">
      <c r="C93" t="s">
        <v>377</v>
      </c>
      <c r="D93" s="15">
        <f>VLOOKUP(C93,Employees!$B$21:$C$33,2,FALSE)</f>
        <v>30.77</v>
      </c>
      <c r="E93" s="13">
        <f>VLOOKUP(C93,Employees!$A$5:$B$14,2,FALSE)</f>
        <v>1</v>
      </c>
      <c r="F93">
        <v>8</v>
      </c>
      <c r="I93" s="16">
        <f t="shared" si="1"/>
        <v>246.16</v>
      </c>
    </row>
    <row r="94" spans="2:9" x14ac:dyDescent="0.3">
      <c r="I94" s="16">
        <f>SUM(I86:I93)</f>
        <v>3372.3999999999996</v>
      </c>
    </row>
    <row r="95" spans="2:9" x14ac:dyDescent="0.3">
      <c r="C95" t="s">
        <v>378</v>
      </c>
      <c r="D95" s="21">
        <v>0.5</v>
      </c>
    </row>
    <row r="97" spans="2:5" ht="21.15" customHeight="1" x14ac:dyDescent="0.3">
      <c r="C97" t="s">
        <v>379</v>
      </c>
      <c r="D97" s="16">
        <f>D95*I94</f>
        <v>1686.1999999999998</v>
      </c>
    </row>
    <row r="98" spans="2:5" ht="23.4" customHeight="1" x14ac:dyDescent="0.3"/>
    <row r="99" spans="2:5" x14ac:dyDescent="0.3">
      <c r="B99" t="s">
        <v>380</v>
      </c>
    </row>
    <row r="100" spans="2:5" x14ac:dyDescent="0.3">
      <c r="C100" t="s">
        <v>381</v>
      </c>
      <c r="D100" s="17">
        <v>42</v>
      </c>
      <c r="E100" t="s">
        <v>382</v>
      </c>
    </row>
    <row r="101" spans="2:5" x14ac:dyDescent="0.3">
      <c r="C101" t="s">
        <v>383</v>
      </c>
      <c r="D101">
        <v>24</v>
      </c>
      <c r="E101" t="s">
        <v>384</v>
      </c>
    </row>
    <row r="103" spans="2:5" x14ac:dyDescent="0.3">
      <c r="B103" t="s">
        <v>385</v>
      </c>
    </row>
    <row r="104" spans="2:5" x14ac:dyDescent="0.3">
      <c r="C104" t="s">
        <v>386</v>
      </c>
      <c r="D104" s="16">
        <f>D73</f>
        <v>1475.8112830114169</v>
      </c>
    </row>
    <row r="105" spans="2:5" x14ac:dyDescent="0.3">
      <c r="C105" t="s">
        <v>387</v>
      </c>
      <c r="D105" s="16">
        <f>-D82</f>
        <v>-2995.2</v>
      </c>
    </row>
    <row r="106" spans="2:5" x14ac:dyDescent="0.3">
      <c r="C106" t="s">
        <v>388</v>
      </c>
      <c r="D106" s="16">
        <f>-D97</f>
        <v>-1686.1999999999998</v>
      </c>
    </row>
    <row r="107" spans="2:5" x14ac:dyDescent="0.3">
      <c r="C107" t="s">
        <v>380</v>
      </c>
      <c r="D107" s="17">
        <f>-(D100*D101)</f>
        <v>-1008</v>
      </c>
    </row>
    <row r="109" spans="2:5" x14ac:dyDescent="0.3">
      <c r="C109" s="14" t="s">
        <v>389</v>
      </c>
      <c r="D109" s="16">
        <f>SUM(D104:D108)</f>
        <v>-4213.5887169885827</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4B5B-F6D4-4BD8-9E7B-1A445BC1EC53}">
  <dimension ref="A1:L37"/>
  <sheetViews>
    <sheetView workbookViewId="0">
      <selection activeCell="A5" sqref="A5"/>
    </sheetView>
  </sheetViews>
  <sheetFormatPr defaultRowHeight="14.4" x14ac:dyDescent="0.3"/>
  <cols>
    <col min="1" max="1" width="26.109375" bestFit="1" customWidth="1"/>
    <col min="2" max="2" width="28.5546875" customWidth="1"/>
    <col min="4" max="4" width="43" bestFit="1" customWidth="1"/>
    <col min="6" max="6" width="26.109375" bestFit="1" customWidth="1"/>
  </cols>
  <sheetData>
    <row r="1" spans="1:12" s="50" customFormat="1" x14ac:dyDescent="0.3">
      <c r="A1" s="50" t="s">
        <v>390</v>
      </c>
      <c r="C1"/>
      <c r="D1"/>
      <c r="E1"/>
      <c r="F1" s="51" t="s">
        <v>365</v>
      </c>
      <c r="G1" s="51" t="s">
        <v>391</v>
      </c>
      <c r="H1" s="52" t="s">
        <v>392</v>
      </c>
      <c r="I1" s="52" t="s">
        <v>393</v>
      </c>
      <c r="J1" s="51" t="s">
        <v>394</v>
      </c>
      <c r="K1" s="51" t="s">
        <v>395</v>
      </c>
      <c r="L1" s="51"/>
    </row>
    <row r="2" spans="1:12" x14ac:dyDescent="0.3">
      <c r="F2" s="3" t="s">
        <v>370</v>
      </c>
      <c r="G2" s="3">
        <v>616</v>
      </c>
      <c r="H2" s="3">
        <v>33</v>
      </c>
      <c r="I2" s="3">
        <v>1</v>
      </c>
      <c r="J2" s="3">
        <v>3</v>
      </c>
      <c r="K2" s="3"/>
      <c r="L2" s="3">
        <v>3</v>
      </c>
    </row>
    <row r="3" spans="1:12" x14ac:dyDescent="0.3">
      <c r="A3" s="51" t="s">
        <v>396</v>
      </c>
      <c r="B3" s="51" t="s">
        <v>397</v>
      </c>
      <c r="C3" s="51" t="s">
        <v>29</v>
      </c>
      <c r="D3" s="51" t="s">
        <v>398</v>
      </c>
      <c r="F3" s="3" t="s">
        <v>370</v>
      </c>
      <c r="G3" s="3">
        <v>629</v>
      </c>
      <c r="H3" s="3">
        <v>53</v>
      </c>
      <c r="I3" s="3">
        <v>1</v>
      </c>
      <c r="J3" s="3">
        <v>6</v>
      </c>
      <c r="K3" s="3"/>
      <c r="L3" s="3">
        <v>6</v>
      </c>
    </row>
    <row r="4" spans="1:12" x14ac:dyDescent="0.3">
      <c r="A4" s="3"/>
      <c r="B4" s="3"/>
      <c r="C4" s="3"/>
      <c r="D4" s="3"/>
      <c r="F4" s="3" t="s">
        <v>370</v>
      </c>
      <c r="G4" s="3">
        <v>608</v>
      </c>
      <c r="H4" s="3">
        <v>26</v>
      </c>
      <c r="I4" s="3">
        <v>1</v>
      </c>
      <c r="J4" s="3">
        <v>4</v>
      </c>
      <c r="K4" s="3"/>
      <c r="L4" s="3">
        <v>4</v>
      </c>
    </row>
    <row r="5" spans="1:12" x14ac:dyDescent="0.3">
      <c r="A5" s="3" t="s">
        <v>370</v>
      </c>
      <c r="B5" s="3">
        <v>6</v>
      </c>
      <c r="C5" s="3">
        <v>1</v>
      </c>
      <c r="D5" s="3" t="s">
        <v>399</v>
      </c>
      <c r="F5" s="3" t="s">
        <v>370</v>
      </c>
      <c r="G5" s="3">
        <v>617</v>
      </c>
      <c r="H5" s="3">
        <v>39</v>
      </c>
      <c r="I5" s="3">
        <v>2</v>
      </c>
      <c r="J5" s="3">
        <v>4</v>
      </c>
      <c r="K5" s="3"/>
      <c r="L5" s="3">
        <v>4</v>
      </c>
    </row>
    <row r="6" spans="1:12" x14ac:dyDescent="0.3">
      <c r="A6" s="3" t="s">
        <v>400</v>
      </c>
      <c r="B6" s="3">
        <v>12</v>
      </c>
      <c r="C6" s="3">
        <v>2</v>
      </c>
      <c r="D6" s="3" t="s">
        <v>401</v>
      </c>
      <c r="F6" s="3" t="s">
        <v>370</v>
      </c>
      <c r="G6" s="3">
        <v>609</v>
      </c>
      <c r="H6" s="3">
        <v>32</v>
      </c>
      <c r="I6" s="3">
        <v>2</v>
      </c>
      <c r="J6" s="3">
        <v>3</v>
      </c>
      <c r="K6" s="3"/>
      <c r="L6" s="3">
        <v>3</v>
      </c>
    </row>
    <row r="7" spans="1:12" x14ac:dyDescent="0.3">
      <c r="A7" s="3" t="s">
        <v>360</v>
      </c>
      <c r="B7" s="3">
        <v>6</v>
      </c>
      <c r="C7" s="3">
        <v>3</v>
      </c>
      <c r="D7" s="3" t="s">
        <v>403</v>
      </c>
      <c r="F7" s="3" t="s">
        <v>370</v>
      </c>
      <c r="G7" s="3">
        <v>610</v>
      </c>
      <c r="H7" s="3">
        <v>49</v>
      </c>
      <c r="I7" s="3">
        <v>2</v>
      </c>
      <c r="J7" s="3">
        <v>6</v>
      </c>
      <c r="K7" s="3"/>
      <c r="L7" s="3">
        <v>6</v>
      </c>
    </row>
    <row r="8" spans="1:12" x14ac:dyDescent="0.3">
      <c r="A8" s="3" t="s">
        <v>371</v>
      </c>
      <c r="B8" s="3">
        <v>3</v>
      </c>
      <c r="C8" s="3">
        <v>4</v>
      </c>
      <c r="D8" s="3" t="s">
        <v>404</v>
      </c>
      <c r="F8" s="3" t="s">
        <v>400</v>
      </c>
      <c r="G8" s="3">
        <v>623</v>
      </c>
      <c r="H8" s="3">
        <v>54</v>
      </c>
      <c r="I8" s="3">
        <v>1</v>
      </c>
      <c r="J8" s="3">
        <v>5</v>
      </c>
      <c r="K8" s="3"/>
      <c r="L8" s="3">
        <v>5</v>
      </c>
    </row>
    <row r="9" spans="1:12" x14ac:dyDescent="0.3">
      <c r="A9" s="3" t="s">
        <v>372</v>
      </c>
      <c r="B9" s="3">
        <v>3</v>
      </c>
      <c r="C9" s="3">
        <v>5</v>
      </c>
      <c r="D9" s="3" t="s">
        <v>405</v>
      </c>
      <c r="F9" s="3" t="s">
        <v>400</v>
      </c>
      <c r="G9" s="3">
        <v>635</v>
      </c>
      <c r="H9" s="3">
        <v>32</v>
      </c>
      <c r="I9" s="3">
        <v>1</v>
      </c>
      <c r="J9" s="3">
        <v>3</v>
      </c>
      <c r="K9" s="3"/>
      <c r="L9" s="3">
        <v>3</v>
      </c>
    </row>
    <row r="10" spans="1:12" x14ac:dyDescent="0.3">
      <c r="A10" s="3" t="s">
        <v>376</v>
      </c>
      <c r="B10" s="3">
        <v>3</v>
      </c>
      <c r="C10" s="3">
        <v>6</v>
      </c>
      <c r="D10" s="3" t="s">
        <v>406</v>
      </c>
      <c r="F10" s="3" t="s">
        <v>400</v>
      </c>
      <c r="G10" s="3">
        <v>624</v>
      </c>
      <c r="H10" s="3">
        <v>35</v>
      </c>
      <c r="I10" s="3">
        <v>1</v>
      </c>
      <c r="J10" s="3">
        <v>4</v>
      </c>
      <c r="K10" s="3"/>
      <c r="L10" s="3">
        <v>4</v>
      </c>
    </row>
    <row r="11" spans="1:12" x14ac:dyDescent="0.3">
      <c r="A11" t="s">
        <v>377</v>
      </c>
      <c r="B11" s="3">
        <v>1</v>
      </c>
      <c r="C11" s="3"/>
      <c r="D11" s="3"/>
      <c r="F11" s="3" t="s">
        <v>400</v>
      </c>
      <c r="G11" s="3">
        <v>613</v>
      </c>
      <c r="H11" s="3">
        <v>44</v>
      </c>
      <c r="I11" s="3">
        <v>1</v>
      </c>
      <c r="J11" s="3">
        <v>3</v>
      </c>
      <c r="K11" s="3"/>
      <c r="L11" s="3">
        <v>3</v>
      </c>
    </row>
    <row r="12" spans="1:12" x14ac:dyDescent="0.3">
      <c r="A12" s="3" t="s">
        <v>373</v>
      </c>
      <c r="B12" s="3">
        <v>2</v>
      </c>
      <c r="C12" s="3"/>
      <c r="D12" s="3"/>
      <c r="F12" s="3" t="s">
        <v>400</v>
      </c>
      <c r="G12" s="3">
        <v>636</v>
      </c>
      <c r="H12" s="3">
        <v>31</v>
      </c>
      <c r="I12" s="3">
        <v>1</v>
      </c>
      <c r="J12" s="3">
        <v>4</v>
      </c>
      <c r="K12" s="3"/>
      <c r="L12" s="3">
        <v>4</v>
      </c>
    </row>
    <row r="13" spans="1:12" x14ac:dyDescent="0.3">
      <c r="A13" s="3" t="s">
        <v>374</v>
      </c>
      <c r="B13" s="3">
        <v>2</v>
      </c>
      <c r="C13" s="3"/>
      <c r="D13" s="3"/>
      <c r="F13" s="3" t="s">
        <v>400</v>
      </c>
      <c r="G13" s="3">
        <v>614</v>
      </c>
      <c r="H13" s="3">
        <v>52</v>
      </c>
      <c r="I13" s="3">
        <v>1</v>
      </c>
      <c r="J13" s="3">
        <v>2</v>
      </c>
      <c r="K13" s="3"/>
      <c r="L13" s="3">
        <v>2</v>
      </c>
    </row>
    <row r="14" spans="1:12" x14ac:dyDescent="0.3">
      <c r="A14" s="3" t="s">
        <v>375</v>
      </c>
      <c r="B14" s="3">
        <v>2</v>
      </c>
      <c r="C14" s="3"/>
      <c r="D14" s="3"/>
      <c r="F14" s="3" t="s">
        <v>400</v>
      </c>
      <c r="G14" s="3">
        <v>637</v>
      </c>
      <c r="H14" s="3">
        <v>42</v>
      </c>
      <c r="I14" s="3">
        <v>2</v>
      </c>
      <c r="J14" s="3">
        <v>4</v>
      </c>
      <c r="K14" s="3"/>
      <c r="L14" s="3">
        <v>4</v>
      </c>
    </row>
    <row r="15" spans="1:12" x14ac:dyDescent="0.3">
      <c r="A15" s="3"/>
      <c r="B15" s="3"/>
      <c r="C15" s="3"/>
      <c r="D15" s="3"/>
      <c r="F15" s="3" t="s">
        <v>400</v>
      </c>
      <c r="G15" s="3">
        <v>622</v>
      </c>
      <c r="H15" s="3">
        <v>46</v>
      </c>
      <c r="I15" s="3">
        <v>2</v>
      </c>
      <c r="J15" s="3">
        <v>5</v>
      </c>
      <c r="K15" s="3"/>
      <c r="L15" s="3">
        <v>5</v>
      </c>
    </row>
    <row r="16" spans="1:12" x14ac:dyDescent="0.3">
      <c r="A16" s="3"/>
      <c r="B16" s="3">
        <f>SUM(B5:B15)</f>
        <v>40</v>
      </c>
      <c r="C16" s="3"/>
      <c r="D16" s="3"/>
      <c r="F16" s="3" t="s">
        <v>400</v>
      </c>
      <c r="G16" s="3">
        <v>634</v>
      </c>
      <c r="H16" s="3">
        <v>35</v>
      </c>
      <c r="I16" s="3">
        <v>2</v>
      </c>
      <c r="J16" s="3">
        <v>3</v>
      </c>
      <c r="K16" s="3"/>
      <c r="L16" s="3">
        <v>3</v>
      </c>
    </row>
    <row r="17" spans="1:12" x14ac:dyDescent="0.3">
      <c r="F17" s="3" t="s">
        <v>400</v>
      </c>
      <c r="G17" s="3">
        <v>615</v>
      </c>
      <c r="H17" s="3">
        <v>41</v>
      </c>
      <c r="I17" s="3">
        <v>2</v>
      </c>
      <c r="J17" s="3">
        <v>6</v>
      </c>
      <c r="K17" s="3"/>
      <c r="L17" s="3">
        <v>6</v>
      </c>
    </row>
    <row r="18" spans="1:12" x14ac:dyDescent="0.3">
      <c r="A18" s="51" t="s">
        <v>407</v>
      </c>
      <c r="B18" s="51"/>
      <c r="F18" s="3" t="s">
        <v>400</v>
      </c>
      <c r="G18" s="3">
        <v>633</v>
      </c>
      <c r="H18" s="3">
        <v>25</v>
      </c>
      <c r="I18" s="3">
        <v>2</v>
      </c>
      <c r="J18" s="3">
        <v>3</v>
      </c>
      <c r="K18" s="3"/>
      <c r="L18" s="3">
        <v>3</v>
      </c>
    </row>
    <row r="19" spans="1:12" x14ac:dyDescent="0.3">
      <c r="F19" s="3" t="s">
        <v>400</v>
      </c>
      <c r="G19" s="3">
        <v>639</v>
      </c>
      <c r="H19" s="3">
        <v>31</v>
      </c>
      <c r="I19" s="3">
        <v>2</v>
      </c>
      <c r="J19" s="3">
        <v>4</v>
      </c>
      <c r="K19" s="3"/>
      <c r="L19" s="3">
        <v>4</v>
      </c>
    </row>
    <row r="20" spans="1:12" x14ac:dyDescent="0.3">
      <c r="A20" s="51" t="s">
        <v>408</v>
      </c>
      <c r="B20" s="51" t="s">
        <v>365</v>
      </c>
      <c r="C20" s="51" t="s">
        <v>409</v>
      </c>
      <c r="D20" s="51" t="s">
        <v>410</v>
      </c>
      <c r="F20" s="3" t="s">
        <v>402</v>
      </c>
      <c r="G20" s="3">
        <v>638</v>
      </c>
      <c r="H20" s="3">
        <v>43</v>
      </c>
      <c r="I20" s="3">
        <v>1</v>
      </c>
      <c r="J20" s="3">
        <v>2</v>
      </c>
      <c r="K20" s="3"/>
      <c r="L20" s="3">
        <v>2</v>
      </c>
    </row>
    <row r="21" spans="1:12" x14ac:dyDescent="0.3">
      <c r="A21" s="3" t="s">
        <v>339</v>
      </c>
      <c r="B21" s="3" t="s">
        <v>370</v>
      </c>
      <c r="C21" s="3">
        <v>26</v>
      </c>
      <c r="D21" s="3" t="s">
        <v>359</v>
      </c>
      <c r="F21" s="3" t="s">
        <v>402</v>
      </c>
      <c r="G21" s="3">
        <v>607</v>
      </c>
      <c r="H21" s="3">
        <v>43</v>
      </c>
      <c r="I21" s="3">
        <v>1</v>
      </c>
      <c r="J21" s="3">
        <v>1</v>
      </c>
      <c r="K21" s="3"/>
      <c r="L21" s="3">
        <v>1</v>
      </c>
    </row>
    <row r="22" spans="1:12" x14ac:dyDescent="0.3">
      <c r="A22" s="3" t="s">
        <v>339</v>
      </c>
      <c r="B22" s="3" t="s">
        <v>400</v>
      </c>
      <c r="C22" s="3">
        <v>22</v>
      </c>
      <c r="D22" s="3" t="s">
        <v>359</v>
      </c>
      <c r="F22" s="3" t="s">
        <v>402</v>
      </c>
      <c r="G22" s="3">
        <v>631</v>
      </c>
      <c r="H22" s="3">
        <v>38</v>
      </c>
      <c r="I22" s="3">
        <v>1</v>
      </c>
      <c r="J22" s="3">
        <v>2</v>
      </c>
      <c r="K22" s="3"/>
      <c r="L22" s="3">
        <v>2</v>
      </c>
    </row>
    <row r="23" spans="1:12" x14ac:dyDescent="0.3">
      <c r="A23" s="3" t="s">
        <v>339</v>
      </c>
      <c r="B23" s="3" t="s">
        <v>402</v>
      </c>
      <c r="C23" s="3">
        <v>26</v>
      </c>
      <c r="D23" s="3" t="s">
        <v>359</v>
      </c>
      <c r="F23" s="3" t="s">
        <v>402</v>
      </c>
      <c r="G23" s="3">
        <v>618</v>
      </c>
      <c r="H23" s="3">
        <v>42</v>
      </c>
      <c r="I23" s="3">
        <v>2</v>
      </c>
      <c r="J23" s="3">
        <v>5</v>
      </c>
      <c r="K23" s="3"/>
      <c r="L23" s="3">
        <v>5</v>
      </c>
    </row>
    <row r="24" spans="1:12" x14ac:dyDescent="0.3">
      <c r="A24" s="3" t="s">
        <v>339</v>
      </c>
      <c r="B24" s="3" t="s">
        <v>371</v>
      </c>
      <c r="C24" s="3">
        <v>30</v>
      </c>
      <c r="D24" s="3" t="s">
        <v>359</v>
      </c>
      <c r="F24" s="3" t="s">
        <v>402</v>
      </c>
      <c r="G24" s="3">
        <v>606</v>
      </c>
      <c r="H24" s="3">
        <v>41</v>
      </c>
      <c r="I24" s="3">
        <v>2</v>
      </c>
      <c r="J24" s="3">
        <v>4</v>
      </c>
      <c r="K24" s="3"/>
      <c r="L24" s="3">
        <v>4</v>
      </c>
    </row>
    <row r="25" spans="1:12" x14ac:dyDescent="0.3">
      <c r="A25" s="3" t="s">
        <v>339</v>
      </c>
      <c r="B25" s="3" t="s">
        <v>372</v>
      </c>
      <c r="C25" s="3">
        <v>26</v>
      </c>
      <c r="D25" s="3" t="s">
        <v>359</v>
      </c>
      <c r="F25" s="3" t="s">
        <v>402</v>
      </c>
      <c r="G25" s="3">
        <v>630</v>
      </c>
      <c r="H25" s="3">
        <v>29</v>
      </c>
      <c r="I25" s="3">
        <v>2</v>
      </c>
      <c r="J25" s="3">
        <v>1</v>
      </c>
      <c r="K25" s="3"/>
      <c r="L25" s="3">
        <v>1</v>
      </c>
    </row>
    <row r="26" spans="1:12" x14ac:dyDescent="0.3">
      <c r="A26" s="3" t="s">
        <v>411</v>
      </c>
      <c r="B26" s="3" t="s">
        <v>373</v>
      </c>
      <c r="C26" s="3">
        <v>30</v>
      </c>
      <c r="D26" s="3" t="s">
        <v>359</v>
      </c>
      <c r="F26" s="3" t="s">
        <v>371</v>
      </c>
      <c r="G26" s="3">
        <v>611</v>
      </c>
      <c r="H26" s="3">
        <v>42</v>
      </c>
      <c r="I26" s="3">
        <v>1</v>
      </c>
      <c r="J26" s="3">
        <v>4</v>
      </c>
      <c r="K26" s="3"/>
      <c r="L26" s="3">
        <v>4</v>
      </c>
    </row>
    <row r="27" spans="1:12" x14ac:dyDescent="0.3">
      <c r="A27" s="3"/>
      <c r="B27" s="3"/>
      <c r="C27" s="3"/>
      <c r="D27" s="3"/>
      <c r="F27" s="3" t="s">
        <v>371</v>
      </c>
      <c r="G27" s="3">
        <v>605</v>
      </c>
      <c r="H27" s="3">
        <v>38</v>
      </c>
      <c r="I27" s="3">
        <v>2</v>
      </c>
      <c r="J27" s="3">
        <v>5</v>
      </c>
      <c r="K27" s="3"/>
      <c r="L27" s="3">
        <v>5</v>
      </c>
    </row>
    <row r="28" spans="1:12" x14ac:dyDescent="0.3">
      <c r="A28" s="3" t="s">
        <v>411</v>
      </c>
      <c r="B28" s="3" t="s">
        <v>374</v>
      </c>
      <c r="C28" s="3">
        <v>23.08</v>
      </c>
      <c r="D28" s="3" t="s">
        <v>359</v>
      </c>
      <c r="F28" s="3" t="s">
        <v>371</v>
      </c>
      <c r="G28" s="3">
        <v>632</v>
      </c>
      <c r="H28" s="3">
        <v>28</v>
      </c>
      <c r="I28" s="3" t="s">
        <v>412</v>
      </c>
      <c r="J28" s="3">
        <v>2</v>
      </c>
      <c r="K28" s="3"/>
      <c r="L28" s="3">
        <v>2</v>
      </c>
    </row>
    <row r="29" spans="1:12" x14ac:dyDescent="0.3">
      <c r="A29" s="3" t="s">
        <v>411</v>
      </c>
      <c r="B29" s="3" t="s">
        <v>375</v>
      </c>
      <c r="C29" s="3">
        <v>26</v>
      </c>
      <c r="D29" s="3" t="s">
        <v>359</v>
      </c>
      <c r="F29" s="3" t="s">
        <v>413</v>
      </c>
      <c r="G29" s="3">
        <v>626</v>
      </c>
      <c r="H29" s="3">
        <v>41</v>
      </c>
      <c r="I29" s="3">
        <v>1</v>
      </c>
      <c r="J29" s="3">
        <v>3</v>
      </c>
      <c r="K29" s="3"/>
      <c r="L29" s="3">
        <v>3</v>
      </c>
    </row>
    <row r="30" spans="1:12" x14ac:dyDescent="0.3">
      <c r="A30" s="3"/>
      <c r="B30" s="3"/>
      <c r="C30" s="3"/>
      <c r="D30" s="3"/>
      <c r="F30" s="3" t="s">
        <v>413</v>
      </c>
      <c r="G30" s="3">
        <v>620</v>
      </c>
      <c r="H30" s="3">
        <v>38</v>
      </c>
      <c r="I30" s="3">
        <v>2</v>
      </c>
      <c r="J30" s="3">
        <v>2</v>
      </c>
      <c r="K30" s="3"/>
      <c r="L30" s="3">
        <v>2</v>
      </c>
    </row>
    <row r="31" spans="1:12" x14ac:dyDescent="0.3">
      <c r="A31" s="3" t="s">
        <v>411</v>
      </c>
      <c r="B31" s="3" t="s">
        <v>376</v>
      </c>
      <c r="C31" s="3">
        <v>21.54</v>
      </c>
      <c r="D31" s="3" t="s">
        <v>359</v>
      </c>
      <c r="F31" s="3" t="s">
        <v>413</v>
      </c>
      <c r="G31" s="3">
        <v>612</v>
      </c>
      <c r="H31" s="3">
        <v>32</v>
      </c>
      <c r="I31" s="3" t="s">
        <v>412</v>
      </c>
      <c r="J31" s="3">
        <v>4</v>
      </c>
      <c r="K31" s="3"/>
      <c r="L31" s="3">
        <v>4</v>
      </c>
    </row>
    <row r="32" spans="1:12" x14ac:dyDescent="0.3">
      <c r="A32" s="3"/>
      <c r="B32" s="3"/>
      <c r="C32" s="3"/>
      <c r="D32" s="3"/>
      <c r="F32" s="3" t="s">
        <v>373</v>
      </c>
      <c r="G32" s="3">
        <v>601</v>
      </c>
      <c r="H32" s="3">
        <v>25</v>
      </c>
      <c r="I32" s="3" t="s">
        <v>414</v>
      </c>
      <c r="J32" s="3">
        <v>4</v>
      </c>
      <c r="K32" s="3"/>
      <c r="L32" s="3">
        <v>4</v>
      </c>
    </row>
    <row r="33" spans="1:12" x14ac:dyDescent="0.3">
      <c r="A33" s="3" t="s">
        <v>411</v>
      </c>
      <c r="B33" s="3" t="s">
        <v>377</v>
      </c>
      <c r="C33" s="3">
        <v>30.77</v>
      </c>
      <c r="D33" s="3" t="s">
        <v>359</v>
      </c>
      <c r="F33" s="3" t="s">
        <v>373</v>
      </c>
      <c r="G33" s="3">
        <v>602</v>
      </c>
      <c r="H33" s="3">
        <v>33</v>
      </c>
      <c r="I33" s="3" t="s">
        <v>414</v>
      </c>
      <c r="J33" s="3">
        <v>2</v>
      </c>
      <c r="K33" s="3"/>
      <c r="L33" s="3">
        <v>2</v>
      </c>
    </row>
    <row r="34" spans="1:12" x14ac:dyDescent="0.3">
      <c r="F34" s="3" t="s">
        <v>374</v>
      </c>
      <c r="G34" s="3">
        <v>604</v>
      </c>
      <c r="H34" s="3">
        <v>33</v>
      </c>
      <c r="I34" s="3" t="s">
        <v>414</v>
      </c>
      <c r="J34" s="3">
        <v>3</v>
      </c>
      <c r="K34" s="3"/>
      <c r="L34" s="3">
        <v>3</v>
      </c>
    </row>
    <row r="35" spans="1:12" x14ac:dyDescent="0.3">
      <c r="F35" s="3" t="s">
        <v>374</v>
      </c>
      <c r="G35" s="3">
        <v>619</v>
      </c>
      <c r="H35" s="3">
        <v>34</v>
      </c>
      <c r="I35" s="3" t="s">
        <v>414</v>
      </c>
      <c r="J35" s="3">
        <v>3</v>
      </c>
      <c r="K35" s="3"/>
      <c r="L35" s="3">
        <v>3</v>
      </c>
    </row>
    <row r="36" spans="1:12" x14ac:dyDescent="0.3">
      <c r="F36" s="3" t="s">
        <v>375</v>
      </c>
      <c r="G36" s="3">
        <v>627</v>
      </c>
      <c r="H36" s="3">
        <v>32</v>
      </c>
      <c r="I36" s="3" t="s">
        <v>414</v>
      </c>
      <c r="J36" s="3">
        <v>2</v>
      </c>
      <c r="K36" s="3"/>
      <c r="L36" s="3">
        <v>2</v>
      </c>
    </row>
    <row r="37" spans="1:12" x14ac:dyDescent="0.3">
      <c r="F37" s="3" t="s">
        <v>375</v>
      </c>
      <c r="G37" s="3">
        <v>603</v>
      </c>
      <c r="H37" s="3">
        <v>54</v>
      </c>
      <c r="I37" s="3" t="s">
        <v>414</v>
      </c>
      <c r="J37" s="3">
        <v>5</v>
      </c>
      <c r="K37" s="3"/>
      <c r="L37" s="3">
        <v>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A1C58-7743-4B6E-97C2-1FB8702017C7}">
  <dimension ref="A1:O141"/>
  <sheetViews>
    <sheetView topLeftCell="A120" zoomScaleNormal="100" workbookViewId="0">
      <selection activeCell="C139" sqref="C139:M141"/>
    </sheetView>
  </sheetViews>
  <sheetFormatPr defaultRowHeight="14.4" x14ac:dyDescent="0.3"/>
  <cols>
    <col min="1" max="1" width="4.33203125" customWidth="1"/>
    <col min="4" max="4" width="9.109375" bestFit="1" customWidth="1"/>
    <col min="7" max="7" width="2" customWidth="1"/>
    <col min="11" max="11" width="1.88671875" customWidth="1"/>
  </cols>
  <sheetData>
    <row r="1" spans="1:15" x14ac:dyDescent="0.3">
      <c r="A1" s="3" t="s">
        <v>54</v>
      </c>
      <c r="O1" t="s">
        <v>415</v>
      </c>
    </row>
    <row r="3" spans="1:15" x14ac:dyDescent="0.3">
      <c r="A3" t="s">
        <v>140</v>
      </c>
      <c r="C3" t="s">
        <v>141</v>
      </c>
      <c r="H3" s="14" t="s">
        <v>142</v>
      </c>
      <c r="I3" t="s">
        <v>84</v>
      </c>
      <c r="L3" t="s">
        <v>143</v>
      </c>
      <c r="M3" t="s">
        <v>144</v>
      </c>
    </row>
    <row r="4" spans="1:15" x14ac:dyDescent="0.3">
      <c r="B4">
        <v>1</v>
      </c>
      <c r="C4" t="s">
        <v>416</v>
      </c>
      <c r="L4">
        <v>5</v>
      </c>
      <c r="M4" t="s">
        <v>417</v>
      </c>
    </row>
    <row r="5" spans="1:15" x14ac:dyDescent="0.3">
      <c r="H5">
        <v>1</v>
      </c>
      <c r="I5">
        <v>5</v>
      </c>
      <c r="J5" t="s">
        <v>417</v>
      </c>
    </row>
    <row r="6" spans="1:15" x14ac:dyDescent="0.3">
      <c r="H6">
        <v>2</v>
      </c>
      <c r="I6" t="s">
        <v>418</v>
      </c>
    </row>
    <row r="8" spans="1:15" x14ac:dyDescent="0.3">
      <c r="B8">
        <v>2</v>
      </c>
      <c r="C8" t="s">
        <v>419</v>
      </c>
      <c r="L8" t="str">
        <f>I11</f>
        <v>less than assembly time</v>
      </c>
    </row>
    <row r="9" spans="1:15" x14ac:dyDescent="0.3">
      <c r="H9">
        <v>1</v>
      </c>
      <c r="I9">
        <v>5</v>
      </c>
      <c r="J9" t="s">
        <v>417</v>
      </c>
    </row>
    <row r="10" spans="1:15" x14ac:dyDescent="0.3">
      <c r="H10">
        <v>2</v>
      </c>
      <c r="I10" t="s">
        <v>418</v>
      </c>
    </row>
    <row r="11" spans="1:15" x14ac:dyDescent="0.3">
      <c r="H11">
        <v>3</v>
      </c>
      <c r="I11" t="s">
        <v>420</v>
      </c>
    </row>
    <row r="13" spans="1:15" x14ac:dyDescent="0.3">
      <c r="B13">
        <v>3</v>
      </c>
      <c r="C13" t="s">
        <v>421</v>
      </c>
      <c r="L13" t="s">
        <v>422</v>
      </c>
    </row>
    <row r="14" spans="1:15" x14ac:dyDescent="0.3">
      <c r="H14">
        <v>1</v>
      </c>
      <c r="I14" t="s">
        <v>304</v>
      </c>
    </row>
    <row r="15" spans="1:15" x14ac:dyDescent="0.3">
      <c r="H15">
        <v>2</v>
      </c>
      <c r="I15" t="s">
        <v>301</v>
      </c>
    </row>
    <row r="17" spans="1:14" x14ac:dyDescent="0.3">
      <c r="A17" t="s">
        <v>153</v>
      </c>
    </row>
    <row r="18" spans="1:14" x14ac:dyDescent="0.3">
      <c r="B18">
        <v>1</v>
      </c>
      <c r="C18" t="s">
        <v>423</v>
      </c>
    </row>
    <row r="19" spans="1:14" x14ac:dyDescent="0.3">
      <c r="B19">
        <v>2</v>
      </c>
      <c r="C19" t="s">
        <v>424</v>
      </c>
    </row>
    <row r="20" spans="1:14" x14ac:dyDescent="0.3">
      <c r="B20">
        <v>3</v>
      </c>
      <c r="C20" t="s">
        <v>425</v>
      </c>
    </row>
    <row r="21" spans="1:14" x14ac:dyDescent="0.3">
      <c r="D21" t="s">
        <v>426</v>
      </c>
    </row>
    <row r="23" spans="1:14" x14ac:dyDescent="0.3">
      <c r="A23" t="s">
        <v>198</v>
      </c>
    </row>
    <row r="24" spans="1:14" x14ac:dyDescent="0.3">
      <c r="B24">
        <v>1</v>
      </c>
      <c r="C24" t="s">
        <v>427</v>
      </c>
      <c r="H24">
        <v>5</v>
      </c>
      <c r="I24" t="s">
        <v>417</v>
      </c>
    </row>
    <row r="27" spans="1:14" x14ac:dyDescent="0.3">
      <c r="B27" t="s">
        <v>428</v>
      </c>
      <c r="C27">
        <v>1</v>
      </c>
      <c r="H27">
        <v>2</v>
      </c>
      <c r="L27">
        <v>3</v>
      </c>
    </row>
    <row r="28" spans="1:14" x14ac:dyDescent="0.3">
      <c r="B28" t="s">
        <v>429</v>
      </c>
      <c r="C28" t="s">
        <v>430</v>
      </c>
      <c r="D28" t="s">
        <v>431</v>
      </c>
      <c r="E28" t="s">
        <v>432</v>
      </c>
      <c r="F28" t="s">
        <v>433</v>
      </c>
      <c r="H28" t="s">
        <v>431</v>
      </c>
      <c r="I28" t="s">
        <v>432</v>
      </c>
      <c r="J28" t="s">
        <v>433</v>
      </c>
      <c r="L28" t="s">
        <v>431</v>
      </c>
      <c r="M28" t="s">
        <v>432</v>
      </c>
      <c r="N28" t="s">
        <v>433</v>
      </c>
    </row>
    <row r="29" spans="1:14" x14ac:dyDescent="0.3">
      <c r="B29" s="89">
        <v>1</v>
      </c>
      <c r="C29" s="89">
        <v>0</v>
      </c>
      <c r="D29" s="89" t="s">
        <v>34</v>
      </c>
      <c r="E29" s="89" t="s">
        <v>36</v>
      </c>
      <c r="F29" s="89" t="s">
        <v>39</v>
      </c>
      <c r="G29" s="89"/>
      <c r="H29" s="89" t="s">
        <v>42</v>
      </c>
      <c r="I29" s="89" t="s">
        <v>46</v>
      </c>
      <c r="J29" s="89" t="s">
        <v>49</v>
      </c>
      <c r="K29" s="89"/>
      <c r="L29" s="89" t="s">
        <v>52</v>
      </c>
      <c r="M29" s="89" t="s">
        <v>56</v>
      </c>
      <c r="N29" s="89" t="s">
        <v>434</v>
      </c>
    </row>
    <row r="30" spans="1:14" x14ac:dyDescent="0.3">
      <c r="B30" s="89">
        <f t="shared" ref="B30:B40" si="0">B29</f>
        <v>1</v>
      </c>
      <c r="C30" s="89">
        <f t="shared" ref="C30:C40" si="1">C29+$H$24</f>
        <v>5</v>
      </c>
      <c r="D30" s="89" t="s">
        <v>36</v>
      </c>
      <c r="E30" s="89" t="s">
        <v>34</v>
      </c>
      <c r="F30" s="89" t="s">
        <v>39</v>
      </c>
      <c r="G30" s="89"/>
      <c r="H30" s="89" t="s">
        <v>46</v>
      </c>
      <c r="I30" s="89" t="s">
        <v>42</v>
      </c>
      <c r="J30" s="89" t="s">
        <v>49</v>
      </c>
      <c r="K30" s="89"/>
      <c r="L30" s="89" t="s">
        <v>56</v>
      </c>
      <c r="M30" s="89" t="s">
        <v>52</v>
      </c>
      <c r="N30" s="89" t="s">
        <v>434</v>
      </c>
    </row>
    <row r="31" spans="1:14" x14ac:dyDescent="0.3">
      <c r="B31" s="89">
        <f t="shared" si="0"/>
        <v>1</v>
      </c>
      <c r="C31" s="89">
        <f t="shared" si="1"/>
        <v>10</v>
      </c>
      <c r="D31" s="89" t="s">
        <v>34</v>
      </c>
      <c r="E31" s="89" t="s">
        <v>36</v>
      </c>
      <c r="F31" s="89" t="s">
        <v>39</v>
      </c>
      <c r="G31" s="89"/>
      <c r="H31" s="89" t="s">
        <v>42</v>
      </c>
      <c r="I31" s="89" t="s">
        <v>46</v>
      </c>
      <c r="J31" s="89" t="s">
        <v>49</v>
      </c>
      <c r="K31" s="89"/>
      <c r="L31" s="89" t="s">
        <v>52</v>
      </c>
      <c r="M31" s="89" t="s">
        <v>56</v>
      </c>
      <c r="N31" s="89" t="s">
        <v>434</v>
      </c>
    </row>
    <row r="32" spans="1:14" x14ac:dyDescent="0.3">
      <c r="B32" s="89">
        <f t="shared" si="0"/>
        <v>1</v>
      </c>
      <c r="C32" s="89">
        <f t="shared" si="1"/>
        <v>15</v>
      </c>
      <c r="D32" s="89" t="s">
        <v>36</v>
      </c>
      <c r="E32" s="89" t="s">
        <v>39</v>
      </c>
      <c r="F32" s="89" t="s">
        <v>34</v>
      </c>
      <c r="G32" s="89"/>
      <c r="H32" s="89" t="s">
        <v>46</v>
      </c>
      <c r="I32" s="89" t="s">
        <v>49</v>
      </c>
      <c r="J32" s="89" t="s">
        <v>42</v>
      </c>
      <c r="K32" s="89"/>
      <c r="L32" s="89" t="s">
        <v>56</v>
      </c>
      <c r="M32" s="89" t="s">
        <v>434</v>
      </c>
      <c r="N32" s="89" t="s">
        <v>52</v>
      </c>
    </row>
    <row r="33" spans="2:14" x14ac:dyDescent="0.3">
      <c r="B33" s="89">
        <f t="shared" si="0"/>
        <v>1</v>
      </c>
      <c r="C33" s="89">
        <f t="shared" si="1"/>
        <v>20</v>
      </c>
      <c r="D33" s="89" t="s">
        <v>39</v>
      </c>
      <c r="E33" s="89" t="s">
        <v>36</v>
      </c>
      <c r="F33" s="89" t="s">
        <v>34</v>
      </c>
      <c r="G33" s="89"/>
      <c r="H33" s="89" t="s">
        <v>49</v>
      </c>
      <c r="I33" s="89" t="s">
        <v>46</v>
      </c>
      <c r="J33" s="89" t="s">
        <v>42</v>
      </c>
      <c r="K33" s="89"/>
      <c r="L33" s="89" t="s">
        <v>434</v>
      </c>
      <c r="M33" s="89" t="s">
        <v>56</v>
      </c>
      <c r="N33" s="89" t="s">
        <v>52</v>
      </c>
    </row>
    <row r="34" spans="2:14" x14ac:dyDescent="0.3">
      <c r="B34" s="89">
        <f t="shared" si="0"/>
        <v>1</v>
      </c>
      <c r="C34" s="89">
        <f t="shared" si="1"/>
        <v>25</v>
      </c>
      <c r="D34" s="89" t="s">
        <v>36</v>
      </c>
      <c r="E34" s="89" t="s">
        <v>34</v>
      </c>
      <c r="F34" s="89" t="s">
        <v>39</v>
      </c>
      <c r="G34" s="89"/>
      <c r="H34" s="89" t="s">
        <v>46</v>
      </c>
      <c r="I34" s="89" t="s">
        <v>42</v>
      </c>
      <c r="J34" s="89" t="s">
        <v>49</v>
      </c>
      <c r="K34" s="89"/>
      <c r="L34" s="89" t="s">
        <v>56</v>
      </c>
      <c r="M34" s="89" t="s">
        <v>52</v>
      </c>
      <c r="N34" s="89" t="s">
        <v>434</v>
      </c>
    </row>
    <row r="35" spans="2:14" x14ac:dyDescent="0.3">
      <c r="B35" s="89">
        <f t="shared" si="0"/>
        <v>1</v>
      </c>
      <c r="C35" s="89">
        <f t="shared" si="1"/>
        <v>30</v>
      </c>
      <c r="D35" s="89" t="s">
        <v>34</v>
      </c>
      <c r="E35" s="89" t="s">
        <v>36</v>
      </c>
      <c r="F35" s="89" t="s">
        <v>39</v>
      </c>
      <c r="G35" s="89"/>
      <c r="H35" s="89" t="s">
        <v>42</v>
      </c>
      <c r="I35" s="89" t="s">
        <v>46</v>
      </c>
      <c r="J35" s="89" t="s">
        <v>49</v>
      </c>
      <c r="K35" s="89"/>
      <c r="L35" s="89" t="s">
        <v>52</v>
      </c>
      <c r="M35" s="89" t="s">
        <v>56</v>
      </c>
      <c r="N35" s="89" t="s">
        <v>434</v>
      </c>
    </row>
    <row r="36" spans="2:14" x14ac:dyDescent="0.3">
      <c r="B36" s="89">
        <f t="shared" si="0"/>
        <v>1</v>
      </c>
      <c r="C36" s="89">
        <f t="shared" si="1"/>
        <v>35</v>
      </c>
      <c r="D36" s="89" t="s">
        <v>36</v>
      </c>
      <c r="E36" s="89" t="s">
        <v>34</v>
      </c>
      <c r="F36" s="89" t="s">
        <v>39</v>
      </c>
      <c r="G36" s="89"/>
      <c r="H36" s="89" t="s">
        <v>46</v>
      </c>
      <c r="I36" s="89" t="s">
        <v>42</v>
      </c>
      <c r="J36" s="89" t="s">
        <v>49</v>
      </c>
      <c r="K36" s="89"/>
      <c r="L36" s="89" t="s">
        <v>56</v>
      </c>
      <c r="M36" s="89" t="s">
        <v>52</v>
      </c>
      <c r="N36" s="89" t="s">
        <v>434</v>
      </c>
    </row>
    <row r="37" spans="2:14" x14ac:dyDescent="0.3">
      <c r="B37" s="89">
        <f t="shared" si="0"/>
        <v>1</v>
      </c>
      <c r="C37" s="89">
        <f t="shared" si="1"/>
        <v>40</v>
      </c>
      <c r="D37" s="89" t="s">
        <v>34</v>
      </c>
      <c r="E37" s="89" t="s">
        <v>39</v>
      </c>
      <c r="F37" s="89" t="s">
        <v>36</v>
      </c>
      <c r="G37" s="89"/>
      <c r="H37" s="89" t="s">
        <v>42</v>
      </c>
      <c r="I37" s="89" t="s">
        <v>49</v>
      </c>
      <c r="J37" s="89" t="s">
        <v>46</v>
      </c>
      <c r="K37" s="89"/>
      <c r="L37" s="89" t="s">
        <v>52</v>
      </c>
      <c r="M37" s="89" t="s">
        <v>434</v>
      </c>
      <c r="N37" s="89" t="s">
        <v>56</v>
      </c>
    </row>
    <row r="38" spans="2:14" x14ac:dyDescent="0.3">
      <c r="B38" s="89">
        <f t="shared" si="0"/>
        <v>1</v>
      </c>
      <c r="C38" s="89">
        <f t="shared" si="1"/>
        <v>45</v>
      </c>
      <c r="D38" s="89" t="s">
        <v>39</v>
      </c>
      <c r="E38" s="89" t="s">
        <v>34</v>
      </c>
      <c r="F38" s="89" t="s">
        <v>36</v>
      </c>
      <c r="G38" s="89"/>
      <c r="H38" s="89" t="s">
        <v>49</v>
      </c>
      <c r="I38" s="89" t="s">
        <v>42</v>
      </c>
      <c r="J38" s="89" t="s">
        <v>46</v>
      </c>
      <c r="K38" s="89"/>
      <c r="L38" s="89" t="s">
        <v>434</v>
      </c>
      <c r="M38" s="89" t="s">
        <v>52</v>
      </c>
      <c r="N38" s="89" t="s">
        <v>56</v>
      </c>
    </row>
    <row r="39" spans="2:14" x14ac:dyDescent="0.3">
      <c r="B39" s="89">
        <f t="shared" si="0"/>
        <v>1</v>
      </c>
      <c r="C39" s="89">
        <f t="shared" si="1"/>
        <v>50</v>
      </c>
      <c r="D39" s="89" t="s">
        <v>34</v>
      </c>
      <c r="E39" s="89" t="s">
        <v>36</v>
      </c>
      <c r="F39" s="89" t="s">
        <v>39</v>
      </c>
      <c r="G39" s="89"/>
      <c r="H39" s="89" t="s">
        <v>42</v>
      </c>
      <c r="I39" s="89" t="s">
        <v>46</v>
      </c>
      <c r="J39" s="89" t="s">
        <v>49</v>
      </c>
      <c r="K39" s="89"/>
      <c r="L39" s="89" t="s">
        <v>52</v>
      </c>
      <c r="M39" s="89" t="s">
        <v>56</v>
      </c>
      <c r="N39" s="89" t="s">
        <v>434</v>
      </c>
    </row>
    <row r="40" spans="2:14" x14ac:dyDescent="0.3">
      <c r="B40" s="89">
        <f t="shared" si="0"/>
        <v>1</v>
      </c>
      <c r="C40" s="89">
        <f t="shared" si="1"/>
        <v>55</v>
      </c>
      <c r="D40" s="89" t="s">
        <v>36</v>
      </c>
      <c r="E40" s="89" t="s">
        <v>34</v>
      </c>
      <c r="F40" s="89" t="s">
        <v>39</v>
      </c>
      <c r="G40" s="89"/>
      <c r="H40" s="89" t="s">
        <v>46</v>
      </c>
      <c r="I40" s="89" t="s">
        <v>42</v>
      </c>
      <c r="J40" s="89" t="s">
        <v>49</v>
      </c>
      <c r="K40" s="89"/>
      <c r="L40" s="89" t="s">
        <v>56</v>
      </c>
      <c r="M40" s="89" t="s">
        <v>52</v>
      </c>
      <c r="N40" s="89" t="s">
        <v>434</v>
      </c>
    </row>
    <row r="41" spans="2:14" x14ac:dyDescent="0.3">
      <c r="B41" s="89">
        <f>B40+1</f>
        <v>2</v>
      </c>
      <c r="C41" s="89">
        <v>0</v>
      </c>
      <c r="D41" s="89" t="s">
        <v>39</v>
      </c>
      <c r="E41" s="89" t="s">
        <v>36</v>
      </c>
      <c r="F41" s="89" t="s">
        <v>34</v>
      </c>
      <c r="G41" s="89"/>
      <c r="H41" s="89" t="s">
        <v>49</v>
      </c>
      <c r="I41" s="89" t="s">
        <v>46</v>
      </c>
      <c r="J41" s="89" t="s">
        <v>42</v>
      </c>
      <c r="K41" s="89"/>
      <c r="L41" s="89" t="s">
        <v>434</v>
      </c>
      <c r="M41" s="89" t="s">
        <v>56</v>
      </c>
      <c r="N41" s="89" t="s">
        <v>52</v>
      </c>
    </row>
    <row r="42" spans="2:14" x14ac:dyDescent="0.3">
      <c r="B42" s="89">
        <f t="shared" ref="B42:B52" si="2">B41</f>
        <v>2</v>
      </c>
      <c r="C42" s="89">
        <f>C41+$H$24</f>
        <v>5</v>
      </c>
      <c r="D42" s="89" t="s">
        <v>36</v>
      </c>
      <c r="E42" s="89" t="s">
        <v>39</v>
      </c>
      <c r="F42" s="89" t="s">
        <v>34</v>
      </c>
      <c r="G42" s="89"/>
      <c r="H42" s="89" t="s">
        <v>46</v>
      </c>
      <c r="I42" s="89" t="s">
        <v>49</v>
      </c>
      <c r="J42" s="89" t="s">
        <v>42</v>
      </c>
      <c r="K42" s="89"/>
      <c r="L42" s="89" t="s">
        <v>56</v>
      </c>
      <c r="M42" s="89" t="s">
        <v>434</v>
      </c>
      <c r="N42" s="89" t="s">
        <v>52</v>
      </c>
    </row>
    <row r="43" spans="2:14" x14ac:dyDescent="0.3">
      <c r="B43" s="89">
        <f t="shared" si="2"/>
        <v>2</v>
      </c>
      <c r="C43" s="89">
        <f>C42+$H$24</f>
        <v>10</v>
      </c>
      <c r="D43" s="89" t="s">
        <v>39</v>
      </c>
      <c r="E43" s="89" t="s">
        <v>36</v>
      </c>
      <c r="F43" s="89" t="s">
        <v>34</v>
      </c>
      <c r="G43" s="89"/>
      <c r="H43" s="89" t="s">
        <v>49</v>
      </c>
      <c r="I43" s="89" t="s">
        <v>46</v>
      </c>
      <c r="J43" s="89" t="s">
        <v>42</v>
      </c>
      <c r="K43" s="89"/>
      <c r="L43" s="89" t="s">
        <v>434</v>
      </c>
      <c r="M43" s="89" t="s">
        <v>56</v>
      </c>
      <c r="N43" s="89" t="s">
        <v>52</v>
      </c>
    </row>
    <row r="44" spans="2:14" x14ac:dyDescent="0.3">
      <c r="B44" s="89">
        <f t="shared" si="2"/>
        <v>2</v>
      </c>
      <c r="C44" s="89">
        <f>C43+$H$24</f>
        <v>15</v>
      </c>
      <c r="D44" s="89" t="s">
        <v>36</v>
      </c>
      <c r="E44" s="89" t="s">
        <v>34</v>
      </c>
      <c r="F44" s="89" t="s">
        <v>39</v>
      </c>
      <c r="G44" s="89"/>
      <c r="H44" s="89" t="s">
        <v>46</v>
      </c>
      <c r="I44" s="89" t="s">
        <v>42</v>
      </c>
      <c r="J44" s="89" t="s">
        <v>49</v>
      </c>
      <c r="K44" s="89"/>
      <c r="L44" s="89" t="s">
        <v>56</v>
      </c>
      <c r="M44" s="89" t="s">
        <v>52</v>
      </c>
      <c r="N44" s="89" t="s">
        <v>434</v>
      </c>
    </row>
    <row r="45" spans="2:14" x14ac:dyDescent="0.3">
      <c r="B45" s="89">
        <f t="shared" si="2"/>
        <v>2</v>
      </c>
      <c r="C45" s="89">
        <f>C44+$H$24</f>
        <v>20</v>
      </c>
      <c r="D45" s="89" t="s">
        <v>34</v>
      </c>
      <c r="E45" s="89" t="s">
        <v>36</v>
      </c>
      <c r="F45" s="89" t="s">
        <v>39</v>
      </c>
      <c r="G45" s="89"/>
      <c r="H45" s="89" t="s">
        <v>42</v>
      </c>
      <c r="I45" s="89" t="s">
        <v>46</v>
      </c>
      <c r="J45" s="89" t="s">
        <v>49</v>
      </c>
      <c r="K45" s="89"/>
      <c r="L45" s="89" t="s">
        <v>52</v>
      </c>
      <c r="M45" s="89" t="s">
        <v>56</v>
      </c>
      <c r="N45" s="89" t="s">
        <v>434</v>
      </c>
    </row>
    <row r="46" spans="2:14" x14ac:dyDescent="0.3">
      <c r="B46" s="89">
        <f t="shared" si="2"/>
        <v>2</v>
      </c>
      <c r="C46" s="89">
        <f>C45+$H$24</f>
        <v>25</v>
      </c>
      <c r="D46" s="89" t="s">
        <v>36</v>
      </c>
      <c r="E46" s="89" t="s">
        <v>39</v>
      </c>
      <c r="F46" s="89" t="s">
        <v>34</v>
      </c>
      <c r="G46" s="89"/>
      <c r="H46" s="89" t="s">
        <v>46</v>
      </c>
      <c r="I46" s="89" t="s">
        <v>49</v>
      </c>
      <c r="J46" s="89" t="s">
        <v>42</v>
      </c>
      <c r="K46" s="89"/>
      <c r="L46" s="89" t="s">
        <v>56</v>
      </c>
      <c r="M46" s="89" t="s">
        <v>434</v>
      </c>
      <c r="N46" s="89" t="s">
        <v>52</v>
      </c>
    </row>
    <row r="47" spans="2:14" x14ac:dyDescent="0.3">
      <c r="B47" s="89">
        <f t="shared" si="2"/>
        <v>2</v>
      </c>
      <c r="C47" s="89">
        <v>30</v>
      </c>
      <c r="D47" s="89" t="s">
        <v>39</v>
      </c>
      <c r="E47" s="89" t="s">
        <v>36</v>
      </c>
      <c r="F47" s="89" t="s">
        <v>34</v>
      </c>
      <c r="G47" s="89"/>
      <c r="H47" s="89" t="s">
        <v>49</v>
      </c>
      <c r="I47" s="89" t="s">
        <v>46</v>
      </c>
      <c r="J47" s="89" t="s">
        <v>42</v>
      </c>
      <c r="K47" s="89"/>
      <c r="L47" s="89" t="s">
        <v>434</v>
      </c>
      <c r="M47" s="89" t="s">
        <v>56</v>
      </c>
      <c r="N47" s="89" t="s">
        <v>52</v>
      </c>
    </row>
    <row r="48" spans="2:14" x14ac:dyDescent="0.3">
      <c r="B48" s="89">
        <f t="shared" si="2"/>
        <v>2</v>
      </c>
      <c r="C48" s="89">
        <v>35</v>
      </c>
      <c r="D48" s="89" t="s">
        <v>36</v>
      </c>
      <c r="E48" s="89" t="s">
        <v>39</v>
      </c>
      <c r="F48" s="89" t="s">
        <v>34</v>
      </c>
      <c r="G48" s="89"/>
      <c r="H48" s="89" t="s">
        <v>46</v>
      </c>
      <c r="I48" s="89" t="s">
        <v>49</v>
      </c>
      <c r="J48" s="89" t="s">
        <v>42</v>
      </c>
      <c r="K48" s="89"/>
      <c r="L48" s="89" t="s">
        <v>56</v>
      </c>
      <c r="M48" s="89" t="s">
        <v>434</v>
      </c>
      <c r="N48" s="89" t="s">
        <v>52</v>
      </c>
    </row>
    <row r="49" spans="2:14" x14ac:dyDescent="0.3">
      <c r="B49" s="89">
        <f t="shared" si="2"/>
        <v>2</v>
      </c>
      <c r="C49" s="89">
        <v>40</v>
      </c>
      <c r="D49" s="89" t="s">
        <v>39</v>
      </c>
      <c r="E49" s="89" t="s">
        <v>34</v>
      </c>
      <c r="F49" s="89" t="s">
        <v>36</v>
      </c>
      <c r="G49" s="89"/>
      <c r="H49" s="89" t="s">
        <v>49</v>
      </c>
      <c r="I49" s="89" t="s">
        <v>42</v>
      </c>
      <c r="J49" s="89" t="s">
        <v>46</v>
      </c>
      <c r="K49" s="89"/>
      <c r="L49" s="89" t="s">
        <v>434</v>
      </c>
      <c r="M49" s="89" t="s">
        <v>52</v>
      </c>
      <c r="N49" s="89" t="s">
        <v>56</v>
      </c>
    </row>
    <row r="50" spans="2:14" x14ac:dyDescent="0.3">
      <c r="B50" s="89">
        <f t="shared" si="2"/>
        <v>2</v>
      </c>
      <c r="C50" s="89">
        <v>45</v>
      </c>
      <c r="D50" s="89" t="s">
        <v>34</v>
      </c>
      <c r="E50" s="89" t="s">
        <v>39</v>
      </c>
      <c r="F50" s="89" t="s">
        <v>36</v>
      </c>
      <c r="G50" s="89"/>
      <c r="H50" s="89" t="s">
        <v>42</v>
      </c>
      <c r="I50" s="89" t="s">
        <v>49</v>
      </c>
      <c r="J50" s="89" t="s">
        <v>46</v>
      </c>
      <c r="K50" s="89"/>
      <c r="L50" s="89" t="s">
        <v>52</v>
      </c>
      <c r="M50" s="89" t="s">
        <v>434</v>
      </c>
      <c r="N50" s="89" t="s">
        <v>56</v>
      </c>
    </row>
    <row r="51" spans="2:14" x14ac:dyDescent="0.3">
      <c r="B51" s="89">
        <f t="shared" si="2"/>
        <v>2</v>
      </c>
      <c r="C51" s="89">
        <v>50</v>
      </c>
      <c r="D51" s="89" t="s">
        <v>39</v>
      </c>
      <c r="E51" s="89" t="s">
        <v>36</v>
      </c>
      <c r="F51" s="89" t="s">
        <v>34</v>
      </c>
      <c r="G51" s="89"/>
      <c r="H51" s="89" t="s">
        <v>49</v>
      </c>
      <c r="I51" s="89" t="s">
        <v>46</v>
      </c>
      <c r="J51" s="89" t="s">
        <v>42</v>
      </c>
      <c r="K51" s="89"/>
      <c r="L51" s="89" t="s">
        <v>434</v>
      </c>
      <c r="M51" s="89" t="s">
        <v>56</v>
      </c>
      <c r="N51" s="89" t="s">
        <v>52</v>
      </c>
    </row>
    <row r="52" spans="2:14" x14ac:dyDescent="0.3">
      <c r="B52" s="89">
        <f t="shared" si="2"/>
        <v>2</v>
      </c>
      <c r="C52" s="89">
        <v>55</v>
      </c>
      <c r="D52" s="89" t="s">
        <v>36</v>
      </c>
      <c r="E52" s="89" t="s">
        <v>39</v>
      </c>
      <c r="F52" s="89" t="s">
        <v>34</v>
      </c>
      <c r="G52" s="89"/>
      <c r="H52" s="89" t="s">
        <v>46</v>
      </c>
      <c r="I52" s="89" t="s">
        <v>49</v>
      </c>
      <c r="J52" s="89" t="s">
        <v>42</v>
      </c>
      <c r="K52" s="89"/>
      <c r="L52" s="89" t="s">
        <v>56</v>
      </c>
      <c r="M52" s="89" t="s">
        <v>434</v>
      </c>
      <c r="N52" s="89" t="s">
        <v>52</v>
      </c>
    </row>
    <row r="53" spans="2:14" x14ac:dyDescent="0.3">
      <c r="B53" s="89">
        <v>3</v>
      </c>
      <c r="C53" s="89">
        <v>0</v>
      </c>
      <c r="D53" s="89" t="s">
        <v>34</v>
      </c>
      <c r="E53" s="89" t="s">
        <v>39</v>
      </c>
      <c r="F53" s="89" t="s">
        <v>36</v>
      </c>
      <c r="G53" s="89"/>
      <c r="H53" s="89" t="s">
        <v>42</v>
      </c>
      <c r="I53" s="89" t="s">
        <v>49</v>
      </c>
      <c r="J53" s="89" t="s">
        <v>46</v>
      </c>
      <c r="K53" s="89"/>
      <c r="L53" s="89" t="s">
        <v>52</v>
      </c>
      <c r="M53" s="89" t="s">
        <v>434</v>
      </c>
      <c r="N53" s="89" t="s">
        <v>56</v>
      </c>
    </row>
    <row r="54" spans="2:14" x14ac:dyDescent="0.3">
      <c r="B54" s="89">
        <v>3</v>
      </c>
      <c r="C54" s="89">
        <f>C53+$H$24</f>
        <v>5</v>
      </c>
      <c r="D54" s="89" t="s">
        <v>39</v>
      </c>
      <c r="E54" s="89" t="s">
        <v>34</v>
      </c>
      <c r="F54" s="89" t="s">
        <v>36</v>
      </c>
      <c r="G54" s="89"/>
      <c r="H54" s="89" t="s">
        <v>49</v>
      </c>
      <c r="I54" s="89" t="s">
        <v>42</v>
      </c>
      <c r="J54" s="89" t="s">
        <v>46</v>
      </c>
      <c r="K54" s="89"/>
      <c r="L54" s="89" t="s">
        <v>434</v>
      </c>
      <c r="M54" s="89" t="s">
        <v>52</v>
      </c>
      <c r="N54" s="89" t="s">
        <v>56</v>
      </c>
    </row>
    <row r="55" spans="2:14" x14ac:dyDescent="0.3">
      <c r="B55" s="89">
        <v>3</v>
      </c>
      <c r="C55" s="89">
        <f>C54+$H$24</f>
        <v>10</v>
      </c>
      <c r="D55" s="89" t="s">
        <v>34</v>
      </c>
      <c r="E55" s="89" t="s">
        <v>39</v>
      </c>
      <c r="F55" s="89" t="s">
        <v>36</v>
      </c>
      <c r="G55" s="89"/>
      <c r="H55" s="89" t="s">
        <v>42</v>
      </c>
      <c r="I55" s="89" t="s">
        <v>49</v>
      </c>
      <c r="J55" s="89" t="s">
        <v>46</v>
      </c>
      <c r="K55" s="89"/>
      <c r="L55" s="89" t="s">
        <v>52</v>
      </c>
      <c r="M55" s="89" t="s">
        <v>434</v>
      </c>
      <c r="N55" s="89" t="s">
        <v>56</v>
      </c>
    </row>
    <row r="56" spans="2:14" x14ac:dyDescent="0.3">
      <c r="B56" s="89">
        <v>3</v>
      </c>
      <c r="C56" s="89">
        <f>C55+$H$24</f>
        <v>15</v>
      </c>
      <c r="D56" s="89" t="s">
        <v>36</v>
      </c>
      <c r="E56" s="89" t="s">
        <v>34</v>
      </c>
      <c r="F56" s="89" t="s">
        <v>39</v>
      </c>
      <c r="G56" s="89"/>
      <c r="H56" s="89" t="s">
        <v>46</v>
      </c>
      <c r="I56" s="89" t="s">
        <v>42</v>
      </c>
      <c r="J56" s="89" t="s">
        <v>49</v>
      </c>
      <c r="K56" s="89"/>
      <c r="L56" s="89" t="s">
        <v>56</v>
      </c>
      <c r="M56" s="89" t="s">
        <v>52</v>
      </c>
      <c r="N56" s="89" t="s">
        <v>434</v>
      </c>
    </row>
    <row r="57" spans="2:14" x14ac:dyDescent="0.3">
      <c r="B57" s="89">
        <v>3</v>
      </c>
      <c r="C57" s="89">
        <f>C56+$H$24</f>
        <v>20</v>
      </c>
      <c r="D57" s="89" t="s">
        <v>34</v>
      </c>
      <c r="E57" s="89" t="s">
        <v>36</v>
      </c>
      <c r="F57" s="89" t="s">
        <v>39</v>
      </c>
      <c r="G57" s="89"/>
      <c r="H57" s="89" t="s">
        <v>42</v>
      </c>
      <c r="I57" s="89" t="s">
        <v>46</v>
      </c>
      <c r="J57" s="89" t="s">
        <v>49</v>
      </c>
      <c r="K57" s="89"/>
      <c r="L57" s="89" t="s">
        <v>52</v>
      </c>
      <c r="M57" s="89" t="s">
        <v>56</v>
      </c>
      <c r="N57" s="89" t="s">
        <v>434</v>
      </c>
    </row>
    <row r="58" spans="2:14" x14ac:dyDescent="0.3">
      <c r="B58" s="89">
        <v>3</v>
      </c>
      <c r="C58" s="89">
        <f>C57+$H$24</f>
        <v>25</v>
      </c>
      <c r="D58" s="89" t="s">
        <v>39</v>
      </c>
      <c r="E58" s="89" t="s">
        <v>34</v>
      </c>
      <c r="F58" s="89" t="s">
        <v>36</v>
      </c>
      <c r="G58" s="89"/>
      <c r="H58" s="89" t="s">
        <v>49</v>
      </c>
      <c r="I58" s="89" t="s">
        <v>42</v>
      </c>
      <c r="J58" s="89" t="s">
        <v>46</v>
      </c>
      <c r="K58" s="89"/>
      <c r="L58" s="89" t="s">
        <v>434</v>
      </c>
      <c r="M58" s="89" t="s">
        <v>52</v>
      </c>
      <c r="N58" s="89" t="s">
        <v>56</v>
      </c>
    </row>
    <row r="59" spans="2:14" x14ac:dyDescent="0.3">
      <c r="B59" s="89">
        <v>3</v>
      </c>
      <c r="C59" s="89">
        <v>30</v>
      </c>
      <c r="D59" s="89" t="s">
        <v>34</v>
      </c>
      <c r="E59" s="89" t="s">
        <v>39</v>
      </c>
      <c r="F59" s="89" t="s">
        <v>36</v>
      </c>
      <c r="G59" s="89"/>
      <c r="H59" s="89" t="s">
        <v>42</v>
      </c>
      <c r="I59" s="89" t="s">
        <v>49</v>
      </c>
      <c r="J59" s="89" t="s">
        <v>46</v>
      </c>
      <c r="K59" s="89"/>
      <c r="L59" s="89" t="s">
        <v>52</v>
      </c>
      <c r="M59" s="89" t="s">
        <v>434</v>
      </c>
      <c r="N59" s="89" t="s">
        <v>56</v>
      </c>
    </row>
    <row r="60" spans="2:14" x14ac:dyDescent="0.3">
      <c r="B60" s="89">
        <v>3</v>
      </c>
      <c r="C60" s="89">
        <v>35</v>
      </c>
      <c r="D60" s="89" t="s">
        <v>39</v>
      </c>
      <c r="E60" s="89" t="s">
        <v>34</v>
      </c>
      <c r="F60" s="89" t="s">
        <v>36</v>
      </c>
      <c r="G60" s="89"/>
      <c r="H60" s="89" t="s">
        <v>49</v>
      </c>
      <c r="I60" s="89" t="s">
        <v>42</v>
      </c>
      <c r="J60" s="89" t="s">
        <v>46</v>
      </c>
      <c r="K60" s="89"/>
      <c r="L60" s="89" t="s">
        <v>434</v>
      </c>
      <c r="M60" s="89" t="s">
        <v>52</v>
      </c>
      <c r="N60" s="89" t="s">
        <v>56</v>
      </c>
    </row>
    <row r="61" spans="2:14" x14ac:dyDescent="0.3">
      <c r="B61" s="89">
        <v>3</v>
      </c>
      <c r="C61" s="89">
        <v>40</v>
      </c>
      <c r="D61" s="89" t="s">
        <v>36</v>
      </c>
      <c r="E61" s="89" t="s">
        <v>39</v>
      </c>
      <c r="F61" s="89" t="s">
        <v>34</v>
      </c>
      <c r="G61" s="89"/>
      <c r="H61" s="89" t="s">
        <v>46</v>
      </c>
      <c r="I61" s="89" t="s">
        <v>49</v>
      </c>
      <c r="J61" s="89" t="s">
        <v>42</v>
      </c>
      <c r="K61" s="89"/>
      <c r="L61" s="89" t="s">
        <v>56</v>
      </c>
      <c r="M61" s="89" t="s">
        <v>434</v>
      </c>
      <c r="N61" s="89" t="s">
        <v>52</v>
      </c>
    </row>
    <row r="62" spans="2:14" x14ac:dyDescent="0.3">
      <c r="B62" s="89">
        <v>3</v>
      </c>
      <c r="C62" s="89">
        <v>45</v>
      </c>
      <c r="D62" s="89" t="s">
        <v>39</v>
      </c>
      <c r="E62" s="89" t="s">
        <v>36</v>
      </c>
      <c r="F62" s="89" t="s">
        <v>34</v>
      </c>
      <c r="G62" s="89"/>
      <c r="H62" s="89" t="s">
        <v>49</v>
      </c>
      <c r="I62" s="89" t="s">
        <v>46</v>
      </c>
      <c r="J62" s="89" t="s">
        <v>42</v>
      </c>
      <c r="K62" s="89"/>
      <c r="L62" s="89" t="s">
        <v>434</v>
      </c>
      <c r="M62" s="89" t="s">
        <v>56</v>
      </c>
      <c r="N62" s="89" t="s">
        <v>52</v>
      </c>
    </row>
    <row r="63" spans="2:14" x14ac:dyDescent="0.3">
      <c r="B63" s="89">
        <v>3</v>
      </c>
      <c r="C63" s="89">
        <v>50</v>
      </c>
      <c r="D63" s="89" t="s">
        <v>34</v>
      </c>
      <c r="E63" s="89" t="s">
        <v>39</v>
      </c>
      <c r="F63" s="89" t="s">
        <v>36</v>
      </c>
      <c r="G63" s="89"/>
      <c r="H63" s="89" t="s">
        <v>42</v>
      </c>
      <c r="I63" s="89" t="s">
        <v>49</v>
      </c>
      <c r="J63" s="89" t="s">
        <v>46</v>
      </c>
      <c r="K63" s="89"/>
      <c r="L63" s="89" t="s">
        <v>52</v>
      </c>
      <c r="M63" s="89" t="s">
        <v>434</v>
      </c>
      <c r="N63" s="89" t="s">
        <v>56</v>
      </c>
    </row>
    <row r="64" spans="2:14" x14ac:dyDescent="0.3">
      <c r="B64" s="89">
        <v>3</v>
      </c>
      <c r="C64" s="89">
        <v>55</v>
      </c>
      <c r="D64" s="89" t="s">
        <v>39</v>
      </c>
      <c r="E64" s="89" t="s">
        <v>34</v>
      </c>
      <c r="F64" s="89" t="s">
        <v>36</v>
      </c>
      <c r="G64" s="89"/>
      <c r="H64" s="89" t="s">
        <v>49</v>
      </c>
      <c r="I64" s="89" t="s">
        <v>42</v>
      </c>
      <c r="J64" s="89" t="s">
        <v>46</v>
      </c>
      <c r="K64" s="89"/>
      <c r="L64" s="89" t="s">
        <v>434</v>
      </c>
      <c r="M64" s="89" t="s">
        <v>52</v>
      </c>
      <c r="N64" s="89" t="s">
        <v>56</v>
      </c>
    </row>
    <row r="65" spans="2:14" x14ac:dyDescent="0.3">
      <c r="B65" s="89">
        <v>4</v>
      </c>
      <c r="C65" s="89">
        <v>0</v>
      </c>
      <c r="D65" s="89" t="s">
        <v>39</v>
      </c>
      <c r="E65" s="89" t="s">
        <v>36</v>
      </c>
      <c r="F65" s="89" t="s">
        <v>34</v>
      </c>
      <c r="G65" s="89"/>
      <c r="H65" s="89" t="s">
        <v>49</v>
      </c>
      <c r="I65" s="89" t="s">
        <v>46</v>
      </c>
      <c r="J65" s="89" t="s">
        <v>42</v>
      </c>
      <c r="K65" s="89"/>
      <c r="L65" s="89" t="s">
        <v>434</v>
      </c>
      <c r="M65" s="89" t="s">
        <v>56</v>
      </c>
      <c r="N65" s="89" t="s">
        <v>52</v>
      </c>
    </row>
    <row r="66" spans="2:14" x14ac:dyDescent="0.3">
      <c r="B66" s="89">
        <v>4</v>
      </c>
      <c r="C66" s="89">
        <f>C65+$H$24</f>
        <v>5</v>
      </c>
      <c r="D66" s="89" t="s">
        <v>36</v>
      </c>
      <c r="E66" s="89" t="s">
        <v>39</v>
      </c>
      <c r="F66" s="89" t="s">
        <v>34</v>
      </c>
      <c r="G66" s="89"/>
      <c r="H66" s="89" t="s">
        <v>46</v>
      </c>
      <c r="I66" s="89" t="s">
        <v>49</v>
      </c>
      <c r="J66" s="89" t="s">
        <v>42</v>
      </c>
      <c r="K66" s="89"/>
      <c r="L66" s="89" t="s">
        <v>56</v>
      </c>
      <c r="M66" s="89" t="s">
        <v>434</v>
      </c>
      <c r="N66" s="89" t="s">
        <v>52</v>
      </c>
    </row>
    <row r="67" spans="2:14" x14ac:dyDescent="0.3">
      <c r="B67" s="89">
        <v>4</v>
      </c>
      <c r="C67" s="89">
        <f>C66+$H$24</f>
        <v>10</v>
      </c>
      <c r="D67" s="89" t="s">
        <v>39</v>
      </c>
      <c r="E67" s="89" t="s">
        <v>36</v>
      </c>
      <c r="F67" s="89" t="s">
        <v>34</v>
      </c>
      <c r="G67" s="89"/>
      <c r="H67" s="89" t="s">
        <v>49</v>
      </c>
      <c r="I67" s="89" t="s">
        <v>46</v>
      </c>
      <c r="J67" s="89" t="s">
        <v>42</v>
      </c>
      <c r="K67" s="89"/>
      <c r="L67" s="89" t="s">
        <v>434</v>
      </c>
      <c r="M67" s="89" t="s">
        <v>56</v>
      </c>
      <c r="N67" s="89" t="s">
        <v>52</v>
      </c>
    </row>
    <row r="68" spans="2:14" x14ac:dyDescent="0.3">
      <c r="B68" s="89">
        <v>4</v>
      </c>
      <c r="C68" s="89">
        <f>C67+$H$24</f>
        <v>15</v>
      </c>
      <c r="D68" s="89" t="s">
        <v>36</v>
      </c>
      <c r="E68" s="89" t="s">
        <v>39</v>
      </c>
      <c r="F68" s="89" t="s">
        <v>34</v>
      </c>
      <c r="G68" s="89"/>
      <c r="H68" s="89" t="s">
        <v>46</v>
      </c>
      <c r="I68" s="89" t="s">
        <v>49</v>
      </c>
      <c r="J68" s="89" t="s">
        <v>42</v>
      </c>
      <c r="K68" s="89"/>
      <c r="L68" s="89" t="s">
        <v>56</v>
      </c>
      <c r="M68" s="89" t="s">
        <v>434</v>
      </c>
      <c r="N68" s="89" t="s">
        <v>52</v>
      </c>
    </row>
    <row r="69" spans="2:14" x14ac:dyDescent="0.3">
      <c r="B69" s="89">
        <v>4</v>
      </c>
      <c r="C69" s="89">
        <f>C68+$H$24</f>
        <v>20</v>
      </c>
      <c r="D69" s="89" t="s">
        <v>39</v>
      </c>
      <c r="E69" s="89" t="s">
        <v>36</v>
      </c>
      <c r="F69" s="89" t="s">
        <v>34</v>
      </c>
      <c r="G69" s="89"/>
      <c r="H69" s="89" t="s">
        <v>49</v>
      </c>
      <c r="I69" s="89" t="s">
        <v>46</v>
      </c>
      <c r="J69" s="89" t="s">
        <v>42</v>
      </c>
      <c r="K69" s="89"/>
      <c r="L69" s="89" t="s">
        <v>434</v>
      </c>
      <c r="M69" s="89" t="s">
        <v>56</v>
      </c>
      <c r="N69" s="89" t="s">
        <v>52</v>
      </c>
    </row>
    <row r="70" spans="2:14" x14ac:dyDescent="0.3">
      <c r="B70" s="89">
        <v>4</v>
      </c>
      <c r="C70" s="89">
        <f>C69+$H$24</f>
        <v>25</v>
      </c>
      <c r="D70" s="89" t="s">
        <v>36</v>
      </c>
      <c r="E70" s="89" t="s">
        <v>39</v>
      </c>
      <c r="F70" s="89" t="s">
        <v>34</v>
      </c>
      <c r="G70" s="89"/>
      <c r="H70" s="89" t="s">
        <v>46</v>
      </c>
      <c r="I70" s="89" t="s">
        <v>49</v>
      </c>
      <c r="J70" s="89" t="s">
        <v>42</v>
      </c>
      <c r="K70" s="89"/>
      <c r="L70" s="89" t="s">
        <v>56</v>
      </c>
      <c r="M70" s="89" t="s">
        <v>434</v>
      </c>
      <c r="N70" s="89" t="s">
        <v>52</v>
      </c>
    </row>
    <row r="71" spans="2:14" x14ac:dyDescent="0.3">
      <c r="B71" s="89">
        <v>4</v>
      </c>
      <c r="C71" s="89">
        <v>30</v>
      </c>
      <c r="D71" s="89" t="s">
        <v>34</v>
      </c>
      <c r="E71" s="89" t="s">
        <v>36</v>
      </c>
      <c r="F71" s="89" t="s">
        <v>39</v>
      </c>
      <c r="G71" s="89"/>
      <c r="H71" s="89" t="s">
        <v>42</v>
      </c>
      <c r="I71" s="89" t="s">
        <v>46</v>
      </c>
      <c r="J71" s="89" t="s">
        <v>49</v>
      </c>
      <c r="K71" s="89"/>
      <c r="L71" s="89" t="s">
        <v>52</v>
      </c>
      <c r="M71" s="89" t="s">
        <v>56</v>
      </c>
      <c r="N71" s="89" t="s">
        <v>434</v>
      </c>
    </row>
    <row r="72" spans="2:14" x14ac:dyDescent="0.3">
      <c r="B72" s="89">
        <v>4</v>
      </c>
      <c r="C72" s="89">
        <v>35</v>
      </c>
      <c r="D72" s="89" t="s">
        <v>36</v>
      </c>
      <c r="E72" s="89" t="s">
        <v>34</v>
      </c>
      <c r="F72" s="89" t="s">
        <v>39</v>
      </c>
      <c r="G72" s="89"/>
      <c r="H72" s="89" t="s">
        <v>46</v>
      </c>
      <c r="I72" s="89" t="s">
        <v>42</v>
      </c>
      <c r="J72" s="89" t="s">
        <v>49</v>
      </c>
      <c r="K72" s="89"/>
      <c r="L72" s="89" t="s">
        <v>56</v>
      </c>
      <c r="M72" s="89" t="s">
        <v>52</v>
      </c>
      <c r="N72" s="89" t="s">
        <v>434</v>
      </c>
    </row>
    <row r="73" spans="2:14" x14ac:dyDescent="0.3">
      <c r="B73" s="89">
        <v>4</v>
      </c>
      <c r="C73" s="89">
        <v>40</v>
      </c>
      <c r="D73" s="89" t="s">
        <v>34</v>
      </c>
      <c r="E73" s="89" t="s">
        <v>39</v>
      </c>
      <c r="F73" s="89" t="s">
        <v>36</v>
      </c>
      <c r="G73" s="89"/>
      <c r="H73" s="89" t="s">
        <v>42</v>
      </c>
      <c r="I73" s="89" t="s">
        <v>49</v>
      </c>
      <c r="J73" s="89" t="s">
        <v>46</v>
      </c>
      <c r="K73" s="89"/>
      <c r="L73" s="89" t="s">
        <v>52</v>
      </c>
      <c r="M73" s="89" t="s">
        <v>434</v>
      </c>
      <c r="N73" s="89" t="s">
        <v>56</v>
      </c>
    </row>
    <row r="74" spans="2:14" x14ac:dyDescent="0.3">
      <c r="B74" s="89">
        <v>4</v>
      </c>
      <c r="C74" s="89">
        <v>45</v>
      </c>
      <c r="D74" s="89" t="s">
        <v>39</v>
      </c>
      <c r="E74" s="89" t="s">
        <v>34</v>
      </c>
      <c r="F74" s="89" t="s">
        <v>36</v>
      </c>
      <c r="G74" s="89"/>
      <c r="H74" s="89" t="s">
        <v>49</v>
      </c>
      <c r="I74" s="89" t="s">
        <v>42</v>
      </c>
      <c r="J74" s="89" t="s">
        <v>46</v>
      </c>
      <c r="K74" s="89"/>
      <c r="L74" s="89" t="s">
        <v>434</v>
      </c>
      <c r="M74" s="89" t="s">
        <v>52</v>
      </c>
      <c r="N74" s="89" t="s">
        <v>56</v>
      </c>
    </row>
    <row r="75" spans="2:14" x14ac:dyDescent="0.3">
      <c r="B75" s="89">
        <v>4</v>
      </c>
      <c r="C75" s="89">
        <v>50</v>
      </c>
      <c r="D75" s="89" t="s">
        <v>39</v>
      </c>
      <c r="E75" s="89" t="s">
        <v>36</v>
      </c>
      <c r="F75" s="89" t="s">
        <v>34</v>
      </c>
      <c r="G75" s="89"/>
      <c r="H75" s="89" t="s">
        <v>49</v>
      </c>
      <c r="I75" s="89" t="s">
        <v>46</v>
      </c>
      <c r="J75" s="89" t="s">
        <v>42</v>
      </c>
      <c r="K75" s="89"/>
      <c r="L75" s="89" t="s">
        <v>434</v>
      </c>
      <c r="M75" s="89" t="s">
        <v>56</v>
      </c>
      <c r="N75" s="89" t="s">
        <v>52</v>
      </c>
    </row>
    <row r="76" spans="2:14" x14ac:dyDescent="0.3">
      <c r="B76" s="89">
        <v>4</v>
      </c>
      <c r="C76" s="89">
        <v>55</v>
      </c>
      <c r="D76" s="89" t="s">
        <v>36</v>
      </c>
      <c r="E76" s="89" t="s">
        <v>39</v>
      </c>
      <c r="F76" s="89" t="s">
        <v>34</v>
      </c>
      <c r="G76" s="89"/>
      <c r="H76" s="89" t="s">
        <v>46</v>
      </c>
      <c r="I76" s="89" t="s">
        <v>49</v>
      </c>
      <c r="J76" s="89" t="s">
        <v>42</v>
      </c>
      <c r="K76" s="89"/>
      <c r="L76" s="89" t="s">
        <v>56</v>
      </c>
      <c r="M76" s="89" t="s">
        <v>434</v>
      </c>
      <c r="N76" s="89" t="s">
        <v>52</v>
      </c>
    </row>
    <row r="77" spans="2:14" x14ac:dyDescent="0.3">
      <c r="B77" s="89">
        <v>5</v>
      </c>
      <c r="C77" s="89">
        <v>0</v>
      </c>
      <c r="D77" s="89" t="s">
        <v>39</v>
      </c>
      <c r="E77" s="89" t="s">
        <v>34</v>
      </c>
      <c r="F77" s="89" t="s">
        <v>36</v>
      </c>
      <c r="G77" s="89"/>
      <c r="H77" s="89" t="s">
        <v>49</v>
      </c>
      <c r="I77" s="89" t="s">
        <v>42</v>
      </c>
      <c r="J77" s="89" t="s">
        <v>46</v>
      </c>
      <c r="K77" s="89"/>
      <c r="L77" s="89" t="s">
        <v>434</v>
      </c>
      <c r="M77" s="89" t="s">
        <v>52</v>
      </c>
      <c r="N77" s="89" t="s">
        <v>56</v>
      </c>
    </row>
    <row r="78" spans="2:14" x14ac:dyDescent="0.3">
      <c r="B78" s="89">
        <v>5</v>
      </c>
      <c r="C78" s="89">
        <f>C77+$H$24</f>
        <v>5</v>
      </c>
      <c r="D78" s="89" t="s">
        <v>34</v>
      </c>
      <c r="E78" s="89" t="s">
        <v>39</v>
      </c>
      <c r="F78" s="89" t="s">
        <v>36</v>
      </c>
      <c r="G78" s="89"/>
      <c r="H78" s="89" t="s">
        <v>42</v>
      </c>
      <c r="I78" s="89" t="s">
        <v>49</v>
      </c>
      <c r="J78" s="89" t="s">
        <v>46</v>
      </c>
      <c r="K78" s="89"/>
      <c r="L78" s="89" t="s">
        <v>52</v>
      </c>
      <c r="M78" s="89" t="s">
        <v>434</v>
      </c>
      <c r="N78" s="89" t="s">
        <v>56</v>
      </c>
    </row>
    <row r="79" spans="2:14" x14ac:dyDescent="0.3">
      <c r="B79" s="89">
        <v>5</v>
      </c>
      <c r="C79" s="89">
        <f>C78+$H$24</f>
        <v>10</v>
      </c>
      <c r="D79" s="89" t="s">
        <v>39</v>
      </c>
      <c r="E79" s="89" t="s">
        <v>34</v>
      </c>
      <c r="F79" s="89" t="s">
        <v>36</v>
      </c>
      <c r="G79" s="89"/>
      <c r="H79" s="89" t="s">
        <v>49</v>
      </c>
      <c r="I79" s="89" t="s">
        <v>42</v>
      </c>
      <c r="J79" s="89" t="s">
        <v>46</v>
      </c>
      <c r="K79" s="89"/>
      <c r="L79" s="89" t="s">
        <v>434</v>
      </c>
      <c r="M79" s="89" t="s">
        <v>52</v>
      </c>
      <c r="N79" s="89" t="s">
        <v>56</v>
      </c>
    </row>
    <row r="80" spans="2:14" x14ac:dyDescent="0.3">
      <c r="B80" s="89">
        <v>5</v>
      </c>
      <c r="C80" s="89">
        <f>C79+$H$24</f>
        <v>15</v>
      </c>
      <c r="D80" s="89" t="s">
        <v>34</v>
      </c>
      <c r="E80" s="89" t="s">
        <v>39</v>
      </c>
      <c r="F80" s="89" t="s">
        <v>36</v>
      </c>
      <c r="G80" s="89"/>
      <c r="H80" s="89" t="s">
        <v>42</v>
      </c>
      <c r="I80" s="89" t="s">
        <v>49</v>
      </c>
      <c r="J80" s="89" t="s">
        <v>46</v>
      </c>
      <c r="K80" s="89"/>
      <c r="L80" s="89" t="s">
        <v>52</v>
      </c>
      <c r="M80" s="89" t="s">
        <v>434</v>
      </c>
      <c r="N80" s="89" t="s">
        <v>56</v>
      </c>
    </row>
    <row r="81" spans="2:14" x14ac:dyDescent="0.3">
      <c r="B81" s="89">
        <v>5</v>
      </c>
      <c r="C81" s="89">
        <f>C80+$H$24</f>
        <v>20</v>
      </c>
      <c r="D81" s="89" t="s">
        <v>39</v>
      </c>
      <c r="E81" s="89" t="s">
        <v>34</v>
      </c>
      <c r="F81" s="89" t="s">
        <v>36</v>
      </c>
      <c r="G81" s="89"/>
      <c r="H81" s="89" t="s">
        <v>49</v>
      </c>
      <c r="I81" s="89" t="s">
        <v>42</v>
      </c>
      <c r="J81" s="89" t="s">
        <v>46</v>
      </c>
      <c r="K81" s="89"/>
      <c r="L81" s="89" t="s">
        <v>434</v>
      </c>
      <c r="M81" s="89" t="s">
        <v>52</v>
      </c>
      <c r="N81" s="89" t="s">
        <v>56</v>
      </c>
    </row>
    <row r="82" spans="2:14" x14ac:dyDescent="0.3">
      <c r="B82" s="89">
        <v>5</v>
      </c>
      <c r="C82" s="89">
        <f>C81+$H$24</f>
        <v>25</v>
      </c>
      <c r="D82" s="89" t="s">
        <v>34</v>
      </c>
      <c r="E82" s="89" t="s">
        <v>39</v>
      </c>
      <c r="F82" s="89" t="s">
        <v>36</v>
      </c>
      <c r="G82" s="89"/>
      <c r="H82" s="89" t="s">
        <v>42</v>
      </c>
      <c r="I82" s="89" t="s">
        <v>49</v>
      </c>
      <c r="J82" s="89" t="s">
        <v>46</v>
      </c>
      <c r="K82" s="89"/>
      <c r="L82" s="89" t="s">
        <v>52</v>
      </c>
      <c r="M82" s="89" t="s">
        <v>434</v>
      </c>
      <c r="N82" s="89" t="s">
        <v>56</v>
      </c>
    </row>
    <row r="83" spans="2:14" x14ac:dyDescent="0.3">
      <c r="B83" s="89">
        <v>5</v>
      </c>
      <c r="C83" s="89">
        <v>30</v>
      </c>
      <c r="D83" s="89" t="s">
        <v>39</v>
      </c>
      <c r="E83" s="89" t="s">
        <v>36</v>
      </c>
      <c r="F83" s="89" t="s">
        <v>34</v>
      </c>
      <c r="G83" s="89"/>
      <c r="H83" s="89" t="s">
        <v>49</v>
      </c>
      <c r="I83" s="89" t="s">
        <v>46</v>
      </c>
      <c r="J83" s="89" t="s">
        <v>42</v>
      </c>
      <c r="K83" s="89"/>
      <c r="L83" s="89" t="s">
        <v>434</v>
      </c>
      <c r="M83" s="89" t="s">
        <v>56</v>
      </c>
      <c r="N83" s="89" t="s">
        <v>52</v>
      </c>
    </row>
    <row r="84" spans="2:14" x14ac:dyDescent="0.3">
      <c r="B84" s="89">
        <v>5</v>
      </c>
      <c r="C84" s="89">
        <v>35</v>
      </c>
      <c r="D84" s="89" t="s">
        <v>36</v>
      </c>
      <c r="E84" s="89" t="s">
        <v>39</v>
      </c>
      <c r="F84" s="89" t="s">
        <v>34</v>
      </c>
      <c r="G84" s="89"/>
      <c r="H84" s="89" t="s">
        <v>46</v>
      </c>
      <c r="I84" s="89" t="s">
        <v>49</v>
      </c>
      <c r="J84" s="89" t="s">
        <v>42</v>
      </c>
      <c r="K84" s="89"/>
      <c r="L84" s="89" t="s">
        <v>56</v>
      </c>
      <c r="M84" s="89" t="s">
        <v>434</v>
      </c>
      <c r="N84" s="89" t="s">
        <v>52</v>
      </c>
    </row>
    <row r="85" spans="2:14" x14ac:dyDescent="0.3">
      <c r="B85" s="89">
        <v>5</v>
      </c>
      <c r="C85" s="89">
        <v>40</v>
      </c>
      <c r="D85" s="89" t="s">
        <v>36</v>
      </c>
      <c r="E85" s="89" t="s">
        <v>34</v>
      </c>
      <c r="F85" s="89" t="s">
        <v>39</v>
      </c>
      <c r="G85" s="89"/>
      <c r="H85" s="89" t="s">
        <v>46</v>
      </c>
      <c r="I85" s="89" t="s">
        <v>42</v>
      </c>
      <c r="J85" s="89" t="s">
        <v>49</v>
      </c>
      <c r="K85" s="89"/>
      <c r="L85" s="89" t="s">
        <v>56</v>
      </c>
      <c r="M85" s="89" t="s">
        <v>52</v>
      </c>
      <c r="N85" s="89" t="s">
        <v>434</v>
      </c>
    </row>
    <row r="86" spans="2:14" x14ac:dyDescent="0.3">
      <c r="B86" s="89">
        <v>5</v>
      </c>
      <c r="C86" s="89">
        <v>45</v>
      </c>
      <c r="D86" s="89" t="s">
        <v>34</v>
      </c>
      <c r="E86" s="89" t="s">
        <v>36</v>
      </c>
      <c r="F86" s="89" t="s">
        <v>39</v>
      </c>
      <c r="G86" s="89"/>
      <c r="H86" s="89" t="s">
        <v>42</v>
      </c>
      <c r="I86" s="89" t="s">
        <v>46</v>
      </c>
      <c r="J86" s="89" t="s">
        <v>49</v>
      </c>
      <c r="K86" s="89"/>
      <c r="L86" s="89" t="s">
        <v>52</v>
      </c>
      <c r="M86" s="89" t="s">
        <v>56</v>
      </c>
      <c r="N86" s="89" t="s">
        <v>434</v>
      </c>
    </row>
    <row r="87" spans="2:14" x14ac:dyDescent="0.3">
      <c r="B87" s="89">
        <v>5</v>
      </c>
      <c r="C87" s="89">
        <v>50</v>
      </c>
      <c r="D87" s="89" t="s">
        <v>39</v>
      </c>
      <c r="E87" s="89" t="s">
        <v>34</v>
      </c>
      <c r="F87" s="89" t="s">
        <v>36</v>
      </c>
      <c r="G87" s="89"/>
      <c r="H87" s="89" t="s">
        <v>49</v>
      </c>
      <c r="I87" s="89" t="s">
        <v>42</v>
      </c>
      <c r="J87" s="89" t="s">
        <v>46</v>
      </c>
      <c r="K87" s="89"/>
      <c r="L87" s="89" t="s">
        <v>434</v>
      </c>
      <c r="M87" s="89" t="s">
        <v>52</v>
      </c>
      <c r="N87" s="89" t="s">
        <v>56</v>
      </c>
    </row>
    <row r="88" spans="2:14" x14ac:dyDescent="0.3">
      <c r="B88" s="89">
        <v>5</v>
      </c>
      <c r="C88" s="89">
        <v>55</v>
      </c>
      <c r="D88" s="89" t="s">
        <v>34</v>
      </c>
      <c r="E88" s="89" t="s">
        <v>39</v>
      </c>
      <c r="F88" s="89" t="s">
        <v>36</v>
      </c>
      <c r="G88" s="89"/>
      <c r="H88" s="89" t="s">
        <v>42</v>
      </c>
      <c r="I88" s="89" t="s">
        <v>49</v>
      </c>
      <c r="J88" s="89" t="s">
        <v>46</v>
      </c>
      <c r="K88" s="89"/>
      <c r="L88" s="89" t="s">
        <v>52</v>
      </c>
      <c r="M88" s="89" t="s">
        <v>434</v>
      </c>
      <c r="N88" s="89" t="s">
        <v>56</v>
      </c>
    </row>
    <row r="89" spans="2:14" x14ac:dyDescent="0.3">
      <c r="B89" s="89">
        <v>6</v>
      </c>
      <c r="C89" s="89">
        <v>0</v>
      </c>
      <c r="D89" s="89" t="s">
        <v>34</v>
      </c>
      <c r="E89" s="89" t="s">
        <v>36</v>
      </c>
      <c r="F89" s="89" t="s">
        <v>39</v>
      </c>
      <c r="G89" s="89"/>
      <c r="H89" s="89" t="s">
        <v>42</v>
      </c>
      <c r="I89" s="89" t="s">
        <v>46</v>
      </c>
      <c r="J89" s="89" t="s">
        <v>49</v>
      </c>
      <c r="K89" s="89"/>
      <c r="L89" s="89" t="s">
        <v>52</v>
      </c>
      <c r="M89" s="89" t="s">
        <v>56</v>
      </c>
      <c r="N89" s="89" t="s">
        <v>434</v>
      </c>
    </row>
    <row r="90" spans="2:14" x14ac:dyDescent="0.3">
      <c r="B90" s="89">
        <v>6</v>
      </c>
      <c r="C90" s="89">
        <f>C89+$H$24</f>
        <v>5</v>
      </c>
      <c r="D90" s="89" t="s">
        <v>36</v>
      </c>
      <c r="E90" s="89" t="s">
        <v>34</v>
      </c>
      <c r="F90" s="89" t="s">
        <v>39</v>
      </c>
      <c r="G90" s="89"/>
      <c r="H90" s="89" t="s">
        <v>46</v>
      </c>
      <c r="I90" s="89" t="s">
        <v>42</v>
      </c>
      <c r="J90" s="89" t="s">
        <v>49</v>
      </c>
      <c r="K90" s="89"/>
      <c r="L90" s="89" t="s">
        <v>56</v>
      </c>
      <c r="M90" s="89" t="s">
        <v>52</v>
      </c>
      <c r="N90" s="89" t="s">
        <v>434</v>
      </c>
    </row>
    <row r="91" spans="2:14" x14ac:dyDescent="0.3">
      <c r="B91" s="89">
        <v>6</v>
      </c>
      <c r="C91" s="89">
        <f>C90+$H$24</f>
        <v>10</v>
      </c>
      <c r="D91" s="89" t="s">
        <v>34</v>
      </c>
      <c r="E91" s="89" t="s">
        <v>36</v>
      </c>
      <c r="F91" s="89" t="s">
        <v>39</v>
      </c>
      <c r="G91" s="89"/>
      <c r="H91" s="89" t="s">
        <v>42</v>
      </c>
      <c r="I91" s="89" t="s">
        <v>46</v>
      </c>
      <c r="J91" s="89" t="s">
        <v>49</v>
      </c>
      <c r="K91" s="89"/>
      <c r="L91" s="89" t="s">
        <v>52</v>
      </c>
      <c r="M91" s="89" t="s">
        <v>56</v>
      </c>
      <c r="N91" s="89" t="s">
        <v>434</v>
      </c>
    </row>
    <row r="92" spans="2:14" x14ac:dyDescent="0.3">
      <c r="B92" s="89">
        <v>6</v>
      </c>
      <c r="C92" s="89">
        <f>C91+$H$24</f>
        <v>15</v>
      </c>
      <c r="D92" s="89" t="s">
        <v>36</v>
      </c>
      <c r="E92" s="89" t="s">
        <v>34</v>
      </c>
      <c r="F92" s="89" t="s">
        <v>39</v>
      </c>
      <c r="G92" s="89"/>
      <c r="H92" s="89" t="s">
        <v>46</v>
      </c>
      <c r="I92" s="89" t="s">
        <v>42</v>
      </c>
      <c r="J92" s="89" t="s">
        <v>49</v>
      </c>
      <c r="K92" s="89"/>
      <c r="L92" s="89" t="s">
        <v>56</v>
      </c>
      <c r="M92" s="89" t="s">
        <v>52</v>
      </c>
      <c r="N92" s="89" t="s">
        <v>434</v>
      </c>
    </row>
    <row r="93" spans="2:14" x14ac:dyDescent="0.3">
      <c r="B93" s="89">
        <v>6</v>
      </c>
      <c r="C93" s="89">
        <f>C92+$H$24</f>
        <v>20</v>
      </c>
      <c r="D93" s="89" t="s">
        <v>34</v>
      </c>
      <c r="E93" s="89" t="s">
        <v>36</v>
      </c>
      <c r="F93" s="89" t="s">
        <v>39</v>
      </c>
      <c r="G93" s="89"/>
      <c r="H93" s="89" t="s">
        <v>42</v>
      </c>
      <c r="I93" s="89" t="s">
        <v>46</v>
      </c>
      <c r="J93" s="89" t="s">
        <v>49</v>
      </c>
      <c r="K93" s="89"/>
      <c r="L93" s="89" t="s">
        <v>52</v>
      </c>
      <c r="M93" s="89" t="s">
        <v>56</v>
      </c>
      <c r="N93" s="89" t="s">
        <v>434</v>
      </c>
    </row>
    <row r="94" spans="2:14" x14ac:dyDescent="0.3">
      <c r="B94" s="89">
        <v>6</v>
      </c>
      <c r="C94" s="89">
        <f>C93+$H$24</f>
        <v>25</v>
      </c>
      <c r="D94" s="89" t="s">
        <v>36</v>
      </c>
      <c r="E94" s="89" t="s">
        <v>34</v>
      </c>
      <c r="F94" s="89" t="s">
        <v>39</v>
      </c>
      <c r="G94" s="89"/>
      <c r="H94" s="89" t="s">
        <v>46</v>
      </c>
      <c r="I94" s="89" t="s">
        <v>42</v>
      </c>
      <c r="J94" s="89" t="s">
        <v>49</v>
      </c>
      <c r="K94" s="89"/>
      <c r="L94" s="89" t="s">
        <v>56</v>
      </c>
      <c r="M94" s="89" t="s">
        <v>52</v>
      </c>
      <c r="N94" s="89" t="s">
        <v>434</v>
      </c>
    </row>
    <row r="95" spans="2:14" x14ac:dyDescent="0.3">
      <c r="B95" s="89">
        <v>6</v>
      </c>
      <c r="C95" s="89">
        <v>30</v>
      </c>
      <c r="D95" s="89" t="s">
        <v>39</v>
      </c>
      <c r="E95" s="89" t="s">
        <v>36</v>
      </c>
      <c r="F95" s="89" t="s">
        <v>34</v>
      </c>
      <c r="G95" s="89"/>
      <c r="H95" s="89" t="s">
        <v>49</v>
      </c>
      <c r="I95" s="89" t="s">
        <v>46</v>
      </c>
      <c r="J95" s="89" t="s">
        <v>42</v>
      </c>
      <c r="K95" s="89"/>
      <c r="L95" s="89" t="s">
        <v>434</v>
      </c>
      <c r="M95" s="89" t="s">
        <v>56</v>
      </c>
      <c r="N95" s="89" t="s">
        <v>52</v>
      </c>
    </row>
    <row r="96" spans="2:14" x14ac:dyDescent="0.3">
      <c r="B96" s="89">
        <v>6</v>
      </c>
      <c r="C96" s="89">
        <v>35</v>
      </c>
      <c r="D96" s="89" t="s">
        <v>36</v>
      </c>
      <c r="E96" s="89" t="s">
        <v>39</v>
      </c>
      <c r="F96" s="89" t="s">
        <v>34</v>
      </c>
      <c r="G96" s="89"/>
      <c r="H96" s="89" t="s">
        <v>46</v>
      </c>
      <c r="I96" s="89" t="s">
        <v>49</v>
      </c>
      <c r="J96" s="89" t="s">
        <v>42</v>
      </c>
      <c r="K96" s="89"/>
      <c r="L96" s="89" t="s">
        <v>56</v>
      </c>
      <c r="M96" s="89" t="s">
        <v>434</v>
      </c>
      <c r="N96" s="89" t="s">
        <v>52</v>
      </c>
    </row>
    <row r="97" spans="2:14" x14ac:dyDescent="0.3">
      <c r="B97" s="89">
        <v>6</v>
      </c>
      <c r="C97" s="89">
        <v>40</v>
      </c>
      <c r="D97" s="89" t="s">
        <v>34</v>
      </c>
      <c r="E97" s="89" t="s">
        <v>39</v>
      </c>
      <c r="F97" s="89" t="s">
        <v>36</v>
      </c>
      <c r="G97" s="89"/>
      <c r="H97" s="89" t="s">
        <v>42</v>
      </c>
      <c r="I97" s="89" t="s">
        <v>49</v>
      </c>
      <c r="J97" s="89" t="s">
        <v>46</v>
      </c>
      <c r="K97" s="89"/>
      <c r="L97" s="89" t="s">
        <v>52</v>
      </c>
      <c r="M97" s="89" t="s">
        <v>434</v>
      </c>
      <c r="N97" s="89" t="s">
        <v>56</v>
      </c>
    </row>
    <row r="98" spans="2:14" x14ac:dyDescent="0.3">
      <c r="B98" s="89">
        <v>6</v>
      </c>
      <c r="C98" s="89">
        <v>45</v>
      </c>
      <c r="D98" s="89" t="s">
        <v>39</v>
      </c>
      <c r="E98" s="89" t="s">
        <v>34</v>
      </c>
      <c r="F98" s="89" t="s">
        <v>36</v>
      </c>
      <c r="G98" s="89"/>
      <c r="H98" s="89" t="s">
        <v>49</v>
      </c>
      <c r="I98" s="89" t="s">
        <v>42</v>
      </c>
      <c r="J98" s="89" t="s">
        <v>46</v>
      </c>
      <c r="K98" s="89"/>
      <c r="L98" s="89" t="s">
        <v>434</v>
      </c>
      <c r="M98" s="89" t="s">
        <v>52</v>
      </c>
      <c r="N98" s="89" t="s">
        <v>56</v>
      </c>
    </row>
    <row r="99" spans="2:14" x14ac:dyDescent="0.3">
      <c r="B99" s="89">
        <v>6</v>
      </c>
      <c r="C99" s="89">
        <v>50</v>
      </c>
      <c r="D99" s="89" t="s">
        <v>34</v>
      </c>
      <c r="E99" s="89" t="s">
        <v>36</v>
      </c>
      <c r="F99" s="89" t="s">
        <v>39</v>
      </c>
      <c r="G99" s="89"/>
      <c r="H99" s="89" t="s">
        <v>42</v>
      </c>
      <c r="I99" s="89" t="s">
        <v>46</v>
      </c>
      <c r="J99" s="89" t="s">
        <v>49</v>
      </c>
      <c r="K99" s="89"/>
      <c r="L99" s="89" t="s">
        <v>52</v>
      </c>
      <c r="M99" s="89" t="s">
        <v>56</v>
      </c>
      <c r="N99" s="89" t="s">
        <v>434</v>
      </c>
    </row>
    <row r="100" spans="2:14" x14ac:dyDescent="0.3">
      <c r="B100" s="89">
        <v>6</v>
      </c>
      <c r="C100" s="89">
        <v>55</v>
      </c>
      <c r="D100" s="89" t="s">
        <v>36</v>
      </c>
      <c r="E100" s="89" t="s">
        <v>34</v>
      </c>
      <c r="F100" s="89" t="s">
        <v>39</v>
      </c>
      <c r="G100" s="89"/>
      <c r="H100" s="89" t="s">
        <v>46</v>
      </c>
      <c r="I100" s="89" t="s">
        <v>42</v>
      </c>
      <c r="J100" s="89" t="s">
        <v>49</v>
      </c>
      <c r="K100" s="89"/>
      <c r="L100" s="89" t="s">
        <v>56</v>
      </c>
      <c r="M100" s="89" t="s">
        <v>52</v>
      </c>
      <c r="N100" s="89" t="s">
        <v>434</v>
      </c>
    </row>
    <row r="101" spans="2:14" x14ac:dyDescent="0.3">
      <c r="B101" s="89">
        <v>7</v>
      </c>
      <c r="C101" s="89">
        <v>0</v>
      </c>
      <c r="D101" s="89" t="s">
        <v>34</v>
      </c>
      <c r="E101" s="89" t="s">
        <v>36</v>
      </c>
      <c r="F101" s="89" t="s">
        <v>39</v>
      </c>
      <c r="G101" s="89"/>
      <c r="H101" s="89" t="s">
        <v>42</v>
      </c>
      <c r="I101" s="89" t="s">
        <v>46</v>
      </c>
      <c r="J101" s="89" t="s">
        <v>49</v>
      </c>
      <c r="K101" s="89"/>
      <c r="L101" s="89" t="s">
        <v>52</v>
      </c>
      <c r="M101" s="89" t="s">
        <v>56</v>
      </c>
      <c r="N101" s="89" t="s">
        <v>434</v>
      </c>
    </row>
    <row r="102" spans="2:14" x14ac:dyDescent="0.3">
      <c r="B102" s="89">
        <v>7</v>
      </c>
      <c r="C102" s="89">
        <f>C101+$H$24</f>
        <v>5</v>
      </c>
      <c r="D102" s="89" t="s">
        <v>36</v>
      </c>
      <c r="E102" s="89" t="s">
        <v>34</v>
      </c>
      <c r="F102" s="89" t="s">
        <v>39</v>
      </c>
      <c r="G102" s="89"/>
      <c r="H102" s="89" t="s">
        <v>46</v>
      </c>
      <c r="I102" s="89" t="s">
        <v>42</v>
      </c>
      <c r="J102" s="89" t="s">
        <v>49</v>
      </c>
      <c r="K102" s="89"/>
      <c r="L102" s="89" t="s">
        <v>56</v>
      </c>
      <c r="M102" s="89" t="s">
        <v>52</v>
      </c>
      <c r="N102" s="89" t="s">
        <v>434</v>
      </c>
    </row>
    <row r="103" spans="2:14" x14ac:dyDescent="0.3">
      <c r="B103" s="89">
        <v>7</v>
      </c>
      <c r="C103" s="89">
        <f>C102+$H$24</f>
        <v>10</v>
      </c>
      <c r="D103" s="89" t="s">
        <v>34</v>
      </c>
      <c r="E103" s="89" t="s">
        <v>36</v>
      </c>
      <c r="F103" s="89" t="s">
        <v>39</v>
      </c>
      <c r="G103" s="89"/>
      <c r="H103" s="89" t="s">
        <v>42</v>
      </c>
      <c r="I103" s="89" t="s">
        <v>46</v>
      </c>
      <c r="J103" s="89" t="s">
        <v>49</v>
      </c>
      <c r="K103" s="89"/>
      <c r="L103" s="89" t="s">
        <v>52</v>
      </c>
      <c r="M103" s="89" t="s">
        <v>56</v>
      </c>
      <c r="N103" s="89" t="s">
        <v>434</v>
      </c>
    </row>
    <row r="104" spans="2:14" x14ac:dyDescent="0.3">
      <c r="B104" s="89">
        <v>7</v>
      </c>
      <c r="C104" s="89">
        <f>C103+$H$24</f>
        <v>15</v>
      </c>
      <c r="D104" s="89" t="s">
        <v>36</v>
      </c>
      <c r="E104" s="89" t="s">
        <v>39</v>
      </c>
      <c r="F104" s="89" t="s">
        <v>34</v>
      </c>
      <c r="G104" s="89"/>
      <c r="H104" s="89" t="s">
        <v>46</v>
      </c>
      <c r="I104" s="89" t="s">
        <v>49</v>
      </c>
      <c r="J104" s="89" t="s">
        <v>42</v>
      </c>
      <c r="K104" s="89"/>
      <c r="L104" s="89" t="s">
        <v>56</v>
      </c>
      <c r="M104" s="89" t="s">
        <v>434</v>
      </c>
      <c r="N104" s="89" t="s">
        <v>52</v>
      </c>
    </row>
    <row r="105" spans="2:14" x14ac:dyDescent="0.3">
      <c r="B105" s="89">
        <v>7</v>
      </c>
      <c r="C105" s="89">
        <f>C104+$H$24</f>
        <v>20</v>
      </c>
      <c r="D105" s="89" t="s">
        <v>39</v>
      </c>
      <c r="E105" s="89" t="s">
        <v>36</v>
      </c>
      <c r="F105" s="89" t="s">
        <v>34</v>
      </c>
      <c r="G105" s="89"/>
      <c r="H105" s="89" t="s">
        <v>49</v>
      </c>
      <c r="I105" s="89" t="s">
        <v>46</v>
      </c>
      <c r="J105" s="89" t="s">
        <v>42</v>
      </c>
      <c r="K105" s="89"/>
      <c r="L105" s="89" t="s">
        <v>434</v>
      </c>
      <c r="M105" s="89" t="s">
        <v>56</v>
      </c>
      <c r="N105" s="89" t="s">
        <v>52</v>
      </c>
    </row>
    <row r="106" spans="2:14" x14ac:dyDescent="0.3">
      <c r="B106" s="89">
        <v>7</v>
      </c>
      <c r="C106" s="89">
        <f>C105+$H$24</f>
        <v>25</v>
      </c>
      <c r="D106" s="89" t="s">
        <v>36</v>
      </c>
      <c r="E106" s="89" t="s">
        <v>34</v>
      </c>
      <c r="F106" s="89" t="s">
        <v>39</v>
      </c>
      <c r="G106" s="89"/>
      <c r="H106" s="89" t="s">
        <v>46</v>
      </c>
      <c r="I106" s="89" t="s">
        <v>42</v>
      </c>
      <c r="J106" s="89" t="s">
        <v>49</v>
      </c>
      <c r="K106" s="89"/>
      <c r="L106" s="89" t="s">
        <v>56</v>
      </c>
      <c r="M106" s="89" t="s">
        <v>52</v>
      </c>
      <c r="N106" s="89" t="s">
        <v>434</v>
      </c>
    </row>
    <row r="107" spans="2:14" x14ac:dyDescent="0.3">
      <c r="B107" s="89">
        <v>7</v>
      </c>
      <c r="C107" s="89">
        <v>30</v>
      </c>
      <c r="D107" s="89" t="s">
        <v>34</v>
      </c>
      <c r="E107" s="89" t="s">
        <v>36</v>
      </c>
      <c r="F107" s="89" t="s">
        <v>39</v>
      </c>
      <c r="G107" s="89"/>
      <c r="H107" s="89" t="s">
        <v>42</v>
      </c>
      <c r="I107" s="89" t="s">
        <v>46</v>
      </c>
      <c r="J107" s="89" t="s">
        <v>49</v>
      </c>
      <c r="K107" s="89"/>
      <c r="L107" s="89" t="s">
        <v>52</v>
      </c>
      <c r="M107" s="89" t="s">
        <v>56</v>
      </c>
      <c r="N107" s="89" t="s">
        <v>434</v>
      </c>
    </row>
    <row r="108" spans="2:14" x14ac:dyDescent="0.3">
      <c r="B108" s="89">
        <v>7</v>
      </c>
      <c r="C108" s="89">
        <v>35</v>
      </c>
      <c r="D108" s="89" t="s">
        <v>36</v>
      </c>
      <c r="E108" s="89" t="s">
        <v>34</v>
      </c>
      <c r="F108" s="89" t="s">
        <v>39</v>
      </c>
      <c r="G108" s="89"/>
      <c r="H108" s="89" t="s">
        <v>46</v>
      </c>
      <c r="I108" s="89" t="s">
        <v>42</v>
      </c>
      <c r="J108" s="89" t="s">
        <v>49</v>
      </c>
      <c r="K108" s="89"/>
      <c r="L108" s="89" t="s">
        <v>56</v>
      </c>
      <c r="M108" s="89" t="s">
        <v>52</v>
      </c>
      <c r="N108" s="89" t="s">
        <v>434</v>
      </c>
    </row>
    <row r="109" spans="2:14" x14ac:dyDescent="0.3">
      <c r="B109" s="89">
        <v>7</v>
      </c>
      <c r="C109" s="89">
        <v>40</v>
      </c>
      <c r="D109" s="89" t="s">
        <v>34</v>
      </c>
      <c r="E109" s="89" t="s">
        <v>39</v>
      </c>
      <c r="F109" s="89" t="s">
        <v>36</v>
      </c>
      <c r="G109" s="89"/>
      <c r="H109" s="89" t="s">
        <v>42</v>
      </c>
      <c r="I109" s="89" t="s">
        <v>49</v>
      </c>
      <c r="J109" s="89" t="s">
        <v>46</v>
      </c>
      <c r="K109" s="89"/>
      <c r="L109" s="89" t="s">
        <v>52</v>
      </c>
      <c r="M109" s="89" t="s">
        <v>434</v>
      </c>
      <c r="N109" s="89" t="s">
        <v>56</v>
      </c>
    </row>
    <row r="110" spans="2:14" x14ac:dyDescent="0.3">
      <c r="B110" s="89">
        <v>7</v>
      </c>
      <c r="C110" s="89">
        <v>45</v>
      </c>
      <c r="D110" s="89" t="s">
        <v>39</v>
      </c>
      <c r="E110" s="89" t="s">
        <v>34</v>
      </c>
      <c r="F110" s="89" t="s">
        <v>36</v>
      </c>
      <c r="G110" s="89"/>
      <c r="H110" s="89" t="s">
        <v>49</v>
      </c>
      <c r="I110" s="89" t="s">
        <v>42</v>
      </c>
      <c r="J110" s="89" t="s">
        <v>46</v>
      </c>
      <c r="K110" s="89"/>
      <c r="L110" s="89" t="s">
        <v>434</v>
      </c>
      <c r="M110" s="89" t="s">
        <v>52</v>
      </c>
      <c r="N110" s="89" t="s">
        <v>56</v>
      </c>
    </row>
    <row r="111" spans="2:14" x14ac:dyDescent="0.3">
      <c r="B111" s="89">
        <v>7</v>
      </c>
      <c r="C111" s="89">
        <v>50</v>
      </c>
      <c r="D111" s="89" t="s">
        <v>34</v>
      </c>
      <c r="E111" s="89" t="s">
        <v>36</v>
      </c>
      <c r="F111" s="89" t="s">
        <v>39</v>
      </c>
      <c r="G111" s="89"/>
      <c r="H111" s="89" t="s">
        <v>42</v>
      </c>
      <c r="I111" s="89" t="s">
        <v>46</v>
      </c>
      <c r="J111" s="89" t="s">
        <v>49</v>
      </c>
      <c r="K111" s="89"/>
      <c r="L111" s="89" t="s">
        <v>52</v>
      </c>
      <c r="M111" s="89" t="s">
        <v>56</v>
      </c>
      <c r="N111" s="89" t="s">
        <v>434</v>
      </c>
    </row>
    <row r="112" spans="2:14" x14ac:dyDescent="0.3">
      <c r="B112" s="89">
        <v>7</v>
      </c>
      <c r="C112" s="89">
        <v>55</v>
      </c>
      <c r="D112" s="89" t="s">
        <v>36</v>
      </c>
      <c r="E112" s="89" t="s">
        <v>34</v>
      </c>
      <c r="F112" s="89" t="s">
        <v>39</v>
      </c>
      <c r="G112" s="89"/>
      <c r="H112" s="89" t="s">
        <v>46</v>
      </c>
      <c r="I112" s="89" t="s">
        <v>42</v>
      </c>
      <c r="J112" s="89" t="s">
        <v>49</v>
      </c>
      <c r="K112" s="89"/>
      <c r="L112" s="89" t="s">
        <v>56</v>
      </c>
      <c r="M112" s="89" t="s">
        <v>52</v>
      </c>
      <c r="N112" s="89" t="s">
        <v>434</v>
      </c>
    </row>
    <row r="113" spans="1:14" x14ac:dyDescent="0.3">
      <c r="B113" s="89">
        <v>8</v>
      </c>
      <c r="C113" s="89">
        <v>0</v>
      </c>
      <c r="D113" s="89" t="s">
        <v>39</v>
      </c>
      <c r="E113" s="89" t="s">
        <v>36</v>
      </c>
      <c r="F113" s="89" t="s">
        <v>34</v>
      </c>
      <c r="G113" s="89"/>
      <c r="H113" s="89" t="s">
        <v>49</v>
      </c>
      <c r="I113" s="89" t="s">
        <v>46</v>
      </c>
      <c r="J113" s="89" t="s">
        <v>42</v>
      </c>
      <c r="K113" s="89"/>
      <c r="L113" s="89" t="s">
        <v>434</v>
      </c>
      <c r="M113" s="89" t="s">
        <v>56</v>
      </c>
      <c r="N113" s="89" t="s">
        <v>52</v>
      </c>
    </row>
    <row r="114" spans="1:14" x14ac:dyDescent="0.3">
      <c r="B114" s="89">
        <v>8</v>
      </c>
      <c r="C114" s="89">
        <f>C113+$H$24</f>
        <v>5</v>
      </c>
      <c r="D114" s="89" t="s">
        <v>36</v>
      </c>
      <c r="E114" s="89" t="s">
        <v>39</v>
      </c>
      <c r="F114" s="89" t="s">
        <v>34</v>
      </c>
      <c r="G114" s="89"/>
      <c r="H114" s="89" t="s">
        <v>46</v>
      </c>
      <c r="I114" s="89" t="s">
        <v>49</v>
      </c>
      <c r="J114" s="89" t="s">
        <v>42</v>
      </c>
      <c r="K114" s="89"/>
      <c r="L114" s="89" t="s">
        <v>56</v>
      </c>
      <c r="M114" s="89" t="s">
        <v>434</v>
      </c>
      <c r="N114" s="89" t="s">
        <v>52</v>
      </c>
    </row>
    <row r="115" spans="1:14" x14ac:dyDescent="0.3">
      <c r="B115" s="89">
        <v>8</v>
      </c>
      <c r="C115" s="89">
        <f>C114+$H$24</f>
        <v>10</v>
      </c>
      <c r="D115" s="89" t="s">
        <v>39</v>
      </c>
      <c r="E115" s="89" t="s">
        <v>36</v>
      </c>
      <c r="F115" s="89" t="s">
        <v>34</v>
      </c>
      <c r="G115" s="89"/>
      <c r="H115" s="89" t="s">
        <v>49</v>
      </c>
      <c r="I115" s="89" t="s">
        <v>46</v>
      </c>
      <c r="J115" s="89" t="s">
        <v>42</v>
      </c>
      <c r="K115" s="89"/>
      <c r="L115" s="89" t="s">
        <v>434</v>
      </c>
      <c r="M115" s="89" t="s">
        <v>56</v>
      </c>
      <c r="N115" s="89" t="s">
        <v>52</v>
      </c>
    </row>
    <row r="116" spans="1:14" x14ac:dyDescent="0.3">
      <c r="B116" s="89">
        <v>8</v>
      </c>
      <c r="C116" s="89">
        <f>C115+$H$24</f>
        <v>15</v>
      </c>
      <c r="D116" s="89" t="s">
        <v>36</v>
      </c>
      <c r="E116" s="89" t="s">
        <v>34</v>
      </c>
      <c r="F116" s="89" t="s">
        <v>39</v>
      </c>
      <c r="G116" s="89"/>
      <c r="H116" s="89" t="s">
        <v>46</v>
      </c>
      <c r="I116" s="89" t="s">
        <v>42</v>
      </c>
      <c r="J116" s="89" t="s">
        <v>49</v>
      </c>
      <c r="K116" s="89"/>
      <c r="L116" s="89" t="s">
        <v>56</v>
      </c>
      <c r="M116" s="89" t="s">
        <v>52</v>
      </c>
      <c r="N116" s="89" t="s">
        <v>434</v>
      </c>
    </row>
    <row r="117" spans="1:14" x14ac:dyDescent="0.3">
      <c r="B117" s="89">
        <v>8</v>
      </c>
      <c r="C117" s="89">
        <f>C116+$H$24</f>
        <v>20</v>
      </c>
      <c r="D117" s="89" t="s">
        <v>34</v>
      </c>
      <c r="E117" s="89" t="s">
        <v>36</v>
      </c>
      <c r="F117" s="89" t="s">
        <v>39</v>
      </c>
      <c r="G117" s="89"/>
      <c r="H117" s="89" t="s">
        <v>42</v>
      </c>
      <c r="I117" s="89" t="s">
        <v>46</v>
      </c>
      <c r="J117" s="89" t="s">
        <v>49</v>
      </c>
      <c r="K117" s="89"/>
      <c r="L117" s="89" t="s">
        <v>52</v>
      </c>
      <c r="M117" s="89" t="s">
        <v>56</v>
      </c>
      <c r="N117" s="89" t="s">
        <v>434</v>
      </c>
    </row>
    <row r="118" spans="1:14" x14ac:dyDescent="0.3">
      <c r="B118" s="89">
        <v>8</v>
      </c>
      <c r="C118" s="89">
        <f>C117+$H$24</f>
        <v>25</v>
      </c>
      <c r="D118" s="89" t="s">
        <v>36</v>
      </c>
      <c r="E118" s="89" t="s">
        <v>39</v>
      </c>
      <c r="F118" s="89" t="s">
        <v>34</v>
      </c>
      <c r="G118" s="89"/>
      <c r="H118" s="89" t="s">
        <v>46</v>
      </c>
      <c r="I118" s="89" t="s">
        <v>49</v>
      </c>
      <c r="J118" s="89" t="s">
        <v>42</v>
      </c>
      <c r="K118" s="89"/>
      <c r="L118" s="89" t="s">
        <v>56</v>
      </c>
      <c r="M118" s="89" t="s">
        <v>434</v>
      </c>
      <c r="N118" s="89" t="s">
        <v>52</v>
      </c>
    </row>
    <row r="119" spans="1:14" x14ac:dyDescent="0.3">
      <c r="B119" s="89">
        <v>8</v>
      </c>
      <c r="C119" s="89">
        <v>30</v>
      </c>
      <c r="D119" s="89" t="s">
        <v>39</v>
      </c>
      <c r="E119" s="89" t="s">
        <v>36</v>
      </c>
      <c r="F119" s="89" t="s">
        <v>34</v>
      </c>
      <c r="G119" s="89"/>
      <c r="H119" s="89" t="s">
        <v>49</v>
      </c>
      <c r="I119" s="89" t="s">
        <v>46</v>
      </c>
      <c r="J119" s="89" t="s">
        <v>42</v>
      </c>
      <c r="K119" s="89"/>
      <c r="L119" s="89" t="s">
        <v>434</v>
      </c>
      <c r="M119" s="89" t="s">
        <v>56</v>
      </c>
      <c r="N119" s="89" t="s">
        <v>52</v>
      </c>
    </row>
    <row r="120" spans="1:14" x14ac:dyDescent="0.3">
      <c r="B120" s="89">
        <v>8</v>
      </c>
      <c r="C120" s="89">
        <v>35</v>
      </c>
      <c r="D120" s="89" t="s">
        <v>36</v>
      </c>
      <c r="E120" s="89" t="s">
        <v>39</v>
      </c>
      <c r="F120" s="89" t="s">
        <v>34</v>
      </c>
      <c r="G120" s="89"/>
      <c r="H120" s="89" t="s">
        <v>46</v>
      </c>
      <c r="I120" s="89" t="s">
        <v>49</v>
      </c>
      <c r="J120" s="89" t="s">
        <v>42</v>
      </c>
      <c r="K120" s="89"/>
      <c r="L120" s="89" t="s">
        <v>56</v>
      </c>
      <c r="M120" s="89" t="s">
        <v>434</v>
      </c>
      <c r="N120" s="89" t="s">
        <v>52</v>
      </c>
    </row>
    <row r="121" spans="1:14" x14ac:dyDescent="0.3">
      <c r="B121" s="89">
        <v>8</v>
      </c>
      <c r="C121" s="89">
        <v>40</v>
      </c>
      <c r="D121" s="89" t="s">
        <v>39</v>
      </c>
      <c r="E121" s="89" t="s">
        <v>34</v>
      </c>
      <c r="F121" s="89" t="s">
        <v>36</v>
      </c>
      <c r="G121" s="89"/>
      <c r="H121" s="89" t="s">
        <v>49</v>
      </c>
      <c r="I121" s="89" t="s">
        <v>42</v>
      </c>
      <c r="J121" s="89" t="s">
        <v>46</v>
      </c>
      <c r="K121" s="89"/>
      <c r="L121" s="89" t="s">
        <v>434</v>
      </c>
      <c r="M121" s="89" t="s">
        <v>52</v>
      </c>
      <c r="N121" s="89" t="s">
        <v>56</v>
      </c>
    </row>
    <row r="122" spans="1:14" x14ac:dyDescent="0.3">
      <c r="B122" s="89">
        <v>8</v>
      </c>
      <c r="C122" s="89">
        <v>45</v>
      </c>
      <c r="D122" s="89" t="s">
        <v>34</v>
      </c>
      <c r="E122" s="89" t="s">
        <v>39</v>
      </c>
      <c r="F122" s="89" t="s">
        <v>36</v>
      </c>
      <c r="G122" s="89"/>
      <c r="H122" s="89" t="s">
        <v>42</v>
      </c>
      <c r="I122" s="89" t="s">
        <v>49</v>
      </c>
      <c r="J122" s="89" t="s">
        <v>46</v>
      </c>
      <c r="K122" s="89"/>
      <c r="L122" s="89" t="s">
        <v>52</v>
      </c>
      <c r="M122" s="89" t="s">
        <v>434</v>
      </c>
      <c r="N122" s="89" t="s">
        <v>56</v>
      </c>
    </row>
    <row r="123" spans="1:14" x14ac:dyDescent="0.3">
      <c r="B123" s="89">
        <v>8</v>
      </c>
      <c r="C123" s="89">
        <v>50</v>
      </c>
      <c r="D123" s="89" t="s">
        <v>39</v>
      </c>
      <c r="E123" s="89" t="s">
        <v>36</v>
      </c>
      <c r="F123" s="89" t="s">
        <v>34</v>
      </c>
      <c r="G123" s="89"/>
      <c r="H123" s="89" t="s">
        <v>49</v>
      </c>
      <c r="I123" s="89" t="s">
        <v>46</v>
      </c>
      <c r="J123" s="89" t="s">
        <v>42</v>
      </c>
      <c r="K123" s="89"/>
      <c r="L123" s="89" t="s">
        <v>434</v>
      </c>
      <c r="M123" s="89" t="s">
        <v>56</v>
      </c>
      <c r="N123" s="89" t="s">
        <v>52</v>
      </c>
    </row>
    <row r="124" spans="1:14" x14ac:dyDescent="0.3">
      <c r="B124" s="89">
        <v>8</v>
      </c>
      <c r="C124" s="89">
        <v>55</v>
      </c>
      <c r="D124" s="89" t="s">
        <v>36</v>
      </c>
      <c r="E124" s="89" t="s">
        <v>39</v>
      </c>
      <c r="F124" s="89" t="s">
        <v>34</v>
      </c>
      <c r="G124" s="89"/>
      <c r="H124" s="89" t="s">
        <v>46</v>
      </c>
      <c r="I124" s="89" t="s">
        <v>49</v>
      </c>
      <c r="J124" s="89" t="s">
        <v>42</v>
      </c>
      <c r="K124" s="89"/>
      <c r="L124" s="89" t="s">
        <v>56</v>
      </c>
      <c r="M124" s="89" t="s">
        <v>434</v>
      </c>
      <c r="N124" s="89" t="s">
        <v>52</v>
      </c>
    </row>
    <row r="126" spans="1:14" x14ac:dyDescent="0.3">
      <c r="A126" t="s">
        <v>435</v>
      </c>
      <c r="D126" t="str">
        <f>D28</f>
        <v>Assembling</v>
      </c>
      <c r="E126" t="str">
        <f>E28</f>
        <v>Picking</v>
      </c>
      <c r="F126" t="str">
        <f>F28</f>
        <v>Standby</v>
      </c>
      <c r="H126" t="str">
        <f>H28</f>
        <v>Assembling</v>
      </c>
      <c r="I126" t="str">
        <f>I28</f>
        <v>Picking</v>
      </c>
      <c r="J126" t="str">
        <f>J28</f>
        <v>Standby</v>
      </c>
      <c r="L126" t="str">
        <f>L28</f>
        <v>Assembling</v>
      </c>
      <c r="M126" t="str">
        <f>M28</f>
        <v>Picking</v>
      </c>
      <c r="N126" t="str">
        <f>N28</f>
        <v>Standby</v>
      </c>
    </row>
    <row r="127" spans="1:14" x14ac:dyDescent="0.3">
      <c r="C127" s="89" t="s">
        <v>34</v>
      </c>
      <c r="D127" s="89">
        <f t="shared" ref="D127:F129" si="3">COUNTIF(D$29:D$124,$C127)</f>
        <v>31</v>
      </c>
      <c r="E127" s="89">
        <f t="shared" si="3"/>
        <v>31</v>
      </c>
      <c r="F127" s="89">
        <f t="shared" si="3"/>
        <v>34</v>
      </c>
      <c r="G127" s="89" t="s">
        <v>42</v>
      </c>
      <c r="H127" s="89">
        <f t="shared" ref="H127:J129" si="4">COUNTIF(H$29:H$124,$G127)</f>
        <v>31</v>
      </c>
      <c r="I127" s="89">
        <f t="shared" si="4"/>
        <v>31</v>
      </c>
      <c r="J127" s="89">
        <f t="shared" si="4"/>
        <v>34</v>
      </c>
      <c r="K127" s="89" t="s">
        <v>52</v>
      </c>
      <c r="L127" s="89">
        <f t="shared" ref="L127:N129" si="5">COUNTIF(L$29:L$124,$K127)</f>
        <v>31</v>
      </c>
      <c r="M127" s="89">
        <f t="shared" si="5"/>
        <v>31</v>
      </c>
      <c r="N127" s="89">
        <f t="shared" si="5"/>
        <v>34</v>
      </c>
    </row>
    <row r="128" spans="1:14" x14ac:dyDescent="0.3">
      <c r="C128" s="89" t="s">
        <v>36</v>
      </c>
      <c r="D128" s="89">
        <f t="shared" si="3"/>
        <v>34</v>
      </c>
      <c r="E128" s="89">
        <f t="shared" si="3"/>
        <v>34</v>
      </c>
      <c r="F128" s="89">
        <f t="shared" si="3"/>
        <v>28</v>
      </c>
      <c r="G128" s="89" t="s">
        <v>46</v>
      </c>
      <c r="H128" s="89">
        <f t="shared" si="4"/>
        <v>34</v>
      </c>
      <c r="I128" s="89">
        <f t="shared" si="4"/>
        <v>34</v>
      </c>
      <c r="J128" s="89">
        <f t="shared" si="4"/>
        <v>28</v>
      </c>
      <c r="K128" s="89" t="s">
        <v>56</v>
      </c>
      <c r="L128" s="89">
        <f t="shared" si="5"/>
        <v>34</v>
      </c>
      <c r="M128" s="89">
        <f t="shared" si="5"/>
        <v>34</v>
      </c>
      <c r="N128" s="89">
        <f t="shared" si="5"/>
        <v>28</v>
      </c>
    </row>
    <row r="129" spans="1:14" x14ac:dyDescent="0.3">
      <c r="C129" s="89" t="s">
        <v>39</v>
      </c>
      <c r="D129" s="89">
        <f t="shared" si="3"/>
        <v>31</v>
      </c>
      <c r="E129" s="89">
        <f t="shared" si="3"/>
        <v>31</v>
      </c>
      <c r="F129" s="89">
        <f t="shared" si="3"/>
        <v>34</v>
      </c>
      <c r="G129" s="89" t="s">
        <v>49</v>
      </c>
      <c r="H129" s="89">
        <f t="shared" si="4"/>
        <v>31</v>
      </c>
      <c r="I129" s="89">
        <f t="shared" si="4"/>
        <v>31</v>
      </c>
      <c r="J129" s="89">
        <f t="shared" si="4"/>
        <v>34</v>
      </c>
      <c r="K129" s="89" t="s">
        <v>434</v>
      </c>
      <c r="L129" s="89">
        <f t="shared" si="5"/>
        <v>31</v>
      </c>
      <c r="M129" s="89">
        <f t="shared" si="5"/>
        <v>31</v>
      </c>
      <c r="N129" s="89">
        <f t="shared" si="5"/>
        <v>34</v>
      </c>
    </row>
    <row r="131" spans="1:14" x14ac:dyDescent="0.3">
      <c r="A131" t="s">
        <v>436</v>
      </c>
    </row>
    <row r="132" spans="1:14" x14ac:dyDescent="0.3">
      <c r="D132" t="s">
        <v>437</v>
      </c>
      <c r="E132" t="s">
        <v>433</v>
      </c>
      <c r="H132" t="s">
        <v>437</v>
      </c>
      <c r="I132" t="s">
        <v>433</v>
      </c>
      <c r="L132" t="s">
        <v>437</v>
      </c>
      <c r="M132" t="s">
        <v>433</v>
      </c>
    </row>
    <row r="133" spans="1:14" x14ac:dyDescent="0.3">
      <c r="C133" s="89" t="s">
        <v>34</v>
      </c>
      <c r="D133" s="89">
        <f>(D127+E127)*5/60</f>
        <v>5.166666666666667</v>
      </c>
      <c r="E133" s="89">
        <f>F127*5/60</f>
        <v>2.8333333333333335</v>
      </c>
      <c r="F133" s="89"/>
      <c r="G133" s="89" t="s">
        <v>42</v>
      </c>
      <c r="H133" s="89">
        <f>(H127+I127)*5/60</f>
        <v>5.166666666666667</v>
      </c>
      <c r="I133" s="89">
        <f>J127*5/60</f>
        <v>2.8333333333333335</v>
      </c>
      <c r="J133" s="89"/>
      <c r="K133" s="89" t="s">
        <v>52</v>
      </c>
      <c r="L133" s="89">
        <f>(L127+M127)*5/60</f>
        <v>5.166666666666667</v>
      </c>
      <c r="M133" s="89">
        <f>N127*5/60</f>
        <v>2.8333333333333335</v>
      </c>
    </row>
    <row r="134" spans="1:14" x14ac:dyDescent="0.3">
      <c r="C134" s="89" t="s">
        <v>36</v>
      </c>
      <c r="D134" s="89">
        <f>(D128+E128)*5/60</f>
        <v>5.666666666666667</v>
      </c>
      <c r="E134" s="89">
        <f>F128*5/60</f>
        <v>2.3333333333333335</v>
      </c>
      <c r="F134" s="89"/>
      <c r="G134" s="89" t="s">
        <v>46</v>
      </c>
      <c r="H134" s="89">
        <f>(H128+I128)*5/60</f>
        <v>5.666666666666667</v>
      </c>
      <c r="I134" s="89">
        <f>J128*5/60</f>
        <v>2.3333333333333335</v>
      </c>
      <c r="J134" s="89"/>
      <c r="K134" s="89" t="s">
        <v>56</v>
      </c>
      <c r="L134" s="89">
        <f>(L128+M128)*5/60</f>
        <v>5.666666666666667</v>
      </c>
      <c r="M134" s="89">
        <f>N128*5/60</f>
        <v>2.3333333333333335</v>
      </c>
    </row>
    <row r="135" spans="1:14" x14ac:dyDescent="0.3">
      <c r="C135" s="89" t="s">
        <v>39</v>
      </c>
      <c r="D135" s="89">
        <f>(D129+E129)*5/60</f>
        <v>5.166666666666667</v>
      </c>
      <c r="E135" s="89">
        <f>F129*5/60</f>
        <v>2.8333333333333335</v>
      </c>
      <c r="F135" s="89"/>
      <c r="G135" s="89" t="s">
        <v>49</v>
      </c>
      <c r="H135" s="89">
        <f>(H129+I129)*5/60</f>
        <v>5.166666666666667</v>
      </c>
      <c r="I135" s="89">
        <f>J129*5/60</f>
        <v>2.8333333333333335</v>
      </c>
      <c r="J135" s="89"/>
      <c r="K135" s="89" t="s">
        <v>434</v>
      </c>
      <c r="L135" s="89">
        <f>(L129+M129)*5/60</f>
        <v>5.166666666666667</v>
      </c>
      <c r="M135" s="89">
        <f>N129*5/60</f>
        <v>2.8333333333333335</v>
      </c>
    </row>
    <row r="137" spans="1:14" x14ac:dyDescent="0.3">
      <c r="A137" t="s">
        <v>438</v>
      </c>
    </row>
    <row r="138" spans="1:14" x14ac:dyDescent="0.3">
      <c r="D138" t="s">
        <v>437</v>
      </c>
      <c r="E138" t="s">
        <v>433</v>
      </c>
      <c r="H138" t="s">
        <v>437</v>
      </c>
      <c r="I138" t="s">
        <v>433</v>
      </c>
      <c r="L138" t="s">
        <v>437</v>
      </c>
      <c r="M138" t="s">
        <v>433</v>
      </c>
    </row>
    <row r="139" spans="1:14" x14ac:dyDescent="0.3">
      <c r="C139" s="89" t="s">
        <v>34</v>
      </c>
      <c r="D139" s="90">
        <f>D133/SUM(D133+E133)</f>
        <v>0.64583333333333337</v>
      </c>
      <c r="E139" s="90">
        <f>E133/SUM(E133+D133)</f>
        <v>0.35416666666666669</v>
      </c>
      <c r="F139" s="89"/>
      <c r="G139" s="89" t="s">
        <v>42</v>
      </c>
      <c r="H139" s="90">
        <f>H133/SUM(H133+I133)</f>
        <v>0.64583333333333337</v>
      </c>
      <c r="I139" s="90">
        <f>I133/SUM(I133+H133)</f>
        <v>0.35416666666666669</v>
      </c>
      <c r="J139" s="89"/>
      <c r="K139" s="89" t="s">
        <v>52</v>
      </c>
      <c r="L139" s="90">
        <f>L133/SUM(L133+M133)</f>
        <v>0.64583333333333337</v>
      </c>
      <c r="M139" s="90">
        <f>M133/SUM(M133+L133)</f>
        <v>0.35416666666666669</v>
      </c>
    </row>
    <row r="140" spans="1:14" x14ac:dyDescent="0.3">
      <c r="C140" s="89" t="s">
        <v>36</v>
      </c>
      <c r="D140" s="90">
        <f>D134/SUM(D134+E134)</f>
        <v>0.70833333333333337</v>
      </c>
      <c r="E140" s="90">
        <f>E134/SUM(E134+D134)</f>
        <v>0.29166666666666669</v>
      </c>
      <c r="F140" s="89"/>
      <c r="G140" s="89" t="s">
        <v>46</v>
      </c>
      <c r="H140" s="90">
        <f>H134/SUM(H134+I134)</f>
        <v>0.70833333333333337</v>
      </c>
      <c r="I140" s="90">
        <f>I134/SUM(I134+H134)</f>
        <v>0.29166666666666669</v>
      </c>
      <c r="J140" s="89"/>
      <c r="K140" s="89" t="s">
        <v>56</v>
      </c>
      <c r="L140" s="90">
        <f>L134/SUM(L134+M134)</f>
        <v>0.70833333333333337</v>
      </c>
      <c r="M140" s="90">
        <f>M134/SUM(M134+L134)</f>
        <v>0.29166666666666669</v>
      </c>
    </row>
    <row r="141" spans="1:14" x14ac:dyDescent="0.3">
      <c r="C141" s="89" t="s">
        <v>39</v>
      </c>
      <c r="D141" s="90">
        <f>D135/SUM(D135+E135)</f>
        <v>0.64583333333333337</v>
      </c>
      <c r="E141" s="90">
        <f>E135/SUM(E135+D135)</f>
        <v>0.35416666666666669</v>
      </c>
      <c r="F141" s="89"/>
      <c r="G141" s="89" t="s">
        <v>49</v>
      </c>
      <c r="H141" s="90">
        <f>H135/SUM(H135+I135)</f>
        <v>0.64583333333333337</v>
      </c>
      <c r="I141" s="90">
        <f>I135/SUM(I135+H135)</f>
        <v>0.35416666666666669</v>
      </c>
      <c r="J141" s="89"/>
      <c r="K141" s="89" t="s">
        <v>434</v>
      </c>
      <c r="L141" s="90">
        <f>L135/SUM(L135+M135)</f>
        <v>0.64583333333333337</v>
      </c>
      <c r="M141" s="90">
        <f>M135/SUM(M135+L135)</f>
        <v>0.35416666666666669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D6DF-28CC-4BFE-A66D-64C162A7C553}">
  <dimension ref="A1:P141"/>
  <sheetViews>
    <sheetView topLeftCell="A115" zoomScaleNormal="100" workbookViewId="0">
      <selection activeCell="P29" sqref="P29:P88"/>
    </sheetView>
  </sheetViews>
  <sheetFormatPr defaultRowHeight="14.4" x14ac:dyDescent="0.3"/>
  <cols>
    <col min="1" max="1" width="4.33203125" customWidth="1"/>
    <col min="4" max="4" width="9.109375" bestFit="1" customWidth="1"/>
    <col min="7" max="7" width="2" customWidth="1"/>
    <col min="11" max="11" width="1.88671875" customWidth="1"/>
  </cols>
  <sheetData>
    <row r="1" spans="1:15" x14ac:dyDescent="0.3">
      <c r="A1" s="3" t="s">
        <v>54</v>
      </c>
      <c r="O1" t="s">
        <v>415</v>
      </c>
    </row>
    <row r="3" spans="1:15" x14ac:dyDescent="0.3">
      <c r="A3" t="s">
        <v>140</v>
      </c>
      <c r="C3" t="s">
        <v>141</v>
      </c>
      <c r="H3" s="14" t="s">
        <v>142</v>
      </c>
      <c r="I3" t="s">
        <v>84</v>
      </c>
      <c r="L3" t="s">
        <v>143</v>
      </c>
      <c r="M3" t="s">
        <v>144</v>
      </c>
    </row>
    <row r="4" spans="1:15" x14ac:dyDescent="0.3">
      <c r="B4">
        <v>1</v>
      </c>
      <c r="C4" t="s">
        <v>416</v>
      </c>
      <c r="L4">
        <v>5</v>
      </c>
      <c r="M4" t="s">
        <v>417</v>
      </c>
    </row>
    <row r="5" spans="1:15" x14ac:dyDescent="0.3">
      <c r="H5">
        <v>1</v>
      </c>
      <c r="I5">
        <v>5</v>
      </c>
      <c r="J5" t="s">
        <v>417</v>
      </c>
    </row>
    <row r="6" spans="1:15" x14ac:dyDescent="0.3">
      <c r="H6">
        <v>2</v>
      </c>
      <c r="I6" t="s">
        <v>418</v>
      </c>
    </row>
    <row r="8" spans="1:15" x14ac:dyDescent="0.3">
      <c r="B8">
        <v>2</v>
      </c>
      <c r="C8" t="s">
        <v>419</v>
      </c>
      <c r="L8" t="str">
        <f>I11</f>
        <v>less than assembly time</v>
      </c>
    </row>
    <row r="9" spans="1:15" x14ac:dyDescent="0.3">
      <c r="H9">
        <v>1</v>
      </c>
      <c r="I9">
        <v>5</v>
      </c>
      <c r="J9" t="s">
        <v>417</v>
      </c>
    </row>
    <row r="10" spans="1:15" x14ac:dyDescent="0.3">
      <c r="H10">
        <v>2</v>
      </c>
      <c r="I10" t="s">
        <v>418</v>
      </c>
    </row>
    <row r="11" spans="1:15" x14ac:dyDescent="0.3">
      <c r="H11">
        <v>3</v>
      </c>
      <c r="I11" t="s">
        <v>420</v>
      </c>
    </row>
    <row r="13" spans="1:15" x14ac:dyDescent="0.3">
      <c r="B13">
        <v>3</v>
      </c>
      <c r="C13" t="s">
        <v>421</v>
      </c>
      <c r="L13" t="s">
        <v>422</v>
      </c>
    </row>
    <row r="14" spans="1:15" x14ac:dyDescent="0.3">
      <c r="H14">
        <v>1</v>
      </c>
      <c r="I14" t="s">
        <v>304</v>
      </c>
    </row>
    <row r="15" spans="1:15" x14ac:dyDescent="0.3">
      <c r="H15">
        <v>2</v>
      </c>
      <c r="I15" t="s">
        <v>301</v>
      </c>
    </row>
    <row r="17" spans="1:16" x14ac:dyDescent="0.3">
      <c r="A17" t="s">
        <v>153</v>
      </c>
    </row>
    <row r="18" spans="1:16" x14ac:dyDescent="0.3">
      <c r="B18" s="89">
        <v>1</v>
      </c>
      <c r="C18" t="s">
        <v>423</v>
      </c>
    </row>
    <row r="19" spans="1:16" x14ac:dyDescent="0.3">
      <c r="B19" s="89">
        <v>2</v>
      </c>
      <c r="C19" t="s">
        <v>424</v>
      </c>
    </row>
    <row r="20" spans="1:16" x14ac:dyDescent="0.3">
      <c r="B20" s="89">
        <v>3</v>
      </c>
      <c r="C20" t="s">
        <v>425</v>
      </c>
    </row>
    <row r="21" spans="1:16" x14ac:dyDescent="0.3">
      <c r="D21" t="s">
        <v>426</v>
      </c>
    </row>
    <row r="23" spans="1:16" x14ac:dyDescent="0.3">
      <c r="A23" t="s">
        <v>198</v>
      </c>
    </row>
    <row r="24" spans="1:16" x14ac:dyDescent="0.3">
      <c r="B24" s="89">
        <v>1</v>
      </c>
      <c r="C24" s="1" t="s">
        <v>427</v>
      </c>
      <c r="H24" s="89">
        <v>5</v>
      </c>
      <c r="I24" t="s">
        <v>417</v>
      </c>
    </row>
    <row r="27" spans="1:16" x14ac:dyDescent="0.3">
      <c r="B27" t="s">
        <v>428</v>
      </c>
      <c r="C27" s="89"/>
      <c r="D27" s="118">
        <v>1</v>
      </c>
      <c r="E27" s="118"/>
      <c r="F27" s="118"/>
      <c r="G27" s="89"/>
      <c r="H27" s="118">
        <v>2</v>
      </c>
      <c r="I27" s="118"/>
      <c r="J27" s="118"/>
      <c r="K27" s="89"/>
      <c r="L27" s="118">
        <v>3</v>
      </c>
      <c r="M27" s="118"/>
      <c r="N27" s="118"/>
      <c r="P27">
        <v>4</v>
      </c>
    </row>
    <row r="28" spans="1:16" x14ac:dyDescent="0.3">
      <c r="B28" s="89" t="s">
        <v>429</v>
      </c>
      <c r="C28" s="89" t="s">
        <v>430</v>
      </c>
      <c r="D28" s="89" t="s">
        <v>431</v>
      </c>
      <c r="E28" s="89" t="s">
        <v>432</v>
      </c>
      <c r="F28" s="89" t="s">
        <v>433</v>
      </c>
      <c r="G28" s="89"/>
      <c r="H28" s="89" t="s">
        <v>431</v>
      </c>
      <c r="I28" s="89" t="s">
        <v>432</v>
      </c>
      <c r="J28" s="89" t="s">
        <v>433</v>
      </c>
      <c r="K28" s="89"/>
      <c r="L28" s="89" t="s">
        <v>431</v>
      </c>
      <c r="M28" s="89" t="s">
        <v>432</v>
      </c>
      <c r="N28" s="89" t="s">
        <v>433</v>
      </c>
      <c r="O28" s="89"/>
      <c r="P28" s="89" t="s">
        <v>595</v>
      </c>
    </row>
    <row r="29" spans="1:16" x14ac:dyDescent="0.3">
      <c r="B29" s="89">
        <v>0</v>
      </c>
      <c r="C29" s="89">
        <v>0</v>
      </c>
      <c r="D29" t="s">
        <v>34</v>
      </c>
      <c r="E29" t="s">
        <v>39</v>
      </c>
      <c r="F29" t="s">
        <v>36</v>
      </c>
      <c r="G29" s="89"/>
      <c r="H29" t="s">
        <v>42</v>
      </c>
      <c r="I29" t="s">
        <v>49</v>
      </c>
      <c r="K29" s="89"/>
      <c r="L29" t="s">
        <v>52</v>
      </c>
      <c r="M29" t="s">
        <v>434</v>
      </c>
      <c r="N29" t="s">
        <v>56</v>
      </c>
      <c r="P29" t="s">
        <v>46</v>
      </c>
    </row>
    <row r="30" spans="1:16" x14ac:dyDescent="0.3">
      <c r="B30" s="89">
        <v>0</v>
      </c>
      <c r="C30" s="89">
        <f t="shared" ref="C30:C40" si="0">C29+$H$24</f>
        <v>5</v>
      </c>
      <c r="D30" t="s">
        <v>34</v>
      </c>
      <c r="E30" t="s">
        <v>39</v>
      </c>
      <c r="G30" s="89"/>
      <c r="H30" t="s">
        <v>42</v>
      </c>
      <c r="I30" t="s">
        <v>49</v>
      </c>
      <c r="J30" t="s">
        <v>46</v>
      </c>
      <c r="K30" s="89"/>
      <c r="L30" t="s">
        <v>52</v>
      </c>
      <c r="M30" t="s">
        <v>434</v>
      </c>
      <c r="N30" t="s">
        <v>56</v>
      </c>
      <c r="P30" t="s">
        <v>36</v>
      </c>
    </row>
    <row r="31" spans="1:16" x14ac:dyDescent="0.3">
      <c r="B31" s="89">
        <v>0</v>
      </c>
      <c r="C31" s="89">
        <f t="shared" si="0"/>
        <v>10</v>
      </c>
      <c r="D31" t="s">
        <v>34</v>
      </c>
      <c r="E31" t="s">
        <v>39</v>
      </c>
      <c r="F31" t="s">
        <v>36</v>
      </c>
      <c r="G31" s="89"/>
      <c r="H31" t="s">
        <v>42</v>
      </c>
      <c r="I31" t="s">
        <v>49</v>
      </c>
      <c r="J31" t="s">
        <v>46</v>
      </c>
      <c r="K31" s="89"/>
      <c r="L31" t="s">
        <v>52</v>
      </c>
      <c r="M31" t="s">
        <v>434</v>
      </c>
      <c r="P31" t="s">
        <v>56</v>
      </c>
    </row>
    <row r="32" spans="1:16" x14ac:dyDescent="0.3">
      <c r="B32" s="89">
        <v>0</v>
      </c>
      <c r="C32" s="89">
        <f t="shared" si="0"/>
        <v>15</v>
      </c>
      <c r="D32" t="s">
        <v>36</v>
      </c>
      <c r="E32" t="s">
        <v>39</v>
      </c>
      <c r="F32" t="s">
        <v>34</v>
      </c>
      <c r="G32" s="89"/>
      <c r="H32" t="s">
        <v>46</v>
      </c>
      <c r="I32" t="s">
        <v>49</v>
      </c>
      <c r="J32" t="s">
        <v>42</v>
      </c>
      <c r="K32" s="89"/>
      <c r="L32" t="s">
        <v>56</v>
      </c>
      <c r="M32" t="s">
        <v>434</v>
      </c>
      <c r="P32" t="s">
        <v>52</v>
      </c>
    </row>
    <row r="33" spans="2:16" x14ac:dyDescent="0.3">
      <c r="B33" s="89">
        <v>0</v>
      </c>
      <c r="C33" s="89">
        <f t="shared" si="0"/>
        <v>20</v>
      </c>
      <c r="D33" t="s">
        <v>36</v>
      </c>
      <c r="E33" t="s">
        <v>39</v>
      </c>
      <c r="F33" t="s">
        <v>34</v>
      </c>
      <c r="G33" s="89"/>
      <c r="H33" t="s">
        <v>46</v>
      </c>
      <c r="I33" t="s">
        <v>49</v>
      </c>
      <c r="J33" t="s">
        <v>42</v>
      </c>
      <c r="K33" s="89"/>
      <c r="L33" t="s">
        <v>56</v>
      </c>
      <c r="M33" t="s">
        <v>434</v>
      </c>
      <c r="P33" t="s">
        <v>52</v>
      </c>
    </row>
    <row r="34" spans="2:16" x14ac:dyDescent="0.3">
      <c r="B34" s="89">
        <v>0</v>
      </c>
      <c r="C34" s="89">
        <f t="shared" si="0"/>
        <v>25</v>
      </c>
      <c r="D34" t="s">
        <v>34</v>
      </c>
      <c r="E34" t="s">
        <v>39</v>
      </c>
      <c r="F34" t="s">
        <v>36</v>
      </c>
      <c r="G34" s="89"/>
      <c r="H34" t="s">
        <v>42</v>
      </c>
      <c r="I34" t="s">
        <v>49</v>
      </c>
      <c r="K34" s="89"/>
      <c r="L34" t="s">
        <v>52</v>
      </c>
      <c r="M34" t="s">
        <v>434</v>
      </c>
      <c r="N34" t="s">
        <v>56</v>
      </c>
      <c r="P34" t="s">
        <v>46</v>
      </c>
    </row>
    <row r="35" spans="2:16" x14ac:dyDescent="0.3">
      <c r="B35" s="89">
        <v>0</v>
      </c>
      <c r="C35" s="89">
        <f t="shared" si="0"/>
        <v>30</v>
      </c>
      <c r="D35" t="s">
        <v>34</v>
      </c>
      <c r="E35" t="s">
        <v>36</v>
      </c>
      <c r="F35" t="s">
        <v>39</v>
      </c>
      <c r="G35" s="89"/>
      <c r="H35" t="s">
        <v>42</v>
      </c>
      <c r="I35" t="s">
        <v>46</v>
      </c>
      <c r="K35" s="89"/>
      <c r="L35" t="s">
        <v>52</v>
      </c>
      <c r="M35" t="s">
        <v>56</v>
      </c>
      <c r="N35" t="s">
        <v>434</v>
      </c>
      <c r="P35" t="s">
        <v>49</v>
      </c>
    </row>
    <row r="36" spans="2:16" x14ac:dyDescent="0.3">
      <c r="B36" s="89">
        <v>0</v>
      </c>
      <c r="C36" s="89">
        <f t="shared" si="0"/>
        <v>35</v>
      </c>
      <c r="D36" t="s">
        <v>34</v>
      </c>
      <c r="E36" t="s">
        <v>36</v>
      </c>
      <c r="F36" t="s">
        <v>39</v>
      </c>
      <c r="G36" s="89"/>
      <c r="H36" t="s">
        <v>42</v>
      </c>
      <c r="I36" t="s">
        <v>46</v>
      </c>
      <c r="K36" s="89"/>
      <c r="L36" t="s">
        <v>52</v>
      </c>
      <c r="M36" t="s">
        <v>56</v>
      </c>
      <c r="N36" t="s">
        <v>434</v>
      </c>
      <c r="P36" t="s">
        <v>49</v>
      </c>
    </row>
    <row r="37" spans="2:16" x14ac:dyDescent="0.3">
      <c r="B37" s="89">
        <v>0</v>
      </c>
      <c r="C37" s="89">
        <f t="shared" si="0"/>
        <v>40</v>
      </c>
      <c r="D37" t="s">
        <v>34</v>
      </c>
      <c r="E37" t="s">
        <v>39</v>
      </c>
      <c r="F37" t="s">
        <v>36</v>
      </c>
      <c r="G37" s="89"/>
      <c r="H37" t="s">
        <v>42</v>
      </c>
      <c r="I37" t="s">
        <v>49</v>
      </c>
      <c r="K37" s="89"/>
      <c r="L37" t="s">
        <v>56</v>
      </c>
      <c r="M37" t="s">
        <v>434</v>
      </c>
      <c r="N37" t="s">
        <v>52</v>
      </c>
      <c r="P37" t="s">
        <v>46</v>
      </c>
    </row>
    <row r="38" spans="2:16" x14ac:dyDescent="0.3">
      <c r="B38" s="89">
        <v>0</v>
      </c>
      <c r="C38" s="89">
        <f t="shared" si="0"/>
        <v>45</v>
      </c>
      <c r="D38" t="s">
        <v>34</v>
      </c>
      <c r="E38" t="s">
        <v>39</v>
      </c>
      <c r="F38" t="s">
        <v>36</v>
      </c>
      <c r="G38" s="89"/>
      <c r="H38" t="s">
        <v>42</v>
      </c>
      <c r="I38" t="s">
        <v>49</v>
      </c>
      <c r="K38" s="89"/>
      <c r="L38" t="s">
        <v>56</v>
      </c>
      <c r="M38" t="s">
        <v>434</v>
      </c>
      <c r="N38" t="s">
        <v>52</v>
      </c>
      <c r="P38" t="s">
        <v>49</v>
      </c>
    </row>
    <row r="39" spans="2:16" x14ac:dyDescent="0.3">
      <c r="B39" s="89">
        <v>0</v>
      </c>
      <c r="C39" s="89">
        <f t="shared" si="0"/>
        <v>50</v>
      </c>
      <c r="D39" t="s">
        <v>34</v>
      </c>
      <c r="E39" t="s">
        <v>39</v>
      </c>
      <c r="G39" s="89"/>
      <c r="H39" t="s">
        <v>42</v>
      </c>
      <c r="I39" t="s">
        <v>46</v>
      </c>
      <c r="J39" t="s">
        <v>49</v>
      </c>
      <c r="K39" s="89"/>
      <c r="L39" t="s">
        <v>52</v>
      </c>
      <c r="M39" t="s">
        <v>434</v>
      </c>
      <c r="N39" t="s">
        <v>56</v>
      </c>
      <c r="P39" t="s">
        <v>36</v>
      </c>
    </row>
    <row r="40" spans="2:16" x14ac:dyDescent="0.3">
      <c r="B40" s="89">
        <v>0</v>
      </c>
      <c r="C40" s="89">
        <f t="shared" si="0"/>
        <v>55</v>
      </c>
      <c r="D40" t="s">
        <v>34</v>
      </c>
      <c r="E40" t="s">
        <v>39</v>
      </c>
      <c r="F40" t="s">
        <v>36</v>
      </c>
      <c r="G40" s="89"/>
      <c r="H40" t="s">
        <v>42</v>
      </c>
      <c r="I40" t="s">
        <v>46</v>
      </c>
      <c r="J40" t="s">
        <v>49</v>
      </c>
      <c r="K40" s="89"/>
      <c r="L40" t="s">
        <v>52</v>
      </c>
      <c r="M40" t="s">
        <v>434</v>
      </c>
      <c r="P40" t="s">
        <v>56</v>
      </c>
    </row>
    <row r="41" spans="2:16" x14ac:dyDescent="0.3">
      <c r="B41" s="89">
        <v>1</v>
      </c>
      <c r="C41" s="89">
        <v>0</v>
      </c>
      <c r="D41" t="s">
        <v>36</v>
      </c>
      <c r="E41" t="s">
        <v>39</v>
      </c>
      <c r="G41" s="89"/>
      <c r="H41" t="s">
        <v>46</v>
      </c>
      <c r="I41" t="s">
        <v>49</v>
      </c>
      <c r="J41" t="s">
        <v>42</v>
      </c>
      <c r="K41" s="89"/>
      <c r="L41" t="s">
        <v>56</v>
      </c>
      <c r="M41" t="s">
        <v>434</v>
      </c>
      <c r="N41" t="s">
        <v>52</v>
      </c>
      <c r="P41" t="s">
        <v>34</v>
      </c>
    </row>
    <row r="42" spans="2:16" x14ac:dyDescent="0.3">
      <c r="B42" s="89">
        <v>1</v>
      </c>
      <c r="C42" s="89">
        <f>C41+$H$24</f>
        <v>5</v>
      </c>
      <c r="D42" t="s">
        <v>36</v>
      </c>
      <c r="E42" t="s">
        <v>39</v>
      </c>
      <c r="F42" t="s">
        <v>34</v>
      </c>
      <c r="G42" s="89"/>
      <c r="H42" t="s">
        <v>46</v>
      </c>
      <c r="I42" t="s">
        <v>49</v>
      </c>
      <c r="J42" t="s">
        <v>42</v>
      </c>
      <c r="K42" s="89"/>
      <c r="L42" t="s">
        <v>56</v>
      </c>
      <c r="M42" t="s">
        <v>434</v>
      </c>
      <c r="P42" t="s">
        <v>52</v>
      </c>
    </row>
    <row r="43" spans="2:16" x14ac:dyDescent="0.3">
      <c r="B43" s="89">
        <v>1</v>
      </c>
      <c r="C43" s="89">
        <f>C42+$H$24</f>
        <v>10</v>
      </c>
      <c r="D43" t="s">
        <v>36</v>
      </c>
      <c r="E43" t="s">
        <v>39</v>
      </c>
      <c r="F43" t="s">
        <v>34</v>
      </c>
      <c r="G43" s="89"/>
      <c r="H43" t="s">
        <v>46</v>
      </c>
      <c r="I43" t="s">
        <v>49</v>
      </c>
      <c r="K43" s="89"/>
      <c r="L43" t="s">
        <v>56</v>
      </c>
      <c r="M43" t="s">
        <v>434</v>
      </c>
      <c r="N43" t="s">
        <v>52</v>
      </c>
      <c r="P43" t="s">
        <v>52</v>
      </c>
    </row>
    <row r="44" spans="2:16" x14ac:dyDescent="0.3">
      <c r="B44" s="89">
        <v>1</v>
      </c>
      <c r="C44" s="89">
        <f>C43+$H$24</f>
        <v>15</v>
      </c>
      <c r="D44" t="s">
        <v>34</v>
      </c>
      <c r="E44" t="s">
        <v>36</v>
      </c>
      <c r="F44" t="s">
        <v>39</v>
      </c>
      <c r="G44" s="89"/>
      <c r="H44" t="s">
        <v>42</v>
      </c>
      <c r="I44" t="s">
        <v>49</v>
      </c>
      <c r="J44" t="s">
        <v>46</v>
      </c>
      <c r="K44" s="89"/>
      <c r="L44" t="s">
        <v>52</v>
      </c>
      <c r="M44" t="s">
        <v>434</v>
      </c>
      <c r="P44" t="s">
        <v>56</v>
      </c>
    </row>
    <row r="45" spans="2:16" x14ac:dyDescent="0.3">
      <c r="B45" s="89">
        <v>1</v>
      </c>
      <c r="C45" s="89">
        <f>C44+$H$24</f>
        <v>20</v>
      </c>
      <c r="D45" t="s">
        <v>34</v>
      </c>
      <c r="E45" t="s">
        <v>36</v>
      </c>
      <c r="F45" t="s">
        <v>39</v>
      </c>
      <c r="G45" s="89"/>
      <c r="H45" t="s">
        <v>42</v>
      </c>
      <c r="I45" t="s">
        <v>49</v>
      </c>
      <c r="J45" t="s">
        <v>46</v>
      </c>
      <c r="K45" s="89"/>
      <c r="L45" t="s">
        <v>52</v>
      </c>
      <c r="M45" t="s">
        <v>434</v>
      </c>
      <c r="P45" t="s">
        <v>56</v>
      </c>
    </row>
    <row r="46" spans="2:16" x14ac:dyDescent="0.3">
      <c r="B46" s="89">
        <v>1</v>
      </c>
      <c r="C46" s="89">
        <f>C45+$H$24</f>
        <v>25</v>
      </c>
      <c r="D46" t="s">
        <v>36</v>
      </c>
      <c r="E46" t="s">
        <v>39</v>
      </c>
      <c r="G46" s="89"/>
      <c r="H46" t="s">
        <v>46</v>
      </c>
      <c r="I46" t="s">
        <v>49</v>
      </c>
      <c r="J46" t="s">
        <v>42</v>
      </c>
      <c r="K46" s="89"/>
      <c r="L46" t="s">
        <v>56</v>
      </c>
      <c r="M46" t="s">
        <v>434</v>
      </c>
      <c r="N46" t="s">
        <v>52</v>
      </c>
      <c r="P46" t="s">
        <v>34</v>
      </c>
    </row>
    <row r="47" spans="2:16" x14ac:dyDescent="0.3">
      <c r="B47" s="89">
        <v>1</v>
      </c>
      <c r="C47" s="89">
        <v>30</v>
      </c>
      <c r="D47" t="s">
        <v>36</v>
      </c>
      <c r="E47" t="s">
        <v>34</v>
      </c>
      <c r="G47" s="89"/>
      <c r="H47" t="s">
        <v>46</v>
      </c>
      <c r="I47" t="s">
        <v>42</v>
      </c>
      <c r="J47" t="s">
        <v>49</v>
      </c>
      <c r="K47" s="89"/>
      <c r="L47" t="s">
        <v>56</v>
      </c>
      <c r="M47" t="s">
        <v>52</v>
      </c>
      <c r="N47" t="s">
        <v>434</v>
      </c>
      <c r="P47" t="s">
        <v>39</v>
      </c>
    </row>
    <row r="48" spans="2:16" x14ac:dyDescent="0.3">
      <c r="B48" s="89">
        <v>1</v>
      </c>
      <c r="C48" s="89">
        <v>35</v>
      </c>
      <c r="D48" t="s">
        <v>36</v>
      </c>
      <c r="E48" t="s">
        <v>34</v>
      </c>
      <c r="G48" s="89"/>
      <c r="H48" t="s">
        <v>46</v>
      </c>
      <c r="I48" t="s">
        <v>42</v>
      </c>
      <c r="J48" t="s">
        <v>49</v>
      </c>
      <c r="K48" s="89"/>
      <c r="L48" t="s">
        <v>56</v>
      </c>
      <c r="M48" t="s">
        <v>52</v>
      </c>
      <c r="N48" t="s">
        <v>434</v>
      </c>
      <c r="P48" t="s">
        <v>39</v>
      </c>
    </row>
    <row r="49" spans="2:16" x14ac:dyDescent="0.3">
      <c r="B49" s="89">
        <v>1</v>
      </c>
      <c r="C49" s="89">
        <v>40</v>
      </c>
      <c r="D49" t="s">
        <v>36</v>
      </c>
      <c r="E49" t="s">
        <v>39</v>
      </c>
      <c r="F49" t="s">
        <v>34</v>
      </c>
      <c r="G49" s="89"/>
      <c r="H49" t="s">
        <v>46</v>
      </c>
      <c r="I49" t="s">
        <v>49</v>
      </c>
      <c r="K49" s="89"/>
      <c r="L49" t="s">
        <v>56</v>
      </c>
      <c r="M49" t="s">
        <v>434</v>
      </c>
      <c r="N49" t="s">
        <v>52</v>
      </c>
      <c r="P49" t="s">
        <v>42</v>
      </c>
    </row>
    <row r="50" spans="2:16" x14ac:dyDescent="0.3">
      <c r="B50" s="89">
        <v>1</v>
      </c>
      <c r="C50" s="89">
        <v>45</v>
      </c>
      <c r="D50" t="s">
        <v>36</v>
      </c>
      <c r="E50" t="s">
        <v>34</v>
      </c>
      <c r="G50" s="89"/>
      <c r="H50" t="s">
        <v>46</v>
      </c>
      <c r="I50" t="s">
        <v>49</v>
      </c>
      <c r="J50" t="s">
        <v>42</v>
      </c>
      <c r="K50" s="89"/>
      <c r="L50" t="s">
        <v>56</v>
      </c>
      <c r="M50" t="s">
        <v>434</v>
      </c>
      <c r="N50" t="s">
        <v>52</v>
      </c>
      <c r="P50" t="s">
        <v>39</v>
      </c>
    </row>
    <row r="51" spans="2:16" x14ac:dyDescent="0.3">
      <c r="B51" s="89">
        <v>1</v>
      </c>
      <c r="C51" s="89">
        <v>50</v>
      </c>
      <c r="D51" t="s">
        <v>36</v>
      </c>
      <c r="E51" t="s">
        <v>39</v>
      </c>
      <c r="F51" t="s">
        <v>34</v>
      </c>
      <c r="G51" s="89"/>
      <c r="H51" t="s">
        <v>46</v>
      </c>
      <c r="I51" t="s">
        <v>49</v>
      </c>
      <c r="J51" t="s">
        <v>42</v>
      </c>
      <c r="K51" s="89"/>
      <c r="L51" t="s">
        <v>56</v>
      </c>
      <c r="M51" t="s">
        <v>434</v>
      </c>
      <c r="P51" t="s">
        <v>52</v>
      </c>
    </row>
    <row r="52" spans="2:16" x14ac:dyDescent="0.3">
      <c r="B52" s="89">
        <v>1</v>
      </c>
      <c r="C52" s="89">
        <v>55</v>
      </c>
      <c r="D52" t="s">
        <v>36</v>
      </c>
      <c r="E52" t="s">
        <v>39</v>
      </c>
      <c r="F52" t="s">
        <v>34</v>
      </c>
      <c r="G52" s="89"/>
      <c r="H52" t="s">
        <v>46</v>
      </c>
      <c r="I52" t="s">
        <v>49</v>
      </c>
      <c r="K52" s="89"/>
      <c r="L52" t="s">
        <v>56</v>
      </c>
      <c r="M52" t="s">
        <v>434</v>
      </c>
      <c r="N52" t="s">
        <v>52</v>
      </c>
      <c r="P52" t="s">
        <v>42</v>
      </c>
    </row>
    <row r="53" spans="2:16" x14ac:dyDescent="0.3">
      <c r="B53" s="89">
        <v>2</v>
      </c>
      <c r="C53" s="89">
        <v>0</v>
      </c>
      <c r="D53" t="s">
        <v>39</v>
      </c>
      <c r="E53" t="s">
        <v>34</v>
      </c>
      <c r="F53" t="s">
        <v>36</v>
      </c>
      <c r="G53" s="89"/>
      <c r="H53" t="s">
        <v>49</v>
      </c>
      <c r="I53" t="s">
        <v>42</v>
      </c>
      <c r="K53" s="89"/>
      <c r="L53" t="s">
        <v>434</v>
      </c>
      <c r="M53" t="s">
        <v>52</v>
      </c>
      <c r="N53" t="s">
        <v>56</v>
      </c>
      <c r="P53" t="s">
        <v>46</v>
      </c>
    </row>
    <row r="54" spans="2:16" x14ac:dyDescent="0.3">
      <c r="B54" s="89">
        <v>2</v>
      </c>
      <c r="C54" s="89">
        <f>C53+$H$24</f>
        <v>5</v>
      </c>
      <c r="D54" t="s">
        <v>39</v>
      </c>
      <c r="E54" t="s">
        <v>34</v>
      </c>
      <c r="F54" t="s">
        <v>36</v>
      </c>
      <c r="G54" s="89"/>
      <c r="H54" t="s">
        <v>49</v>
      </c>
      <c r="I54" t="s">
        <v>42</v>
      </c>
      <c r="K54" s="89"/>
      <c r="L54" t="s">
        <v>434</v>
      </c>
      <c r="M54" t="s">
        <v>52</v>
      </c>
      <c r="N54" t="s">
        <v>56</v>
      </c>
      <c r="P54" t="s">
        <v>46</v>
      </c>
    </row>
    <row r="55" spans="2:16" x14ac:dyDescent="0.3">
      <c r="B55" s="89">
        <v>2</v>
      </c>
      <c r="C55" s="89">
        <f>C54+$H$24</f>
        <v>10</v>
      </c>
      <c r="D55" t="s">
        <v>34</v>
      </c>
      <c r="E55" t="s">
        <v>36</v>
      </c>
      <c r="F55" t="s">
        <v>39</v>
      </c>
      <c r="G55" s="89"/>
      <c r="H55" t="s">
        <v>42</v>
      </c>
      <c r="I55" t="s">
        <v>46</v>
      </c>
      <c r="J55" t="s">
        <v>49</v>
      </c>
      <c r="K55" s="89"/>
      <c r="L55" t="s">
        <v>52</v>
      </c>
      <c r="M55" t="s">
        <v>56</v>
      </c>
      <c r="P55" t="s">
        <v>434</v>
      </c>
    </row>
    <row r="56" spans="2:16" x14ac:dyDescent="0.3">
      <c r="B56" s="89">
        <v>2</v>
      </c>
      <c r="C56" s="89">
        <f>C55+$H$24</f>
        <v>15</v>
      </c>
      <c r="D56" t="s">
        <v>34</v>
      </c>
      <c r="E56" t="s">
        <v>36</v>
      </c>
      <c r="F56" t="s">
        <v>39</v>
      </c>
      <c r="G56" s="89"/>
      <c r="H56" t="s">
        <v>42</v>
      </c>
      <c r="I56" t="s">
        <v>46</v>
      </c>
      <c r="J56" t="s">
        <v>49</v>
      </c>
      <c r="K56" s="89"/>
      <c r="L56" t="s">
        <v>52</v>
      </c>
      <c r="M56" t="s">
        <v>56</v>
      </c>
      <c r="P56" t="s">
        <v>434</v>
      </c>
    </row>
    <row r="57" spans="2:16" x14ac:dyDescent="0.3">
      <c r="B57" s="89">
        <v>2</v>
      </c>
      <c r="C57" s="89">
        <f>C56+$H$24</f>
        <v>20</v>
      </c>
      <c r="D57" t="s">
        <v>34</v>
      </c>
      <c r="E57" t="s">
        <v>36</v>
      </c>
      <c r="F57" t="s">
        <v>39</v>
      </c>
      <c r="G57" s="89"/>
      <c r="H57" t="s">
        <v>42</v>
      </c>
      <c r="I57" t="s">
        <v>46</v>
      </c>
      <c r="K57" s="89"/>
      <c r="L57" t="s">
        <v>52</v>
      </c>
      <c r="M57" t="s">
        <v>56</v>
      </c>
      <c r="N57" t="s">
        <v>434</v>
      </c>
      <c r="P57" t="s">
        <v>49</v>
      </c>
    </row>
    <row r="58" spans="2:16" x14ac:dyDescent="0.3">
      <c r="B58" s="89">
        <v>2</v>
      </c>
      <c r="C58" s="89">
        <f>C57+$H$24</f>
        <v>25</v>
      </c>
      <c r="D58" t="s">
        <v>34</v>
      </c>
      <c r="E58" t="s">
        <v>39</v>
      </c>
      <c r="G58" s="89"/>
      <c r="H58" t="s">
        <v>42</v>
      </c>
      <c r="I58" t="s">
        <v>46</v>
      </c>
      <c r="J58" t="s">
        <v>49</v>
      </c>
      <c r="K58" s="89"/>
      <c r="L58" t="s">
        <v>52</v>
      </c>
      <c r="M58" t="s">
        <v>56</v>
      </c>
      <c r="N58" t="s">
        <v>434</v>
      </c>
      <c r="P58" t="s">
        <v>36</v>
      </c>
    </row>
    <row r="59" spans="2:16" x14ac:dyDescent="0.3">
      <c r="B59" s="89">
        <v>2</v>
      </c>
      <c r="C59" s="89">
        <v>30</v>
      </c>
      <c r="D59" t="s">
        <v>34</v>
      </c>
      <c r="E59" t="s">
        <v>36</v>
      </c>
      <c r="F59" t="s">
        <v>39</v>
      </c>
      <c r="G59" s="89"/>
      <c r="H59" t="s">
        <v>42</v>
      </c>
      <c r="I59" t="s">
        <v>46</v>
      </c>
      <c r="J59" t="s">
        <v>49</v>
      </c>
      <c r="K59" s="89"/>
      <c r="L59" t="s">
        <v>52</v>
      </c>
      <c r="M59" t="s">
        <v>56</v>
      </c>
      <c r="P59" t="s">
        <v>434</v>
      </c>
    </row>
    <row r="60" spans="2:16" x14ac:dyDescent="0.3">
      <c r="B60" s="89">
        <v>2</v>
      </c>
      <c r="C60" s="89">
        <v>35</v>
      </c>
      <c r="D60" t="s">
        <v>34</v>
      </c>
      <c r="E60" t="s">
        <v>36</v>
      </c>
      <c r="F60" t="s">
        <v>39</v>
      </c>
      <c r="G60" s="89"/>
      <c r="H60" t="s">
        <v>42</v>
      </c>
      <c r="I60" t="s">
        <v>46</v>
      </c>
      <c r="K60" s="89"/>
      <c r="L60" t="s">
        <v>52</v>
      </c>
      <c r="M60" t="s">
        <v>56</v>
      </c>
      <c r="N60" t="s">
        <v>434</v>
      </c>
      <c r="P60" t="s">
        <v>49</v>
      </c>
    </row>
    <row r="61" spans="2:16" x14ac:dyDescent="0.3">
      <c r="B61" s="89">
        <v>2</v>
      </c>
      <c r="C61" s="89">
        <v>40</v>
      </c>
      <c r="D61" t="s">
        <v>39</v>
      </c>
      <c r="E61" t="s">
        <v>36</v>
      </c>
      <c r="F61" t="s">
        <v>34</v>
      </c>
      <c r="G61" s="89"/>
      <c r="H61" t="s">
        <v>49</v>
      </c>
      <c r="I61" t="s">
        <v>46</v>
      </c>
      <c r="J61" t="s">
        <v>42</v>
      </c>
      <c r="K61" s="89"/>
      <c r="L61" t="s">
        <v>434</v>
      </c>
      <c r="M61" t="s">
        <v>56</v>
      </c>
      <c r="P61" t="s">
        <v>52</v>
      </c>
    </row>
    <row r="62" spans="2:16" x14ac:dyDescent="0.3">
      <c r="B62" s="89">
        <v>2</v>
      </c>
      <c r="C62" s="89">
        <v>45</v>
      </c>
      <c r="D62" t="s">
        <v>39</v>
      </c>
      <c r="E62" t="s">
        <v>36</v>
      </c>
      <c r="F62" t="s">
        <v>34</v>
      </c>
      <c r="G62" s="89"/>
      <c r="H62" t="s">
        <v>49</v>
      </c>
      <c r="I62" t="s">
        <v>46</v>
      </c>
      <c r="J62" t="s">
        <v>42</v>
      </c>
      <c r="K62" s="89"/>
      <c r="L62" t="s">
        <v>434</v>
      </c>
      <c r="M62" t="s">
        <v>56</v>
      </c>
      <c r="P62" t="s">
        <v>52</v>
      </c>
    </row>
    <row r="63" spans="2:16" x14ac:dyDescent="0.3">
      <c r="B63" s="89">
        <v>2</v>
      </c>
      <c r="C63" s="89">
        <v>50</v>
      </c>
      <c r="D63" t="s">
        <v>39</v>
      </c>
      <c r="E63" t="s">
        <v>34</v>
      </c>
      <c r="G63" s="89"/>
      <c r="H63" t="s">
        <v>49</v>
      </c>
      <c r="I63" t="s">
        <v>42</v>
      </c>
      <c r="J63" t="s">
        <v>46</v>
      </c>
      <c r="K63" s="89"/>
      <c r="L63" t="s">
        <v>434</v>
      </c>
      <c r="M63" t="s">
        <v>52</v>
      </c>
      <c r="N63" t="s">
        <v>56</v>
      </c>
      <c r="P63" t="s">
        <v>36</v>
      </c>
    </row>
    <row r="64" spans="2:16" x14ac:dyDescent="0.3">
      <c r="B64" s="89">
        <v>2</v>
      </c>
      <c r="C64" s="89">
        <v>55</v>
      </c>
      <c r="D64" t="s">
        <v>39</v>
      </c>
      <c r="E64" t="s">
        <v>34</v>
      </c>
      <c r="G64" s="89"/>
      <c r="H64" t="s">
        <v>49</v>
      </c>
      <c r="I64" t="s">
        <v>42</v>
      </c>
      <c r="J64" t="s">
        <v>46</v>
      </c>
      <c r="K64" s="89"/>
      <c r="L64" t="s">
        <v>434</v>
      </c>
      <c r="M64" t="s">
        <v>52</v>
      </c>
      <c r="N64" t="s">
        <v>56</v>
      </c>
      <c r="P64" t="s">
        <v>36</v>
      </c>
    </row>
    <row r="65" spans="2:16" x14ac:dyDescent="0.3">
      <c r="B65" s="89">
        <v>3</v>
      </c>
      <c r="C65" s="89">
        <v>0</v>
      </c>
      <c r="D65" t="s">
        <v>34</v>
      </c>
      <c r="E65" t="s">
        <v>36</v>
      </c>
      <c r="F65" t="s">
        <v>39</v>
      </c>
      <c r="G65" s="89"/>
      <c r="H65" t="s">
        <v>42</v>
      </c>
      <c r="I65" t="s">
        <v>46</v>
      </c>
      <c r="J65" t="s">
        <v>49</v>
      </c>
      <c r="K65" s="89"/>
      <c r="L65" t="s">
        <v>52</v>
      </c>
      <c r="M65" t="s">
        <v>56</v>
      </c>
      <c r="P65" t="s">
        <v>434</v>
      </c>
    </row>
    <row r="66" spans="2:16" x14ac:dyDescent="0.3">
      <c r="B66" s="89">
        <v>3</v>
      </c>
      <c r="C66" s="89">
        <f>C65+$H$24</f>
        <v>5</v>
      </c>
      <c r="D66" t="s">
        <v>34</v>
      </c>
      <c r="E66" t="s">
        <v>36</v>
      </c>
      <c r="F66" t="s">
        <v>39</v>
      </c>
      <c r="G66" s="89"/>
      <c r="H66" t="s">
        <v>42</v>
      </c>
      <c r="I66" t="s">
        <v>46</v>
      </c>
      <c r="K66" s="89"/>
      <c r="L66" t="s">
        <v>52</v>
      </c>
      <c r="M66" t="s">
        <v>56</v>
      </c>
      <c r="N66" t="s">
        <v>434</v>
      </c>
      <c r="P66" t="s">
        <v>49</v>
      </c>
    </row>
    <row r="67" spans="2:16" x14ac:dyDescent="0.3">
      <c r="B67" s="89">
        <v>3</v>
      </c>
      <c r="C67" s="89">
        <f>C66+$H$24</f>
        <v>10</v>
      </c>
      <c r="D67" t="s">
        <v>36</v>
      </c>
      <c r="E67" t="s">
        <v>39</v>
      </c>
      <c r="F67" t="s">
        <v>34</v>
      </c>
      <c r="G67" s="89"/>
      <c r="H67" t="s">
        <v>46</v>
      </c>
      <c r="I67" t="s">
        <v>49</v>
      </c>
      <c r="J67" t="s">
        <v>42</v>
      </c>
      <c r="K67" s="89"/>
      <c r="L67" t="s">
        <v>56</v>
      </c>
      <c r="M67" t="s">
        <v>434</v>
      </c>
      <c r="P67" t="s">
        <v>52</v>
      </c>
    </row>
    <row r="68" spans="2:16" x14ac:dyDescent="0.3">
      <c r="B68" s="89">
        <v>3</v>
      </c>
      <c r="C68" s="89">
        <f>C67+$H$24</f>
        <v>15</v>
      </c>
      <c r="D68" t="s">
        <v>36</v>
      </c>
      <c r="E68" t="s">
        <v>39</v>
      </c>
      <c r="F68" t="s">
        <v>34</v>
      </c>
      <c r="G68" s="89"/>
      <c r="H68" t="s">
        <v>46</v>
      </c>
      <c r="I68" t="s">
        <v>49</v>
      </c>
      <c r="K68" s="89"/>
      <c r="L68" t="s">
        <v>56</v>
      </c>
      <c r="M68" t="s">
        <v>434</v>
      </c>
      <c r="N68" t="s">
        <v>52</v>
      </c>
      <c r="P68" t="s">
        <v>42</v>
      </c>
    </row>
    <row r="69" spans="2:16" x14ac:dyDescent="0.3">
      <c r="B69" s="89">
        <v>3</v>
      </c>
      <c r="C69" s="89">
        <f>C68+$H$24</f>
        <v>20</v>
      </c>
      <c r="D69" t="s">
        <v>36</v>
      </c>
      <c r="E69" t="s">
        <v>39</v>
      </c>
      <c r="G69" s="89"/>
      <c r="H69" t="s">
        <v>46</v>
      </c>
      <c r="I69" t="s">
        <v>49</v>
      </c>
      <c r="J69" t="s">
        <v>42</v>
      </c>
      <c r="K69" s="89"/>
      <c r="L69" t="s">
        <v>56</v>
      </c>
      <c r="M69" t="s">
        <v>434</v>
      </c>
      <c r="N69" t="s">
        <v>52</v>
      </c>
      <c r="P69" t="s">
        <v>34</v>
      </c>
    </row>
    <row r="70" spans="2:16" x14ac:dyDescent="0.3">
      <c r="B70" s="89">
        <v>3</v>
      </c>
      <c r="C70" s="89">
        <f>C69+$H$24</f>
        <v>25</v>
      </c>
      <c r="D70" t="s">
        <v>36</v>
      </c>
      <c r="E70" t="s">
        <v>39</v>
      </c>
      <c r="F70" t="s">
        <v>34</v>
      </c>
      <c r="G70" s="89"/>
      <c r="H70" t="s">
        <v>46</v>
      </c>
      <c r="I70" t="s">
        <v>49</v>
      </c>
      <c r="J70" t="s">
        <v>42</v>
      </c>
      <c r="K70" s="89"/>
      <c r="L70" t="s">
        <v>56</v>
      </c>
      <c r="M70" t="s">
        <v>434</v>
      </c>
      <c r="P70" t="s">
        <v>52</v>
      </c>
    </row>
    <row r="71" spans="2:16" x14ac:dyDescent="0.3">
      <c r="B71" s="89">
        <v>3</v>
      </c>
      <c r="C71" s="89">
        <v>30</v>
      </c>
      <c r="D71" t="s">
        <v>36</v>
      </c>
      <c r="E71" t="s">
        <v>34</v>
      </c>
      <c r="F71" t="s">
        <v>39</v>
      </c>
      <c r="G71" s="89"/>
      <c r="H71" t="s">
        <v>46</v>
      </c>
      <c r="I71" t="s">
        <v>49</v>
      </c>
      <c r="K71" s="89"/>
      <c r="L71" t="s">
        <v>56</v>
      </c>
      <c r="M71" t="s">
        <v>434</v>
      </c>
      <c r="N71" t="s">
        <v>52</v>
      </c>
      <c r="P71" t="s">
        <v>42</v>
      </c>
    </row>
    <row r="72" spans="2:16" x14ac:dyDescent="0.3">
      <c r="B72" s="89">
        <v>3</v>
      </c>
      <c r="C72" s="89">
        <v>35</v>
      </c>
      <c r="D72" t="s">
        <v>36</v>
      </c>
      <c r="E72" t="s">
        <v>34</v>
      </c>
      <c r="F72" t="s">
        <v>39</v>
      </c>
      <c r="G72" s="89"/>
      <c r="H72" t="s">
        <v>46</v>
      </c>
      <c r="I72" t="s">
        <v>49</v>
      </c>
      <c r="J72" t="s">
        <v>42</v>
      </c>
      <c r="K72" s="89"/>
      <c r="L72" t="s">
        <v>56</v>
      </c>
      <c r="M72" t="s">
        <v>434</v>
      </c>
      <c r="P72" t="s">
        <v>52</v>
      </c>
    </row>
    <row r="73" spans="2:16" x14ac:dyDescent="0.3">
      <c r="B73" s="89">
        <v>3</v>
      </c>
      <c r="C73" s="89">
        <v>40</v>
      </c>
      <c r="D73" t="s">
        <v>34</v>
      </c>
      <c r="E73" t="s">
        <v>36</v>
      </c>
      <c r="G73" s="89"/>
      <c r="H73" t="s">
        <v>42</v>
      </c>
      <c r="I73" t="s">
        <v>49</v>
      </c>
      <c r="J73" t="s">
        <v>46</v>
      </c>
      <c r="K73" s="89"/>
      <c r="L73" t="s">
        <v>52</v>
      </c>
      <c r="M73" t="s">
        <v>434</v>
      </c>
      <c r="N73" t="s">
        <v>56</v>
      </c>
      <c r="P73" t="s">
        <v>39</v>
      </c>
    </row>
    <row r="74" spans="2:16" x14ac:dyDescent="0.3">
      <c r="B74" s="89">
        <v>3</v>
      </c>
      <c r="C74" s="89">
        <v>45</v>
      </c>
      <c r="D74" t="s">
        <v>34</v>
      </c>
      <c r="E74" t="s">
        <v>39</v>
      </c>
      <c r="G74" s="89"/>
      <c r="H74" t="s">
        <v>42</v>
      </c>
      <c r="I74" t="s">
        <v>49</v>
      </c>
      <c r="J74" t="s">
        <v>46</v>
      </c>
      <c r="K74" s="89"/>
      <c r="L74" t="s">
        <v>52</v>
      </c>
      <c r="M74" t="s">
        <v>434</v>
      </c>
      <c r="N74" t="s">
        <v>56</v>
      </c>
      <c r="P74" t="s">
        <v>36</v>
      </c>
    </row>
    <row r="75" spans="2:16" x14ac:dyDescent="0.3">
      <c r="B75" s="89">
        <v>3</v>
      </c>
      <c r="C75" s="89">
        <v>50</v>
      </c>
      <c r="D75" t="s">
        <v>34</v>
      </c>
      <c r="E75" t="s">
        <v>36</v>
      </c>
      <c r="G75" s="89"/>
      <c r="H75" t="s">
        <v>42</v>
      </c>
      <c r="I75" t="s">
        <v>46</v>
      </c>
      <c r="J75" t="s">
        <v>49</v>
      </c>
      <c r="K75" s="89"/>
      <c r="L75" t="s">
        <v>52</v>
      </c>
      <c r="M75" t="s">
        <v>56</v>
      </c>
      <c r="N75" t="s">
        <v>434</v>
      </c>
      <c r="P75" t="s">
        <v>39</v>
      </c>
    </row>
    <row r="76" spans="2:16" x14ac:dyDescent="0.3">
      <c r="B76" s="89">
        <v>3</v>
      </c>
      <c r="C76" s="89">
        <v>55</v>
      </c>
      <c r="D76" t="s">
        <v>34</v>
      </c>
      <c r="E76" t="s">
        <v>36</v>
      </c>
      <c r="G76" s="89"/>
      <c r="H76" t="s">
        <v>42</v>
      </c>
      <c r="I76" t="s">
        <v>46</v>
      </c>
      <c r="J76" t="s">
        <v>49</v>
      </c>
      <c r="K76" s="89"/>
      <c r="L76" t="s">
        <v>52</v>
      </c>
      <c r="M76" t="s">
        <v>56</v>
      </c>
      <c r="N76" t="s">
        <v>434</v>
      </c>
      <c r="P76" t="s">
        <v>39</v>
      </c>
    </row>
    <row r="77" spans="2:16" x14ac:dyDescent="0.3">
      <c r="B77" s="89">
        <v>4</v>
      </c>
      <c r="C77" s="89">
        <v>0</v>
      </c>
      <c r="D77" t="s">
        <v>36</v>
      </c>
      <c r="E77" t="s">
        <v>34</v>
      </c>
      <c r="F77" t="s">
        <v>39</v>
      </c>
      <c r="G77" s="89"/>
      <c r="H77" t="s">
        <v>46</v>
      </c>
      <c r="I77" t="s">
        <v>42</v>
      </c>
      <c r="K77" s="89"/>
      <c r="L77" t="s">
        <v>56</v>
      </c>
      <c r="M77" t="s">
        <v>52</v>
      </c>
      <c r="N77" t="s">
        <v>434</v>
      </c>
      <c r="P77" t="s">
        <v>49</v>
      </c>
    </row>
    <row r="78" spans="2:16" x14ac:dyDescent="0.3">
      <c r="B78" s="89">
        <v>4</v>
      </c>
      <c r="C78" s="89">
        <f>C77+$H$24</f>
        <v>5</v>
      </c>
      <c r="D78" t="s">
        <v>36</v>
      </c>
      <c r="E78" t="s">
        <v>34</v>
      </c>
      <c r="F78" t="s">
        <v>39</v>
      </c>
      <c r="G78" s="89"/>
      <c r="H78" t="s">
        <v>46</v>
      </c>
      <c r="I78" t="s">
        <v>42</v>
      </c>
      <c r="J78" t="s">
        <v>49</v>
      </c>
      <c r="K78" s="89"/>
      <c r="L78" t="s">
        <v>56</v>
      </c>
      <c r="M78" t="s">
        <v>52</v>
      </c>
      <c r="P78" t="s">
        <v>434</v>
      </c>
    </row>
    <row r="79" spans="2:16" x14ac:dyDescent="0.3">
      <c r="B79" s="89">
        <v>4</v>
      </c>
      <c r="C79" s="89">
        <f>C78+$H$24</f>
        <v>10</v>
      </c>
      <c r="D79" t="s">
        <v>34</v>
      </c>
      <c r="E79" t="s">
        <v>39</v>
      </c>
      <c r="F79" t="s">
        <v>36</v>
      </c>
      <c r="G79" s="89"/>
      <c r="H79" t="s">
        <v>42</v>
      </c>
      <c r="I79" t="s">
        <v>49</v>
      </c>
      <c r="K79" s="89"/>
      <c r="L79" t="s">
        <v>52</v>
      </c>
      <c r="M79" t="s">
        <v>434</v>
      </c>
      <c r="N79" t="s">
        <v>56</v>
      </c>
      <c r="P79" t="s">
        <v>46</v>
      </c>
    </row>
    <row r="80" spans="2:16" x14ac:dyDescent="0.3">
      <c r="B80" s="89">
        <v>4</v>
      </c>
      <c r="C80" s="89">
        <f>C79+$H$24</f>
        <v>15</v>
      </c>
      <c r="D80" t="s">
        <v>34</v>
      </c>
      <c r="E80" t="s">
        <v>39</v>
      </c>
      <c r="F80" t="s">
        <v>36</v>
      </c>
      <c r="G80" s="89"/>
      <c r="H80" t="s">
        <v>42</v>
      </c>
      <c r="I80" t="s">
        <v>49</v>
      </c>
      <c r="K80" s="89"/>
      <c r="L80" t="s">
        <v>52</v>
      </c>
      <c r="M80" t="s">
        <v>434</v>
      </c>
      <c r="N80" t="s">
        <v>56</v>
      </c>
      <c r="P80" t="s">
        <v>46</v>
      </c>
    </row>
    <row r="81" spans="2:16" x14ac:dyDescent="0.3">
      <c r="B81" s="89">
        <v>4</v>
      </c>
      <c r="C81" s="89">
        <f>C80+$H$24</f>
        <v>20</v>
      </c>
      <c r="D81" t="s">
        <v>34</v>
      </c>
      <c r="E81" t="s">
        <v>39</v>
      </c>
      <c r="G81" s="89"/>
      <c r="H81" t="s">
        <v>42</v>
      </c>
      <c r="I81" t="s">
        <v>49</v>
      </c>
      <c r="J81" t="s">
        <v>46</v>
      </c>
      <c r="K81" s="89"/>
      <c r="L81" t="s">
        <v>52</v>
      </c>
      <c r="M81" t="s">
        <v>434</v>
      </c>
      <c r="N81" t="s">
        <v>56</v>
      </c>
      <c r="P81" t="s">
        <v>36</v>
      </c>
    </row>
    <row r="82" spans="2:16" x14ac:dyDescent="0.3">
      <c r="B82" s="89">
        <v>4</v>
      </c>
      <c r="C82" s="89">
        <f>C81+$H$24</f>
        <v>25</v>
      </c>
      <c r="D82" t="s">
        <v>34</v>
      </c>
      <c r="E82" t="s">
        <v>39</v>
      </c>
      <c r="F82" t="s">
        <v>36</v>
      </c>
      <c r="G82" s="89"/>
      <c r="H82" t="s">
        <v>42</v>
      </c>
      <c r="I82" t="s">
        <v>49</v>
      </c>
      <c r="J82" t="s">
        <v>46</v>
      </c>
      <c r="K82" s="89"/>
      <c r="L82" t="s">
        <v>52</v>
      </c>
      <c r="M82" t="s">
        <v>434</v>
      </c>
      <c r="P82" t="s">
        <v>56</v>
      </c>
    </row>
    <row r="83" spans="2:16" x14ac:dyDescent="0.3">
      <c r="B83" s="89">
        <v>4</v>
      </c>
      <c r="C83" s="89">
        <v>30</v>
      </c>
      <c r="D83" t="s">
        <v>34</v>
      </c>
      <c r="E83" t="s">
        <v>36</v>
      </c>
      <c r="G83" s="89"/>
      <c r="H83" t="s">
        <v>42</v>
      </c>
      <c r="I83" t="s">
        <v>49</v>
      </c>
      <c r="K83" s="89"/>
      <c r="L83" t="s">
        <v>52</v>
      </c>
      <c r="M83" t="s">
        <v>434</v>
      </c>
      <c r="N83" t="s">
        <v>56</v>
      </c>
      <c r="P83" t="s">
        <v>39</v>
      </c>
    </row>
    <row r="84" spans="2:16" x14ac:dyDescent="0.3">
      <c r="B84" s="89">
        <v>4</v>
      </c>
      <c r="C84" s="89">
        <v>35</v>
      </c>
      <c r="D84" t="s">
        <v>34</v>
      </c>
      <c r="E84" t="s">
        <v>36</v>
      </c>
      <c r="F84" t="s">
        <v>39</v>
      </c>
      <c r="G84" s="89"/>
      <c r="H84" t="s">
        <v>42</v>
      </c>
      <c r="I84" t="s">
        <v>49</v>
      </c>
      <c r="K84" s="89"/>
      <c r="L84" t="s">
        <v>52</v>
      </c>
      <c r="M84" t="s">
        <v>434</v>
      </c>
      <c r="P84" t="s">
        <v>46</v>
      </c>
    </row>
    <row r="85" spans="2:16" x14ac:dyDescent="0.3">
      <c r="B85" s="89">
        <v>4</v>
      </c>
      <c r="C85" s="89">
        <v>40</v>
      </c>
      <c r="D85" t="s">
        <v>36</v>
      </c>
      <c r="E85" t="s">
        <v>34</v>
      </c>
      <c r="G85" s="89"/>
      <c r="H85" t="s">
        <v>46</v>
      </c>
      <c r="I85" t="s">
        <v>42</v>
      </c>
      <c r="J85" t="s">
        <v>49</v>
      </c>
      <c r="K85" s="89"/>
      <c r="L85" t="s">
        <v>56</v>
      </c>
      <c r="M85" t="s">
        <v>52</v>
      </c>
      <c r="N85" t="s">
        <v>434</v>
      </c>
      <c r="P85" t="s">
        <v>39</v>
      </c>
    </row>
    <row r="86" spans="2:16" x14ac:dyDescent="0.3">
      <c r="B86" s="89">
        <v>4</v>
      </c>
      <c r="C86" s="89">
        <v>45</v>
      </c>
      <c r="D86" t="s">
        <v>36</v>
      </c>
      <c r="E86" t="s">
        <v>34</v>
      </c>
      <c r="G86" s="89"/>
      <c r="H86" t="s">
        <v>46</v>
      </c>
      <c r="I86" t="s">
        <v>42</v>
      </c>
      <c r="J86" t="s">
        <v>49</v>
      </c>
      <c r="K86" s="89"/>
      <c r="L86" t="s">
        <v>56</v>
      </c>
      <c r="M86" t="s">
        <v>52</v>
      </c>
      <c r="N86" t="s">
        <v>434</v>
      </c>
      <c r="P86" t="s">
        <v>39</v>
      </c>
    </row>
    <row r="87" spans="2:16" x14ac:dyDescent="0.3">
      <c r="B87" s="89">
        <v>4</v>
      </c>
      <c r="C87" s="89">
        <v>50</v>
      </c>
      <c r="D87" t="s">
        <v>39</v>
      </c>
      <c r="F87" t="s">
        <v>34</v>
      </c>
      <c r="G87" s="89"/>
      <c r="H87" t="s">
        <v>46</v>
      </c>
      <c r="I87" t="s">
        <v>49</v>
      </c>
      <c r="J87" t="s">
        <v>42</v>
      </c>
      <c r="K87" s="89"/>
      <c r="L87" t="s">
        <v>56</v>
      </c>
      <c r="M87" t="s">
        <v>434</v>
      </c>
      <c r="N87" t="s">
        <v>52</v>
      </c>
      <c r="P87" t="s">
        <v>36</v>
      </c>
    </row>
    <row r="88" spans="2:16" x14ac:dyDescent="0.3">
      <c r="B88" s="89">
        <v>4</v>
      </c>
      <c r="C88" s="89">
        <v>55</v>
      </c>
      <c r="D88" t="s">
        <v>39</v>
      </c>
      <c r="E88" t="s">
        <v>36</v>
      </c>
      <c r="F88" t="s">
        <v>34</v>
      </c>
      <c r="G88" s="89"/>
      <c r="H88" t="s">
        <v>46</v>
      </c>
      <c r="I88" t="s">
        <v>42</v>
      </c>
      <c r="K88" s="89"/>
      <c r="L88" t="s">
        <v>56</v>
      </c>
      <c r="M88" t="s">
        <v>434</v>
      </c>
      <c r="N88" t="s">
        <v>52</v>
      </c>
      <c r="P88" t="s">
        <v>49</v>
      </c>
    </row>
    <row r="89" spans="2:16" x14ac:dyDescent="0.3">
      <c r="B89" s="89"/>
      <c r="C89" s="89"/>
      <c r="D89" s="89"/>
      <c r="E89" s="89"/>
      <c r="F89" s="89"/>
      <c r="G89" s="89"/>
      <c r="H89" s="89"/>
      <c r="I89" s="89"/>
      <c r="J89" s="89"/>
      <c r="K89" s="89"/>
      <c r="L89" s="89"/>
      <c r="M89" s="89"/>
      <c r="N89" s="89"/>
    </row>
    <row r="90" spans="2:16" x14ac:dyDescent="0.3">
      <c r="B90" s="89"/>
      <c r="C90" s="89"/>
      <c r="D90" s="89"/>
      <c r="E90" s="89"/>
      <c r="F90" s="89"/>
      <c r="G90" s="89"/>
      <c r="H90" s="89"/>
      <c r="I90" s="89"/>
      <c r="J90" s="89"/>
      <c r="K90" s="89"/>
      <c r="L90" s="89"/>
      <c r="M90" s="89"/>
      <c r="N90" s="89"/>
    </row>
    <row r="91" spans="2:16" x14ac:dyDescent="0.3">
      <c r="B91" s="89"/>
      <c r="C91" s="89"/>
      <c r="D91" s="89"/>
      <c r="E91" s="89"/>
      <c r="F91" s="89"/>
      <c r="G91" s="89"/>
      <c r="H91" s="89"/>
      <c r="I91" s="89"/>
      <c r="J91" s="89"/>
      <c r="K91" s="89"/>
      <c r="L91" s="89"/>
      <c r="M91" s="89"/>
      <c r="N91" s="89"/>
    </row>
    <row r="92" spans="2:16" x14ac:dyDescent="0.3">
      <c r="B92" s="89"/>
      <c r="C92" s="89"/>
      <c r="D92" s="89"/>
      <c r="E92" s="89"/>
      <c r="F92" s="89"/>
      <c r="G92" s="89"/>
      <c r="H92" s="89"/>
      <c r="I92" s="89"/>
      <c r="J92" s="89"/>
      <c r="K92" s="89"/>
      <c r="L92" s="89"/>
      <c r="M92" s="89"/>
      <c r="N92" s="89"/>
    </row>
    <row r="93" spans="2:16" x14ac:dyDescent="0.3">
      <c r="B93" s="89"/>
      <c r="C93" s="89"/>
      <c r="D93" s="89"/>
      <c r="E93" s="89"/>
      <c r="F93" s="89"/>
      <c r="G93" s="89"/>
      <c r="H93" s="89"/>
      <c r="I93" s="89"/>
      <c r="J93" s="89"/>
      <c r="K93" s="89"/>
      <c r="L93" s="89"/>
      <c r="M93" s="89"/>
      <c r="N93" s="89"/>
    </row>
    <row r="94" spans="2:16" x14ac:dyDescent="0.3">
      <c r="B94" s="89"/>
      <c r="C94" s="89"/>
      <c r="D94" s="89"/>
      <c r="E94" s="89"/>
      <c r="F94" s="89"/>
      <c r="G94" s="89"/>
      <c r="H94" s="89"/>
      <c r="I94" s="89"/>
      <c r="J94" s="89"/>
      <c r="K94" s="89"/>
      <c r="L94" s="89"/>
      <c r="M94" s="89"/>
      <c r="N94" s="89"/>
    </row>
    <row r="95" spans="2:16" x14ac:dyDescent="0.3">
      <c r="B95" s="89"/>
      <c r="C95" s="89"/>
      <c r="D95" s="89"/>
      <c r="E95" s="89"/>
      <c r="F95" s="89"/>
      <c r="G95" s="89"/>
      <c r="H95" s="89"/>
      <c r="I95" s="89"/>
      <c r="J95" s="89"/>
      <c r="K95" s="89"/>
      <c r="L95" s="89"/>
      <c r="M95" s="89"/>
      <c r="N95" s="89"/>
    </row>
    <row r="96" spans="2:16" x14ac:dyDescent="0.3">
      <c r="B96" s="89"/>
      <c r="C96" s="89"/>
      <c r="D96" s="89"/>
      <c r="E96" s="89"/>
      <c r="F96" s="89"/>
      <c r="G96" s="89"/>
      <c r="H96" s="89"/>
      <c r="I96" s="89"/>
      <c r="J96" s="89"/>
      <c r="K96" s="89"/>
      <c r="L96" s="89"/>
      <c r="M96" s="89"/>
      <c r="N96" s="89"/>
    </row>
    <row r="97" spans="2:14" x14ac:dyDescent="0.3">
      <c r="B97" s="89"/>
      <c r="C97" s="89"/>
      <c r="D97" s="89"/>
      <c r="E97" s="89"/>
      <c r="F97" s="89"/>
      <c r="G97" s="89"/>
      <c r="H97" s="89"/>
      <c r="I97" s="89"/>
      <c r="J97" s="89"/>
      <c r="K97" s="89"/>
      <c r="L97" s="89"/>
      <c r="M97" s="89"/>
      <c r="N97" s="89"/>
    </row>
    <row r="98" spans="2:14" x14ac:dyDescent="0.3">
      <c r="B98" s="89"/>
      <c r="C98" s="89"/>
      <c r="D98" s="89"/>
      <c r="E98" s="89"/>
      <c r="F98" s="89"/>
      <c r="G98" s="89"/>
      <c r="H98" s="89"/>
      <c r="I98" s="89"/>
      <c r="J98" s="89"/>
      <c r="K98" s="89"/>
      <c r="L98" s="89"/>
      <c r="M98" s="89"/>
      <c r="N98" s="89"/>
    </row>
    <row r="99" spans="2:14" x14ac:dyDescent="0.3">
      <c r="B99" s="89"/>
      <c r="C99" s="89"/>
      <c r="D99" s="89"/>
      <c r="E99" s="89"/>
      <c r="F99" s="89"/>
      <c r="G99" s="89"/>
      <c r="H99" s="89"/>
      <c r="I99" s="89"/>
      <c r="J99" s="89"/>
      <c r="K99" s="89"/>
      <c r="L99" s="89"/>
      <c r="M99" s="89"/>
      <c r="N99" s="89"/>
    </row>
    <row r="100" spans="2:14" x14ac:dyDescent="0.3">
      <c r="B100" s="89"/>
      <c r="C100" s="89"/>
      <c r="D100" s="89"/>
      <c r="E100" s="89"/>
      <c r="F100" s="89"/>
      <c r="G100" s="89"/>
      <c r="H100" s="89"/>
      <c r="I100" s="89"/>
      <c r="J100" s="89"/>
      <c r="K100" s="89"/>
      <c r="L100" s="89"/>
      <c r="M100" s="89"/>
      <c r="N100" s="89"/>
    </row>
    <row r="101" spans="2:14" x14ac:dyDescent="0.3">
      <c r="B101" s="89"/>
      <c r="C101" s="89"/>
      <c r="D101" s="89"/>
      <c r="E101" s="89"/>
      <c r="F101" s="89"/>
      <c r="G101" s="89"/>
      <c r="H101" s="89"/>
      <c r="I101" s="89"/>
      <c r="J101" s="89"/>
      <c r="K101" s="89"/>
      <c r="L101" s="89"/>
      <c r="M101" s="89"/>
      <c r="N101" s="89"/>
    </row>
    <row r="102" spans="2:14" x14ac:dyDescent="0.3">
      <c r="B102" s="89"/>
      <c r="C102" s="89"/>
      <c r="D102" s="89"/>
      <c r="E102" s="89"/>
      <c r="F102" s="89"/>
      <c r="G102" s="89"/>
      <c r="H102" s="89"/>
      <c r="I102" s="89"/>
      <c r="J102" s="89"/>
      <c r="K102" s="89"/>
      <c r="L102" s="89"/>
      <c r="M102" s="89"/>
      <c r="N102" s="89"/>
    </row>
    <row r="103" spans="2:14" x14ac:dyDescent="0.3">
      <c r="B103" s="89"/>
      <c r="C103" s="89"/>
      <c r="D103" s="89"/>
      <c r="E103" s="89"/>
      <c r="F103" s="89"/>
      <c r="G103" s="89"/>
      <c r="H103" s="89"/>
      <c r="I103" s="89"/>
      <c r="J103" s="89"/>
      <c r="K103" s="89"/>
      <c r="L103" s="89"/>
      <c r="M103" s="89"/>
      <c r="N103" s="89"/>
    </row>
    <row r="104" spans="2:14" x14ac:dyDescent="0.3">
      <c r="B104" s="89"/>
      <c r="C104" s="89"/>
      <c r="D104" s="89"/>
      <c r="E104" s="89"/>
      <c r="F104" s="89"/>
      <c r="G104" s="89"/>
      <c r="H104" s="89"/>
      <c r="I104" s="89"/>
      <c r="J104" s="89"/>
      <c r="K104" s="89"/>
      <c r="L104" s="89"/>
      <c r="M104" s="89"/>
      <c r="N104" s="89"/>
    </row>
    <row r="105" spans="2:14" x14ac:dyDescent="0.3">
      <c r="B105" s="89"/>
      <c r="C105" s="89"/>
      <c r="D105" s="89"/>
      <c r="E105" s="89"/>
      <c r="F105" s="89"/>
      <c r="G105" s="89"/>
      <c r="H105" s="89"/>
      <c r="I105" s="89"/>
      <c r="J105" s="89"/>
      <c r="K105" s="89"/>
      <c r="L105" s="89"/>
      <c r="M105" s="89"/>
      <c r="N105" s="89"/>
    </row>
    <row r="106" spans="2:14" x14ac:dyDescent="0.3">
      <c r="B106" s="89"/>
      <c r="C106" s="89"/>
      <c r="D106" s="89"/>
      <c r="E106" s="89"/>
      <c r="F106" s="89"/>
      <c r="G106" s="89"/>
      <c r="H106" s="89"/>
      <c r="I106" s="89"/>
      <c r="J106" s="89"/>
      <c r="K106" s="89"/>
      <c r="L106" s="89"/>
      <c r="M106" s="89"/>
      <c r="N106" s="89"/>
    </row>
    <row r="107" spans="2:14" x14ac:dyDescent="0.3">
      <c r="B107" s="89"/>
      <c r="C107" s="89"/>
      <c r="D107" s="89"/>
      <c r="E107" s="89"/>
      <c r="F107" s="89"/>
      <c r="G107" s="89"/>
      <c r="H107" s="89"/>
      <c r="I107" s="89"/>
      <c r="J107" s="89"/>
      <c r="K107" s="89"/>
      <c r="L107" s="89"/>
      <c r="M107" s="89"/>
      <c r="N107" s="89"/>
    </row>
    <row r="108" spans="2:14" x14ac:dyDescent="0.3">
      <c r="B108" s="89"/>
      <c r="C108" s="89"/>
      <c r="D108" s="89"/>
      <c r="E108" s="89"/>
      <c r="F108" s="89"/>
      <c r="G108" s="89"/>
      <c r="H108" s="89"/>
      <c r="I108" s="89"/>
      <c r="J108" s="89"/>
      <c r="K108" s="89"/>
      <c r="L108" s="89"/>
      <c r="M108" s="89"/>
      <c r="N108" s="89"/>
    </row>
    <row r="109" spans="2:14" x14ac:dyDescent="0.3">
      <c r="B109" s="89"/>
      <c r="C109" s="89"/>
      <c r="D109" s="89"/>
      <c r="E109" s="89"/>
      <c r="F109" s="89"/>
      <c r="G109" s="89"/>
      <c r="H109" s="89"/>
      <c r="I109" s="89"/>
      <c r="J109" s="89"/>
      <c r="K109" s="89"/>
      <c r="L109" s="89"/>
      <c r="M109" s="89"/>
      <c r="N109" s="89"/>
    </row>
    <row r="110" spans="2:14" x14ac:dyDescent="0.3">
      <c r="B110" s="89"/>
      <c r="C110" s="89"/>
      <c r="D110" s="89"/>
      <c r="E110" s="89"/>
      <c r="F110" s="89"/>
      <c r="G110" s="89"/>
      <c r="H110" s="89"/>
      <c r="I110" s="89"/>
      <c r="J110" s="89"/>
      <c r="K110" s="89"/>
      <c r="L110" s="89"/>
      <c r="M110" s="89"/>
      <c r="N110" s="89"/>
    </row>
    <row r="111" spans="2:14" x14ac:dyDescent="0.3">
      <c r="B111" s="89"/>
      <c r="C111" s="89"/>
      <c r="D111" s="89"/>
      <c r="E111" s="89"/>
      <c r="F111" s="89"/>
      <c r="G111" s="89"/>
      <c r="H111" s="89"/>
      <c r="I111" s="89"/>
      <c r="J111" s="89"/>
      <c r="K111" s="89"/>
      <c r="L111" s="89"/>
      <c r="M111" s="89"/>
      <c r="N111" s="89"/>
    </row>
    <row r="112" spans="2:14" x14ac:dyDescent="0.3">
      <c r="B112" s="89"/>
      <c r="C112" s="89"/>
      <c r="D112" s="89"/>
      <c r="E112" s="89"/>
      <c r="F112" s="89"/>
      <c r="G112" s="89"/>
      <c r="H112" s="89"/>
      <c r="I112" s="89"/>
      <c r="J112" s="89"/>
      <c r="K112" s="89"/>
      <c r="L112" s="89"/>
      <c r="M112" s="89"/>
      <c r="N112" s="89"/>
    </row>
    <row r="113" spans="1:14" x14ac:dyDescent="0.3">
      <c r="B113" s="89"/>
      <c r="C113" s="89"/>
      <c r="D113" s="89"/>
      <c r="E113" s="89"/>
      <c r="F113" s="89"/>
      <c r="G113" s="89"/>
      <c r="H113" s="89"/>
      <c r="I113" s="89"/>
      <c r="J113" s="89"/>
      <c r="K113" s="89"/>
      <c r="L113" s="89"/>
      <c r="M113" s="89"/>
      <c r="N113" s="89"/>
    </row>
    <row r="114" spans="1:14" x14ac:dyDescent="0.3">
      <c r="B114" s="89"/>
      <c r="C114" s="89"/>
      <c r="D114" s="89"/>
      <c r="E114" s="89"/>
      <c r="F114" s="89"/>
      <c r="G114" s="89"/>
      <c r="H114" s="89"/>
      <c r="I114" s="89"/>
      <c r="J114" s="89"/>
      <c r="K114" s="89"/>
      <c r="L114" s="89"/>
      <c r="M114" s="89"/>
      <c r="N114" s="89"/>
    </row>
    <row r="115" spans="1:14" x14ac:dyDescent="0.3">
      <c r="B115" s="89"/>
      <c r="C115" s="89"/>
      <c r="D115" s="89"/>
      <c r="E115" s="89"/>
      <c r="F115" s="89"/>
      <c r="G115" s="89"/>
      <c r="H115" s="89"/>
      <c r="I115" s="89"/>
      <c r="J115" s="89"/>
      <c r="K115" s="89"/>
      <c r="L115" s="89"/>
      <c r="M115" s="89"/>
      <c r="N115" s="89"/>
    </row>
    <row r="116" spans="1:14" x14ac:dyDescent="0.3">
      <c r="B116" s="89"/>
      <c r="C116" s="89"/>
      <c r="D116" s="89"/>
      <c r="E116" s="89"/>
      <c r="F116" s="89"/>
      <c r="G116" s="89"/>
      <c r="H116" s="89"/>
      <c r="I116" s="89"/>
      <c r="J116" s="89"/>
      <c r="K116" s="89"/>
      <c r="L116" s="89"/>
      <c r="M116" s="89"/>
      <c r="N116" s="89"/>
    </row>
    <row r="117" spans="1:14" x14ac:dyDescent="0.3">
      <c r="B117" s="89"/>
      <c r="C117" s="89"/>
      <c r="D117" s="89"/>
      <c r="E117" s="89"/>
      <c r="F117" s="89"/>
      <c r="G117" s="89"/>
      <c r="H117" s="89"/>
      <c r="I117" s="89"/>
      <c r="J117" s="89"/>
      <c r="K117" s="89"/>
      <c r="L117" s="89"/>
      <c r="M117" s="89"/>
      <c r="N117" s="89"/>
    </row>
    <row r="118" spans="1:14" x14ac:dyDescent="0.3">
      <c r="B118" s="89"/>
      <c r="C118" s="89"/>
      <c r="D118" s="89"/>
      <c r="E118" s="89"/>
      <c r="F118" s="89"/>
      <c r="G118" s="89"/>
      <c r="H118" s="89"/>
      <c r="I118" s="89"/>
      <c r="J118" s="89"/>
      <c r="K118" s="89"/>
      <c r="L118" s="89"/>
      <c r="M118" s="89"/>
      <c r="N118" s="89"/>
    </row>
    <row r="119" spans="1:14" x14ac:dyDescent="0.3">
      <c r="B119" s="89"/>
      <c r="C119" s="89"/>
      <c r="D119" s="89"/>
      <c r="E119" s="89"/>
      <c r="F119" s="89"/>
      <c r="G119" s="89"/>
      <c r="H119" s="89"/>
      <c r="I119" s="89"/>
      <c r="J119" s="89"/>
      <c r="K119" s="89"/>
      <c r="L119" s="89"/>
      <c r="M119" s="89"/>
      <c r="N119" s="89"/>
    </row>
    <row r="120" spans="1:14" x14ac:dyDescent="0.3">
      <c r="B120" s="89"/>
      <c r="C120" s="89"/>
      <c r="D120" s="89"/>
      <c r="E120" s="89"/>
      <c r="F120" s="89"/>
      <c r="G120" s="89"/>
      <c r="H120" s="89"/>
      <c r="I120" s="89"/>
      <c r="J120" s="89"/>
      <c r="K120" s="89"/>
      <c r="L120" s="89"/>
      <c r="M120" s="89"/>
      <c r="N120" s="89"/>
    </row>
    <row r="121" spans="1:14" x14ac:dyDescent="0.3">
      <c r="B121" s="89"/>
      <c r="C121" s="89"/>
      <c r="D121" s="89"/>
      <c r="E121" s="89"/>
      <c r="F121" s="89"/>
      <c r="G121" s="89"/>
      <c r="H121" s="89"/>
      <c r="I121" s="89"/>
      <c r="J121" s="89"/>
      <c r="K121" s="89"/>
      <c r="L121" s="89"/>
      <c r="M121" s="89"/>
      <c r="N121" s="89"/>
    </row>
    <row r="122" spans="1:14" x14ac:dyDescent="0.3">
      <c r="B122" s="89"/>
      <c r="C122" s="89"/>
      <c r="D122" s="89"/>
      <c r="E122" s="89"/>
      <c r="F122" s="89"/>
      <c r="G122" s="89"/>
      <c r="H122" s="89"/>
      <c r="I122" s="89"/>
      <c r="J122" s="89"/>
      <c r="K122" s="89"/>
      <c r="L122" s="89"/>
      <c r="M122" s="89"/>
      <c r="N122" s="89"/>
    </row>
    <row r="123" spans="1:14" x14ac:dyDescent="0.3">
      <c r="B123" s="89"/>
      <c r="C123" s="89"/>
      <c r="D123" s="89"/>
      <c r="E123" s="89"/>
      <c r="F123" s="89"/>
      <c r="G123" s="89"/>
      <c r="H123" s="89"/>
      <c r="I123" s="89"/>
      <c r="J123" s="89"/>
      <c r="K123" s="89"/>
      <c r="L123" s="89"/>
      <c r="M123" s="89"/>
      <c r="N123" s="89"/>
    </row>
    <row r="124" spans="1:14" x14ac:dyDescent="0.3">
      <c r="B124" s="89"/>
      <c r="C124" s="89"/>
      <c r="D124" s="89"/>
      <c r="E124" s="89"/>
      <c r="F124" s="89"/>
      <c r="G124" s="89"/>
      <c r="H124" s="89"/>
      <c r="I124" s="89"/>
      <c r="J124" s="89"/>
      <c r="K124" s="89"/>
      <c r="L124" s="89"/>
      <c r="M124" s="89"/>
      <c r="N124" s="89"/>
    </row>
    <row r="126" spans="1:14" x14ac:dyDescent="0.3">
      <c r="A126" t="s">
        <v>435</v>
      </c>
      <c r="D126" t="str">
        <f>D28</f>
        <v>Assembling</v>
      </c>
      <c r="E126" t="str">
        <f>E28</f>
        <v>Picking</v>
      </c>
      <c r="F126" t="str">
        <f>F28</f>
        <v>Standby</v>
      </c>
      <c r="H126" t="str">
        <f>H28</f>
        <v>Assembling</v>
      </c>
      <c r="I126" t="str">
        <f>I28</f>
        <v>Picking</v>
      </c>
      <c r="J126" t="str">
        <f>J28</f>
        <v>Standby</v>
      </c>
      <c r="L126" t="str">
        <f>L28</f>
        <v>Assembling</v>
      </c>
      <c r="M126" t="str">
        <f>M28</f>
        <v>Picking</v>
      </c>
      <c r="N126" t="str">
        <f>N28</f>
        <v>Standby</v>
      </c>
    </row>
    <row r="127" spans="1:14" x14ac:dyDescent="0.3">
      <c r="C127" s="89" t="s">
        <v>34</v>
      </c>
      <c r="D127" s="89">
        <f t="shared" ref="D127:F129" si="1">COUNTIF(D$29:D$124,$C127)</f>
        <v>30</v>
      </c>
      <c r="E127" s="89">
        <f t="shared" si="1"/>
        <v>13</v>
      </c>
      <c r="F127" s="89">
        <f t="shared" si="1"/>
        <v>14</v>
      </c>
      <c r="G127" s="89" t="s">
        <v>42</v>
      </c>
      <c r="H127" s="89">
        <f t="shared" ref="H127:J129" si="2">COUNTIF(H$29:H$124,$G127)</f>
        <v>30</v>
      </c>
      <c r="I127" s="89">
        <f t="shared" si="2"/>
        <v>11</v>
      </c>
      <c r="J127" s="89">
        <f t="shared" si="2"/>
        <v>14</v>
      </c>
      <c r="K127" s="89" t="s">
        <v>52</v>
      </c>
      <c r="L127" s="89">
        <f t="shared" ref="L127:N129" si="3">COUNTIF(L$29:L$124,$K127)</f>
        <v>28</v>
      </c>
      <c r="M127" s="89">
        <f t="shared" si="3"/>
        <v>10</v>
      </c>
      <c r="N127" s="89">
        <f t="shared" si="3"/>
        <v>13</v>
      </c>
    </row>
    <row r="128" spans="1:14" x14ac:dyDescent="0.3">
      <c r="C128" s="89" t="s">
        <v>36</v>
      </c>
      <c r="D128" s="89">
        <f t="shared" si="1"/>
        <v>22</v>
      </c>
      <c r="E128" s="89">
        <f t="shared" si="1"/>
        <v>19</v>
      </c>
      <c r="F128" s="89">
        <f t="shared" si="1"/>
        <v>11</v>
      </c>
      <c r="G128" s="89" t="s">
        <v>46</v>
      </c>
      <c r="H128" s="89">
        <f t="shared" si="2"/>
        <v>24</v>
      </c>
      <c r="I128" s="89">
        <f t="shared" si="2"/>
        <v>16</v>
      </c>
      <c r="J128" s="89">
        <f t="shared" si="2"/>
        <v>10</v>
      </c>
      <c r="K128" s="89" t="s">
        <v>56</v>
      </c>
      <c r="L128" s="89">
        <f t="shared" si="3"/>
        <v>26</v>
      </c>
      <c r="M128" s="89">
        <f t="shared" si="3"/>
        <v>14</v>
      </c>
      <c r="N128" s="89">
        <f t="shared" si="3"/>
        <v>14</v>
      </c>
    </row>
    <row r="129" spans="1:14" x14ac:dyDescent="0.3">
      <c r="C129" s="89" t="s">
        <v>39</v>
      </c>
      <c r="D129" s="89">
        <f t="shared" si="1"/>
        <v>8</v>
      </c>
      <c r="E129" s="89">
        <f t="shared" si="1"/>
        <v>27</v>
      </c>
      <c r="F129" s="89">
        <f t="shared" si="1"/>
        <v>16</v>
      </c>
      <c r="G129" s="89" t="s">
        <v>49</v>
      </c>
      <c r="H129" s="89">
        <f t="shared" si="2"/>
        <v>6</v>
      </c>
      <c r="I129" s="89">
        <f t="shared" si="2"/>
        <v>33</v>
      </c>
      <c r="J129" s="89">
        <f t="shared" si="2"/>
        <v>14</v>
      </c>
      <c r="K129" s="89" t="s">
        <v>434</v>
      </c>
      <c r="L129" s="89">
        <f t="shared" si="3"/>
        <v>6</v>
      </c>
      <c r="M129" s="89">
        <f t="shared" si="3"/>
        <v>36</v>
      </c>
      <c r="N129" s="89">
        <f t="shared" si="3"/>
        <v>13</v>
      </c>
    </row>
    <row r="131" spans="1:14" x14ac:dyDescent="0.3">
      <c r="A131" t="s">
        <v>436</v>
      </c>
    </row>
    <row r="132" spans="1:14" x14ac:dyDescent="0.3">
      <c r="D132" t="s">
        <v>437</v>
      </c>
      <c r="E132" t="s">
        <v>433</v>
      </c>
      <c r="H132" t="s">
        <v>437</v>
      </c>
      <c r="I132" t="s">
        <v>433</v>
      </c>
      <c r="L132" t="s">
        <v>437</v>
      </c>
      <c r="M132" t="s">
        <v>433</v>
      </c>
    </row>
    <row r="133" spans="1:14" x14ac:dyDescent="0.3">
      <c r="B133" s="89"/>
      <c r="C133" s="89" t="s">
        <v>34</v>
      </c>
      <c r="D133" s="89">
        <f>(D127+E127)*5/60</f>
        <v>3.5833333333333335</v>
      </c>
      <c r="E133" s="89">
        <f>F127*5/60</f>
        <v>1.1666666666666667</v>
      </c>
      <c r="F133" s="89"/>
      <c r="G133" s="89" t="s">
        <v>42</v>
      </c>
      <c r="H133" s="89">
        <f>(H127+I127)*5/60</f>
        <v>3.4166666666666665</v>
      </c>
      <c r="I133" s="89">
        <f>J127*5/60</f>
        <v>1.1666666666666667</v>
      </c>
      <c r="J133" s="89"/>
      <c r="K133" s="89" t="s">
        <v>52</v>
      </c>
      <c r="L133" s="89">
        <f>(L127+M127)*5/60</f>
        <v>3.1666666666666665</v>
      </c>
      <c r="M133" s="89">
        <f>N127*5/60</f>
        <v>1.0833333333333333</v>
      </c>
    </row>
    <row r="134" spans="1:14" x14ac:dyDescent="0.3">
      <c r="B134" s="89"/>
      <c r="C134" s="89" t="s">
        <v>36</v>
      </c>
      <c r="D134" s="89">
        <f>(D128+E128)*5/60</f>
        <v>3.4166666666666665</v>
      </c>
      <c r="E134" s="89">
        <f>F128*5/60</f>
        <v>0.91666666666666663</v>
      </c>
      <c r="F134" s="89"/>
      <c r="G134" s="89" t="s">
        <v>46</v>
      </c>
      <c r="H134" s="89">
        <f>(H128+I128)*5/60</f>
        <v>3.3333333333333335</v>
      </c>
      <c r="I134" s="89">
        <f>J128*5/60</f>
        <v>0.83333333333333337</v>
      </c>
      <c r="J134" s="89"/>
      <c r="K134" s="89" t="s">
        <v>56</v>
      </c>
      <c r="L134" s="89">
        <f>(L128+M128)*5/60</f>
        <v>3.3333333333333335</v>
      </c>
      <c r="M134" s="89">
        <f>N128*5/60</f>
        <v>1.1666666666666667</v>
      </c>
    </row>
    <row r="135" spans="1:14" x14ac:dyDescent="0.3">
      <c r="B135" s="89"/>
      <c r="C135" s="89" t="s">
        <v>39</v>
      </c>
      <c r="D135" s="89">
        <f>(D129+E129)*5/60</f>
        <v>2.9166666666666665</v>
      </c>
      <c r="E135" s="89">
        <f>F129*5/60</f>
        <v>1.3333333333333333</v>
      </c>
      <c r="F135" s="89"/>
      <c r="G135" s="89" t="s">
        <v>49</v>
      </c>
      <c r="H135" s="89">
        <f>(H129+I129)*5/60</f>
        <v>3.25</v>
      </c>
      <c r="I135" s="89">
        <f>J129*5/60</f>
        <v>1.1666666666666667</v>
      </c>
      <c r="J135" s="89"/>
      <c r="K135" s="89" t="s">
        <v>434</v>
      </c>
      <c r="L135" s="89">
        <f>(L129+M129)*5/60</f>
        <v>3.5</v>
      </c>
      <c r="M135" s="89">
        <f>N129*5/60</f>
        <v>1.0833333333333333</v>
      </c>
    </row>
    <row r="136" spans="1:14" x14ac:dyDescent="0.3">
      <c r="B136" s="89"/>
      <c r="C136" s="89"/>
      <c r="D136" s="89"/>
      <c r="E136" s="89"/>
      <c r="F136" s="89"/>
      <c r="G136" s="89"/>
      <c r="H136" s="89"/>
      <c r="I136" s="89"/>
      <c r="J136" s="89"/>
      <c r="K136" s="89"/>
      <c r="L136" s="89"/>
      <c r="M136" s="89"/>
    </row>
    <row r="137" spans="1:14" x14ac:dyDescent="0.3">
      <c r="A137" t="s">
        <v>438</v>
      </c>
    </row>
    <row r="138" spans="1:14" x14ac:dyDescent="0.3">
      <c r="D138" t="s">
        <v>437</v>
      </c>
      <c r="E138" t="s">
        <v>433</v>
      </c>
      <c r="H138" t="s">
        <v>437</v>
      </c>
      <c r="I138" t="s">
        <v>433</v>
      </c>
      <c r="L138" t="s">
        <v>437</v>
      </c>
      <c r="M138" t="s">
        <v>433</v>
      </c>
    </row>
    <row r="139" spans="1:14" x14ac:dyDescent="0.3">
      <c r="C139" s="89" t="s">
        <v>34</v>
      </c>
      <c r="D139" s="90">
        <f>D133/SUM(D133+E133)</f>
        <v>0.75438596491228072</v>
      </c>
      <c r="E139" s="90">
        <f>E133/SUM(E133+D133)</f>
        <v>0.24561403508771931</v>
      </c>
      <c r="F139" s="89"/>
      <c r="G139" s="89" t="s">
        <v>42</v>
      </c>
      <c r="H139" s="90">
        <f>H133/SUM(H133+I133)</f>
        <v>0.74545454545454548</v>
      </c>
      <c r="I139" s="90">
        <f>I133/SUM(I133+H133)</f>
        <v>0.25454545454545457</v>
      </c>
      <c r="J139" s="89"/>
      <c r="K139" s="89" t="s">
        <v>52</v>
      </c>
      <c r="L139" s="90">
        <f>L133/SUM(L133+M133)</f>
        <v>0.74509803921568629</v>
      </c>
      <c r="M139" s="90">
        <f>M133/SUM(M133+L133)</f>
        <v>0.25490196078431371</v>
      </c>
    </row>
    <row r="140" spans="1:14" x14ac:dyDescent="0.3">
      <c r="C140" s="89" t="s">
        <v>36</v>
      </c>
      <c r="D140" s="90">
        <f>D134/SUM(D134+E134)</f>
        <v>0.78846153846153844</v>
      </c>
      <c r="E140" s="90">
        <f>E134/SUM(E134+D134)</f>
        <v>0.21153846153846154</v>
      </c>
      <c r="F140" s="89"/>
      <c r="G140" s="89" t="s">
        <v>46</v>
      </c>
      <c r="H140" s="90">
        <f>H134/SUM(H134+I134)</f>
        <v>0.79999999999999993</v>
      </c>
      <c r="I140" s="90">
        <f>I134/SUM(I134+H134)</f>
        <v>0.19999999999999998</v>
      </c>
      <c r="J140" s="89"/>
      <c r="K140" s="89" t="s">
        <v>56</v>
      </c>
      <c r="L140" s="90">
        <f>L134/SUM(L134+M134)</f>
        <v>0.74074074074074081</v>
      </c>
      <c r="M140" s="90">
        <f>M134/SUM(M134+L134)</f>
        <v>0.2592592592592593</v>
      </c>
    </row>
    <row r="141" spans="1:14" x14ac:dyDescent="0.3">
      <c r="C141" s="89" t="s">
        <v>39</v>
      </c>
      <c r="D141" s="90">
        <f>D135/SUM(D135+E135)</f>
        <v>0.68627450980392157</v>
      </c>
      <c r="E141" s="90">
        <f>E135/SUM(E135+D135)</f>
        <v>0.31372549019607843</v>
      </c>
      <c r="F141" s="89"/>
      <c r="G141" s="89" t="s">
        <v>49</v>
      </c>
      <c r="H141" s="90">
        <f>H135/SUM(H135+I135)</f>
        <v>0.73584905660377353</v>
      </c>
      <c r="I141" s="90">
        <f>I135/SUM(I135+H135)</f>
        <v>0.26415094339622641</v>
      </c>
      <c r="J141" s="89"/>
      <c r="K141" s="89" t="s">
        <v>434</v>
      </c>
      <c r="L141" s="90">
        <f>L135/SUM(L135+M135)</f>
        <v>0.76363636363636367</v>
      </c>
      <c r="M141" s="90">
        <f>M135/SUM(M135+L135)</f>
        <v>0.23636363636363636</v>
      </c>
    </row>
  </sheetData>
  <mergeCells count="3">
    <mergeCell ref="L27:N27"/>
    <mergeCell ref="H27:J27"/>
    <mergeCell ref="D27:F27"/>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A9C41-EEDE-4B75-A462-D8D63278721F}">
  <dimension ref="A1:B12"/>
  <sheetViews>
    <sheetView workbookViewId="0"/>
  </sheetViews>
  <sheetFormatPr defaultRowHeight="14.4" x14ac:dyDescent="0.3"/>
  <cols>
    <col min="1" max="1" width="12.5546875" bestFit="1" customWidth="1"/>
    <col min="2" max="2" width="20.6640625" bestFit="1" customWidth="1"/>
  </cols>
  <sheetData>
    <row r="1" spans="1:2" x14ac:dyDescent="0.3">
      <c r="A1" t="s">
        <v>439</v>
      </c>
    </row>
    <row r="2" spans="1:2" x14ac:dyDescent="0.3">
      <c r="B2" t="s">
        <v>440</v>
      </c>
    </row>
    <row r="3" spans="1:2" x14ac:dyDescent="0.3">
      <c r="B3" t="s">
        <v>441</v>
      </c>
    </row>
    <row r="5" spans="1:2" x14ac:dyDescent="0.3">
      <c r="A5" s="48" t="s">
        <v>442</v>
      </c>
      <c r="B5" s="1">
        <v>2019</v>
      </c>
    </row>
    <row r="6" spans="1:2" x14ac:dyDescent="0.3">
      <c r="A6" s="48" t="s">
        <v>443</v>
      </c>
      <c r="B6" s="1">
        <v>1</v>
      </c>
    </row>
    <row r="8" spans="1:2" x14ac:dyDescent="0.3">
      <c r="A8" s="48" t="s">
        <v>444</v>
      </c>
      <c r="B8" t="s">
        <v>445</v>
      </c>
    </row>
    <row r="9" spans="1:2" x14ac:dyDescent="0.3">
      <c r="A9" s="1" t="s">
        <v>446</v>
      </c>
      <c r="B9">
        <v>140</v>
      </c>
    </row>
    <row r="10" spans="1:2" x14ac:dyDescent="0.3">
      <c r="A10" s="1" t="s">
        <v>447</v>
      </c>
      <c r="B10">
        <v>115</v>
      </c>
    </row>
    <row r="11" spans="1:2" x14ac:dyDescent="0.3">
      <c r="A11" s="1" t="s">
        <v>448</v>
      </c>
      <c r="B11">
        <v>155</v>
      </c>
    </row>
    <row r="12" spans="1:2" x14ac:dyDescent="0.3">
      <c r="A12" s="1" t="s">
        <v>449</v>
      </c>
      <c r="B12">
        <v>410</v>
      </c>
    </row>
  </sheetData>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E9695-885D-42EA-A3B2-7E14733B7099}">
  <dimension ref="A1:E12"/>
  <sheetViews>
    <sheetView workbookViewId="0">
      <selection activeCell="A9" sqref="A9"/>
    </sheetView>
  </sheetViews>
  <sheetFormatPr defaultRowHeight="14.4" x14ac:dyDescent="0.3"/>
  <cols>
    <col min="2" max="2" width="30.33203125" customWidth="1"/>
    <col min="3" max="3" width="18.109375" customWidth="1"/>
    <col min="4" max="4" width="12.5546875" bestFit="1" customWidth="1"/>
    <col min="5" max="5" width="14.88671875" bestFit="1" customWidth="1"/>
  </cols>
  <sheetData>
    <row r="1" spans="1:5" x14ac:dyDescent="0.3">
      <c r="A1" t="s">
        <v>439</v>
      </c>
    </row>
    <row r="2" spans="1:5" x14ac:dyDescent="0.3">
      <c r="B2" t="s">
        <v>450</v>
      </c>
    </row>
    <row r="5" spans="1:5" x14ac:dyDescent="0.3">
      <c r="A5" s="48" t="s">
        <v>451</v>
      </c>
      <c r="B5" s="1">
        <v>2018</v>
      </c>
      <c r="D5" s="48" t="s">
        <v>451</v>
      </c>
      <c r="E5" s="1">
        <v>2019</v>
      </c>
    </row>
    <row r="6" spans="1:5" x14ac:dyDescent="0.3">
      <c r="A6" s="48" t="s">
        <v>452</v>
      </c>
      <c r="B6" s="1">
        <v>4</v>
      </c>
      <c r="D6" s="48" t="s">
        <v>452</v>
      </c>
      <c r="E6" s="1">
        <v>1</v>
      </c>
    </row>
    <row r="8" spans="1:5" x14ac:dyDescent="0.3">
      <c r="A8" s="48" t="s">
        <v>444</v>
      </c>
      <c r="B8" t="s">
        <v>453</v>
      </c>
      <c r="D8" s="48" t="s">
        <v>444</v>
      </c>
      <c r="E8" t="s">
        <v>453</v>
      </c>
    </row>
    <row r="9" spans="1:5" x14ac:dyDescent="0.3">
      <c r="A9" s="1" t="s">
        <v>446</v>
      </c>
      <c r="B9">
        <v>4355</v>
      </c>
      <c r="D9" s="1" t="s">
        <v>446</v>
      </c>
      <c r="E9">
        <v>3934</v>
      </c>
    </row>
    <row r="10" spans="1:5" x14ac:dyDescent="0.3">
      <c r="A10" s="1" t="s">
        <v>447</v>
      </c>
      <c r="B10">
        <v>3944</v>
      </c>
      <c r="D10" s="1" t="s">
        <v>447</v>
      </c>
      <c r="E10">
        <v>3547</v>
      </c>
    </row>
    <row r="11" spans="1:5" x14ac:dyDescent="0.3">
      <c r="A11" s="1" t="s">
        <v>448</v>
      </c>
      <c r="B11">
        <v>3152</v>
      </c>
      <c r="D11" s="1" t="s">
        <v>448</v>
      </c>
      <c r="E11">
        <v>3801</v>
      </c>
    </row>
    <row r="12" spans="1:5" x14ac:dyDescent="0.3">
      <c r="A12" s="1" t="s">
        <v>449</v>
      </c>
      <c r="B12">
        <v>11451</v>
      </c>
      <c r="D12" s="1" t="s">
        <v>449</v>
      </c>
      <c r="E12">
        <v>11282</v>
      </c>
    </row>
  </sheetData>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393B7-8853-43BE-A52A-5126A596D67D}">
  <dimension ref="A1:G17"/>
  <sheetViews>
    <sheetView workbookViewId="0">
      <selection activeCell="A17" sqref="A17"/>
    </sheetView>
  </sheetViews>
  <sheetFormatPr defaultRowHeight="14.4" x14ac:dyDescent="0.3"/>
  <cols>
    <col min="1" max="1" width="14.33203125" customWidth="1"/>
    <col min="2" max="2" width="24.109375" customWidth="1"/>
    <col min="5" max="5" width="10.6640625" bestFit="1" customWidth="1"/>
    <col min="6" max="6" width="18.109375" bestFit="1" customWidth="1"/>
  </cols>
  <sheetData>
    <row r="1" spans="1:7" x14ac:dyDescent="0.3">
      <c r="A1" t="s">
        <v>454</v>
      </c>
    </row>
    <row r="2" spans="1:7" x14ac:dyDescent="0.3">
      <c r="B2" t="s">
        <v>455</v>
      </c>
    </row>
    <row r="4" spans="1:7" x14ac:dyDescent="0.3">
      <c r="A4" s="48" t="s">
        <v>451</v>
      </c>
      <c r="B4" s="1">
        <v>2018</v>
      </c>
      <c r="E4" s="48" t="s">
        <v>451</v>
      </c>
      <c r="F4" s="1">
        <v>2019</v>
      </c>
    </row>
    <row r="5" spans="1:7" x14ac:dyDescent="0.3">
      <c r="A5" s="48" t="s">
        <v>452</v>
      </c>
      <c r="B5" s="1">
        <v>4</v>
      </c>
      <c r="E5" s="48" t="s">
        <v>452</v>
      </c>
      <c r="F5" s="1">
        <v>1</v>
      </c>
    </row>
    <row r="7" spans="1:7" x14ac:dyDescent="0.3">
      <c r="A7" s="48" t="s">
        <v>444</v>
      </c>
      <c r="B7" t="s">
        <v>456</v>
      </c>
      <c r="E7" s="48" t="s">
        <v>444</v>
      </c>
      <c r="F7" t="s">
        <v>456</v>
      </c>
    </row>
    <row r="8" spans="1:7" x14ac:dyDescent="0.3">
      <c r="A8" s="1" t="s">
        <v>446</v>
      </c>
      <c r="B8">
        <v>46.329787234042556</v>
      </c>
      <c r="C8">
        <f>GETPIVOTDATA("Quantity",$A$7,"ProductCode","Trackr A") /GETPIVOTDATA("Quantity",$A$7)</f>
        <v>1.0883514772471792</v>
      </c>
      <c r="E8" s="1" t="s">
        <v>446</v>
      </c>
      <c r="F8">
        <v>53.890410958904113</v>
      </c>
      <c r="G8">
        <f>GETPIVOTDATA("Quantity",$E$7,"ProductCode","Trackr A") /GETPIVOTDATA("Quantity",$E$7)</f>
        <v>1.1320712105353905</v>
      </c>
    </row>
    <row r="9" spans="1:7" x14ac:dyDescent="0.3">
      <c r="A9" s="1" t="s">
        <v>447</v>
      </c>
      <c r="B9">
        <v>42.869565217391305</v>
      </c>
      <c r="C9">
        <f>GETPIVOTDATA("Quantity",$A$7,"ProductCode","Trackr B") /GETPIVOTDATA("Quantity",$A$7)</f>
        <v>1.007066024231793</v>
      </c>
      <c r="E9" s="1" t="s">
        <v>447</v>
      </c>
      <c r="F9">
        <v>46.064935064935064</v>
      </c>
      <c r="G9">
        <f>GETPIVOTDATA("Quantity",$E$7,"ProductCode","Trackr B") /GETPIVOTDATA("Quantity",$E$7)</f>
        <v>0.96768211402141557</v>
      </c>
    </row>
    <row r="10" spans="1:7" x14ac:dyDescent="0.3">
      <c r="A10" s="1" t="s">
        <v>448</v>
      </c>
      <c r="B10">
        <v>37.975903614457835</v>
      </c>
      <c r="C10">
        <f>GETPIVOTDATA("Quantity",$A$7,"ProductCode","Trackr C") /GETPIVOTDATA("Quantity",$A$7)</f>
        <v>0.89210707119807509</v>
      </c>
      <c r="E10" s="1" t="s">
        <v>448</v>
      </c>
      <c r="F10">
        <v>43.689655172413794</v>
      </c>
      <c r="G10">
        <f>GETPIVOTDATA("Quantity",$E$7,"ProductCode","Trackr C") /GETPIVOTDATA("Quantity",$E$7)</f>
        <v>0.91778481438238513</v>
      </c>
    </row>
    <row r="11" spans="1:7" x14ac:dyDescent="0.3">
      <c r="A11" s="1" t="s">
        <v>449</v>
      </c>
      <c r="B11">
        <v>42.568773234200741</v>
      </c>
      <c r="E11" s="1" t="s">
        <v>449</v>
      </c>
      <c r="F11">
        <v>47.603375527426159</v>
      </c>
    </row>
    <row r="14" spans="1:7" x14ac:dyDescent="0.3">
      <c r="A14" s="1" t="s">
        <v>592</v>
      </c>
      <c r="B14" t="s">
        <v>593</v>
      </c>
    </row>
    <row r="15" spans="1:7" x14ac:dyDescent="0.3">
      <c r="A15" t="s">
        <v>80</v>
      </c>
      <c r="B15">
        <f>C8+G8</f>
        <v>2.2204226877825697</v>
      </c>
    </row>
    <row r="16" spans="1:7" x14ac:dyDescent="0.3">
      <c r="A16" t="s">
        <v>135</v>
      </c>
      <c r="B16">
        <f t="shared" ref="B16:B17" si="0">C9+G9</f>
        <v>1.9747481382532086</v>
      </c>
    </row>
    <row r="17" spans="1:2" x14ac:dyDescent="0.3">
      <c r="A17" t="s">
        <v>137</v>
      </c>
      <c r="B17">
        <f t="shared" si="0"/>
        <v>1.8098918855804602</v>
      </c>
    </row>
  </sheetData>
  <pageMargins left="0.7" right="0.7" top="0.75" bottom="0.75" header="0.3" footer="0.3"/>
  <pageSetup orientation="portrait"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1634-4C46-43C1-A005-F23883792FE7}">
  <dimension ref="A1:L46"/>
  <sheetViews>
    <sheetView workbookViewId="0"/>
  </sheetViews>
  <sheetFormatPr defaultRowHeight="14.4" x14ac:dyDescent="0.3"/>
  <cols>
    <col min="1" max="1" width="21.6640625" bestFit="1" customWidth="1"/>
    <col min="2" max="2" width="29" bestFit="1" customWidth="1"/>
    <col min="3" max="3" width="37" bestFit="1" customWidth="1"/>
    <col min="4" max="4" width="6" bestFit="1" customWidth="1"/>
    <col min="5" max="5" width="10.6640625" bestFit="1" customWidth="1"/>
    <col min="6" max="6" width="12.44140625" bestFit="1" customWidth="1"/>
    <col min="7" max="7" width="13.33203125" bestFit="1" customWidth="1"/>
    <col min="8" max="8" width="9" bestFit="1" customWidth="1"/>
    <col min="9" max="9" width="14.33203125" bestFit="1" customWidth="1"/>
    <col min="10" max="10" width="10.5546875" bestFit="1" customWidth="1"/>
    <col min="11" max="11" width="8.109375" bestFit="1" customWidth="1"/>
    <col min="12" max="12" width="15.6640625" bestFit="1" customWidth="1"/>
  </cols>
  <sheetData>
    <row r="1" spans="1:12" x14ac:dyDescent="0.3">
      <c r="A1" s="28" t="s">
        <v>82</v>
      </c>
      <c r="B1" s="28" t="s">
        <v>457</v>
      </c>
      <c r="C1" s="29" t="s">
        <v>458</v>
      </c>
      <c r="D1" s="30" t="s">
        <v>459</v>
      </c>
      <c r="E1" s="30" t="s">
        <v>460</v>
      </c>
      <c r="F1" s="30" t="s">
        <v>461</v>
      </c>
      <c r="G1" s="30" t="s">
        <v>462</v>
      </c>
      <c r="H1" s="30" t="s">
        <v>463</v>
      </c>
      <c r="I1" s="30" t="s">
        <v>464</v>
      </c>
      <c r="J1" s="31" t="s">
        <v>465</v>
      </c>
      <c r="K1" s="30" t="s">
        <v>466</v>
      </c>
      <c r="L1" s="31" t="s">
        <v>467</v>
      </c>
    </row>
    <row r="2" spans="1:12" x14ac:dyDescent="0.3">
      <c r="A2" s="32" t="s">
        <v>112</v>
      </c>
      <c r="B2" s="33" t="s">
        <v>468</v>
      </c>
      <c r="C2" s="33" t="s">
        <v>469</v>
      </c>
      <c r="D2" s="33">
        <v>12467</v>
      </c>
      <c r="E2" s="34">
        <v>26.43</v>
      </c>
      <c r="F2" s="35">
        <f>D2*E2</f>
        <v>329502.81</v>
      </c>
      <c r="G2" s="36">
        <v>42009</v>
      </c>
      <c r="H2" s="33">
        <v>1236479</v>
      </c>
      <c r="I2" s="33" t="s">
        <v>470</v>
      </c>
      <c r="J2" s="33" t="s">
        <v>471</v>
      </c>
      <c r="K2" s="33" t="s">
        <v>472</v>
      </c>
      <c r="L2" s="33" t="s">
        <v>473</v>
      </c>
    </row>
    <row r="3" spans="1:12" x14ac:dyDescent="0.3">
      <c r="A3" s="32" t="s">
        <v>112</v>
      </c>
      <c r="B3" s="33" t="s">
        <v>474</v>
      </c>
      <c r="C3" s="33" t="s">
        <v>475</v>
      </c>
      <c r="D3" s="33">
        <v>2346</v>
      </c>
      <c r="E3" s="34">
        <v>49.44</v>
      </c>
      <c r="F3" s="35">
        <f t="shared" ref="F3:F6" si="0">D3*E3</f>
        <v>115986.23999999999</v>
      </c>
      <c r="G3" s="36">
        <v>42009</v>
      </c>
      <c r="H3" s="33">
        <v>1236479</v>
      </c>
      <c r="I3" s="33" t="s">
        <v>470</v>
      </c>
      <c r="J3" s="33" t="s">
        <v>471</v>
      </c>
      <c r="K3" s="33" t="s">
        <v>472</v>
      </c>
      <c r="L3" s="33" t="s">
        <v>473</v>
      </c>
    </row>
    <row r="4" spans="1:12" x14ac:dyDescent="0.3">
      <c r="A4" s="32" t="s">
        <v>112</v>
      </c>
      <c r="B4" s="33" t="s">
        <v>476</v>
      </c>
      <c r="C4" s="33" t="s">
        <v>477</v>
      </c>
      <c r="D4" s="33">
        <v>23499</v>
      </c>
      <c r="E4" s="34">
        <v>22.19</v>
      </c>
      <c r="F4" s="35">
        <f t="shared" si="0"/>
        <v>521442.81000000006</v>
      </c>
      <c r="G4" s="36">
        <v>42009</v>
      </c>
      <c r="H4" s="33">
        <v>1236479</v>
      </c>
      <c r="I4" s="33" t="s">
        <v>470</v>
      </c>
      <c r="J4" s="33" t="s">
        <v>471</v>
      </c>
      <c r="K4" s="33" t="s">
        <v>472</v>
      </c>
      <c r="L4" s="33" t="s">
        <v>473</v>
      </c>
    </row>
    <row r="5" spans="1:12" x14ac:dyDescent="0.3">
      <c r="A5" s="32" t="s">
        <v>112</v>
      </c>
      <c r="B5" s="33" t="s">
        <v>113</v>
      </c>
      <c r="C5" s="33" t="s">
        <v>114</v>
      </c>
      <c r="D5" s="33">
        <v>43647</v>
      </c>
      <c r="E5" s="34">
        <v>38.15</v>
      </c>
      <c r="F5" s="35">
        <f t="shared" si="0"/>
        <v>1665133.05</v>
      </c>
      <c r="G5" s="36">
        <v>42009</v>
      </c>
      <c r="H5" s="33">
        <v>1236479</v>
      </c>
      <c r="I5" s="33" t="s">
        <v>470</v>
      </c>
      <c r="J5" s="33" t="s">
        <v>471</v>
      </c>
      <c r="K5" s="33" t="s">
        <v>472</v>
      </c>
      <c r="L5" s="33" t="s">
        <v>473</v>
      </c>
    </row>
    <row r="6" spans="1:12" x14ac:dyDescent="0.3">
      <c r="A6" s="32" t="s">
        <v>112</v>
      </c>
      <c r="B6" s="33" t="s">
        <v>478</v>
      </c>
      <c r="C6" s="33" t="s">
        <v>479</v>
      </c>
      <c r="D6" s="33">
        <v>1243</v>
      </c>
      <c r="E6" s="34">
        <v>52.13</v>
      </c>
      <c r="F6" s="35">
        <f t="shared" si="0"/>
        <v>64797.590000000004</v>
      </c>
      <c r="G6" s="36">
        <v>42009</v>
      </c>
      <c r="H6" s="33">
        <v>1236479</v>
      </c>
      <c r="I6" s="33" t="s">
        <v>470</v>
      </c>
      <c r="J6" s="33" t="s">
        <v>471</v>
      </c>
      <c r="K6" s="33" t="s">
        <v>472</v>
      </c>
      <c r="L6" s="33" t="s">
        <v>473</v>
      </c>
    </row>
    <row r="7" spans="1:12" x14ac:dyDescent="0.3">
      <c r="A7" s="32" t="s">
        <v>107</v>
      </c>
      <c r="B7" s="33" t="s">
        <v>480</v>
      </c>
      <c r="C7" s="33" t="s">
        <v>481</v>
      </c>
      <c r="D7" s="33">
        <v>2349</v>
      </c>
      <c r="E7" s="34">
        <v>0.89</v>
      </c>
      <c r="F7" s="35">
        <f>D7*E7</f>
        <v>2090.61</v>
      </c>
      <c r="G7" s="36">
        <v>42009</v>
      </c>
      <c r="H7" s="33">
        <v>1236479</v>
      </c>
      <c r="I7" s="33" t="s">
        <v>470</v>
      </c>
      <c r="J7" s="33" t="s">
        <v>482</v>
      </c>
      <c r="K7" s="33" t="s">
        <v>472</v>
      </c>
      <c r="L7" s="33" t="s">
        <v>473</v>
      </c>
    </row>
    <row r="8" spans="1:12" x14ac:dyDescent="0.3">
      <c r="A8" s="32" t="s">
        <v>107</v>
      </c>
      <c r="B8" s="33" t="s">
        <v>108</v>
      </c>
      <c r="C8" s="33" t="s">
        <v>483</v>
      </c>
      <c r="D8" s="33">
        <v>32798</v>
      </c>
      <c r="E8" s="34">
        <v>0.56999999999999995</v>
      </c>
      <c r="F8" s="35">
        <f t="shared" ref="F8:F12" si="1">D8*E8</f>
        <v>18694.859999999997</v>
      </c>
      <c r="G8" s="36">
        <v>42009</v>
      </c>
      <c r="H8" s="33">
        <v>1236479</v>
      </c>
      <c r="I8" s="33" t="s">
        <v>470</v>
      </c>
      <c r="J8" s="33" t="s">
        <v>482</v>
      </c>
      <c r="K8" s="33" t="s">
        <v>472</v>
      </c>
      <c r="L8" s="33" t="s">
        <v>473</v>
      </c>
    </row>
    <row r="9" spans="1:12" x14ac:dyDescent="0.3">
      <c r="A9" s="32" t="s">
        <v>107</v>
      </c>
      <c r="B9" s="33" t="s">
        <v>484</v>
      </c>
      <c r="C9" s="33" t="s">
        <v>485</v>
      </c>
      <c r="D9" s="33">
        <v>12649</v>
      </c>
      <c r="E9" s="34">
        <v>0.98</v>
      </c>
      <c r="F9" s="35">
        <f t="shared" si="1"/>
        <v>12396.02</v>
      </c>
      <c r="G9" s="36">
        <v>42009</v>
      </c>
      <c r="H9" s="33">
        <v>1236479</v>
      </c>
      <c r="I9" s="33" t="s">
        <v>470</v>
      </c>
      <c r="J9" s="33" t="s">
        <v>482</v>
      </c>
      <c r="K9" s="33" t="s">
        <v>472</v>
      </c>
      <c r="L9" s="33" t="s">
        <v>473</v>
      </c>
    </row>
    <row r="10" spans="1:12" x14ac:dyDescent="0.3">
      <c r="A10" s="32" t="s">
        <v>107</v>
      </c>
      <c r="B10" s="33" t="s">
        <v>486</v>
      </c>
      <c r="C10" s="33" t="s">
        <v>487</v>
      </c>
      <c r="D10" s="33">
        <v>6494</v>
      </c>
      <c r="E10" s="34">
        <v>0.45</v>
      </c>
      <c r="F10" s="35">
        <f t="shared" si="1"/>
        <v>2922.3</v>
      </c>
      <c r="G10" s="36">
        <v>42009</v>
      </c>
      <c r="H10" s="33">
        <v>1236479</v>
      </c>
      <c r="I10" s="33" t="s">
        <v>470</v>
      </c>
      <c r="J10" s="33" t="s">
        <v>482</v>
      </c>
      <c r="K10" s="33" t="s">
        <v>472</v>
      </c>
      <c r="L10" s="33" t="s">
        <v>473</v>
      </c>
    </row>
    <row r="11" spans="1:12" x14ac:dyDescent="0.3">
      <c r="A11" s="32" t="s">
        <v>107</v>
      </c>
      <c r="B11" s="33" t="s">
        <v>110</v>
      </c>
      <c r="C11" s="33" t="s">
        <v>111</v>
      </c>
      <c r="D11" s="33">
        <v>46795</v>
      </c>
      <c r="E11" s="34">
        <v>0.31</v>
      </c>
      <c r="F11" s="35">
        <f t="shared" si="1"/>
        <v>14506.45</v>
      </c>
      <c r="G11" s="36">
        <v>42009</v>
      </c>
      <c r="H11" s="33">
        <v>1236479</v>
      </c>
      <c r="I11" s="33" t="s">
        <v>470</v>
      </c>
      <c r="J11" s="33" t="s">
        <v>482</v>
      </c>
      <c r="K11" s="33" t="s">
        <v>472</v>
      </c>
      <c r="L11" s="33" t="s">
        <v>473</v>
      </c>
    </row>
    <row r="12" spans="1:12" x14ac:dyDescent="0.3">
      <c r="A12" s="32" t="s">
        <v>107</v>
      </c>
      <c r="B12" s="33" t="s">
        <v>488</v>
      </c>
      <c r="C12" s="33" t="s">
        <v>489</v>
      </c>
      <c r="D12" s="33">
        <v>234</v>
      </c>
      <c r="E12" s="34">
        <v>0.95</v>
      </c>
      <c r="F12" s="35">
        <f t="shared" si="1"/>
        <v>222.29999999999998</v>
      </c>
      <c r="G12" s="36">
        <v>42009</v>
      </c>
      <c r="H12" s="33">
        <v>1236479</v>
      </c>
      <c r="I12" s="33" t="s">
        <v>470</v>
      </c>
      <c r="J12" s="33" t="s">
        <v>482</v>
      </c>
      <c r="K12" s="33" t="s">
        <v>472</v>
      </c>
      <c r="L12" s="33" t="s">
        <v>473</v>
      </c>
    </row>
    <row r="13" spans="1:12" x14ac:dyDescent="0.3">
      <c r="A13" s="32" t="s">
        <v>96</v>
      </c>
      <c r="B13" s="33" t="s">
        <v>490</v>
      </c>
      <c r="C13" s="33" t="s">
        <v>98</v>
      </c>
      <c r="D13" s="33">
        <v>4731</v>
      </c>
      <c r="E13" s="34">
        <v>12.21</v>
      </c>
      <c r="F13" s="35">
        <f>D13*E13</f>
        <v>57765.51</v>
      </c>
      <c r="G13" s="36">
        <v>42009</v>
      </c>
      <c r="H13" s="33">
        <v>332232</v>
      </c>
      <c r="I13" s="33" t="s">
        <v>470</v>
      </c>
      <c r="J13" s="33" t="s">
        <v>491</v>
      </c>
      <c r="K13" s="33" t="s">
        <v>492</v>
      </c>
      <c r="L13" s="33" t="s">
        <v>473</v>
      </c>
    </row>
    <row r="14" spans="1:12" x14ac:dyDescent="0.3">
      <c r="A14" s="32" t="s">
        <v>96</v>
      </c>
      <c r="B14" s="33" t="s">
        <v>493</v>
      </c>
      <c r="C14" s="33" t="s">
        <v>494</v>
      </c>
      <c r="D14" s="33">
        <v>884</v>
      </c>
      <c r="E14" s="34">
        <v>41.96</v>
      </c>
      <c r="F14" s="35">
        <f t="shared" ref="F14:F17" si="2">D14*E14</f>
        <v>37092.639999999999</v>
      </c>
      <c r="G14" s="36">
        <v>42009</v>
      </c>
      <c r="H14" s="33">
        <v>332232</v>
      </c>
      <c r="I14" s="33" t="s">
        <v>470</v>
      </c>
      <c r="J14" s="33" t="s">
        <v>491</v>
      </c>
      <c r="K14" s="33" t="s">
        <v>492</v>
      </c>
      <c r="L14" s="33" t="s">
        <v>473</v>
      </c>
    </row>
    <row r="15" spans="1:12" x14ac:dyDescent="0.3">
      <c r="A15" s="32" t="s">
        <v>96</v>
      </c>
      <c r="B15" s="33" t="s">
        <v>97</v>
      </c>
      <c r="C15" s="33" t="s">
        <v>98</v>
      </c>
      <c r="D15" s="33">
        <v>27220</v>
      </c>
      <c r="E15" s="34">
        <v>17.420000000000002</v>
      </c>
      <c r="F15" s="35">
        <f t="shared" si="2"/>
        <v>474172.4</v>
      </c>
      <c r="G15" s="36">
        <v>42009</v>
      </c>
      <c r="H15" s="33">
        <v>332232</v>
      </c>
      <c r="I15" s="33" t="s">
        <v>470</v>
      </c>
      <c r="J15" s="33" t="s">
        <v>491</v>
      </c>
      <c r="K15" s="33" t="s">
        <v>492</v>
      </c>
      <c r="L15" s="33" t="s">
        <v>473</v>
      </c>
    </row>
    <row r="16" spans="1:12" x14ac:dyDescent="0.3">
      <c r="A16" s="32" t="s">
        <v>96</v>
      </c>
      <c r="B16" s="33" t="s">
        <v>495</v>
      </c>
      <c r="C16" s="33" t="s">
        <v>496</v>
      </c>
      <c r="D16" s="33">
        <v>19500</v>
      </c>
      <c r="E16" s="34">
        <v>13.42</v>
      </c>
      <c r="F16" s="35">
        <f t="shared" si="2"/>
        <v>261690</v>
      </c>
      <c r="G16" s="36">
        <v>42009</v>
      </c>
      <c r="H16" s="33">
        <v>332232</v>
      </c>
      <c r="I16" s="33" t="s">
        <v>470</v>
      </c>
      <c r="J16" s="33" t="s">
        <v>491</v>
      </c>
      <c r="K16" s="33" t="s">
        <v>492</v>
      </c>
      <c r="L16" s="33" t="s">
        <v>473</v>
      </c>
    </row>
    <row r="17" spans="1:12" x14ac:dyDescent="0.3">
      <c r="A17" s="32" t="s">
        <v>96</v>
      </c>
      <c r="B17" s="33" t="s">
        <v>497</v>
      </c>
      <c r="C17" s="33" t="s">
        <v>498</v>
      </c>
      <c r="D17" s="33">
        <v>6432</v>
      </c>
      <c r="E17" s="34">
        <v>29.76</v>
      </c>
      <c r="F17" s="35">
        <f t="shared" si="2"/>
        <v>191416.32000000001</v>
      </c>
      <c r="G17" s="36">
        <v>42009</v>
      </c>
      <c r="H17" s="33">
        <v>332232</v>
      </c>
      <c r="I17" s="33" t="s">
        <v>470</v>
      </c>
      <c r="J17" s="33" t="s">
        <v>491</v>
      </c>
      <c r="K17" s="33" t="s">
        <v>492</v>
      </c>
      <c r="L17" s="33" t="s">
        <v>473</v>
      </c>
    </row>
    <row r="18" spans="1:12" x14ac:dyDescent="0.3">
      <c r="A18" s="32" t="s">
        <v>121</v>
      </c>
      <c r="B18" s="33" t="s">
        <v>122</v>
      </c>
      <c r="C18" s="33" t="s">
        <v>123</v>
      </c>
      <c r="D18" s="33">
        <v>20400</v>
      </c>
      <c r="E18" s="34">
        <v>3</v>
      </c>
      <c r="F18" s="35">
        <f>D18*E18</f>
        <v>61200</v>
      </c>
      <c r="G18" s="36">
        <v>42009</v>
      </c>
      <c r="H18" s="33">
        <v>1236479</v>
      </c>
      <c r="I18" s="33" t="s">
        <v>470</v>
      </c>
      <c r="J18" s="33" t="s">
        <v>471</v>
      </c>
      <c r="K18" s="33" t="s">
        <v>472</v>
      </c>
      <c r="L18" s="33" t="s">
        <v>473</v>
      </c>
    </row>
    <row r="19" spans="1:12" x14ac:dyDescent="0.3">
      <c r="A19" s="32" t="s">
        <v>121</v>
      </c>
      <c r="B19" s="33" t="s">
        <v>124</v>
      </c>
      <c r="C19" s="33" t="s">
        <v>125</v>
      </c>
      <c r="D19" s="33">
        <v>19800</v>
      </c>
      <c r="E19" s="34">
        <v>6</v>
      </c>
      <c r="F19" s="35">
        <f t="shared" ref="F19:F24" si="3">D19*E19</f>
        <v>118800</v>
      </c>
      <c r="G19" s="36">
        <v>42009</v>
      </c>
      <c r="H19" s="33">
        <v>1236479</v>
      </c>
      <c r="I19" s="33" t="s">
        <v>470</v>
      </c>
      <c r="J19" s="33" t="s">
        <v>471</v>
      </c>
      <c r="K19" s="33" t="s">
        <v>472</v>
      </c>
      <c r="L19" s="33" t="s">
        <v>473</v>
      </c>
    </row>
    <row r="20" spans="1:12" x14ac:dyDescent="0.3">
      <c r="A20" s="32" t="s">
        <v>121</v>
      </c>
      <c r="B20" s="33" t="s">
        <v>127</v>
      </c>
      <c r="C20" s="33" t="s">
        <v>128</v>
      </c>
      <c r="D20" s="33">
        <v>14990</v>
      </c>
      <c r="E20" s="34">
        <v>10</v>
      </c>
      <c r="F20" s="35">
        <f t="shared" si="3"/>
        <v>149900</v>
      </c>
      <c r="G20" s="36">
        <v>42009</v>
      </c>
      <c r="H20" s="33">
        <v>1236479</v>
      </c>
      <c r="I20" s="33" t="s">
        <v>470</v>
      </c>
      <c r="J20" s="33" t="s">
        <v>471</v>
      </c>
      <c r="K20" s="33" t="s">
        <v>472</v>
      </c>
      <c r="L20" s="33" t="s">
        <v>473</v>
      </c>
    </row>
    <row r="21" spans="1:12" x14ac:dyDescent="0.3">
      <c r="A21" s="32" t="s">
        <v>121</v>
      </c>
      <c r="B21" s="33"/>
      <c r="C21" s="33"/>
      <c r="D21" s="33"/>
      <c r="E21" s="34"/>
      <c r="F21" s="35">
        <f t="shared" si="3"/>
        <v>0</v>
      </c>
      <c r="G21" s="36">
        <v>42009</v>
      </c>
      <c r="H21" s="33">
        <v>1236479</v>
      </c>
      <c r="I21" s="33" t="s">
        <v>470</v>
      </c>
      <c r="J21" s="33" t="s">
        <v>471</v>
      </c>
      <c r="K21" s="33" t="s">
        <v>472</v>
      </c>
      <c r="L21" s="33" t="s">
        <v>473</v>
      </c>
    </row>
    <row r="22" spans="1:12" x14ac:dyDescent="0.3">
      <c r="A22" s="32" t="s">
        <v>121</v>
      </c>
      <c r="B22" s="33" t="s">
        <v>130</v>
      </c>
      <c r="C22" s="33" t="s">
        <v>131</v>
      </c>
      <c r="D22" s="33">
        <v>23560</v>
      </c>
      <c r="E22" s="34">
        <v>2</v>
      </c>
      <c r="F22" s="35">
        <f t="shared" si="3"/>
        <v>47120</v>
      </c>
      <c r="G22" s="36">
        <v>42009</v>
      </c>
      <c r="H22" s="33">
        <v>1236479</v>
      </c>
      <c r="I22" s="33" t="s">
        <v>470</v>
      </c>
      <c r="J22" s="33" t="s">
        <v>471</v>
      </c>
      <c r="K22" s="33" t="s">
        <v>472</v>
      </c>
      <c r="L22" s="33" t="s">
        <v>473</v>
      </c>
    </row>
    <row r="23" spans="1:12" x14ac:dyDescent="0.3">
      <c r="A23" s="32" t="s">
        <v>121</v>
      </c>
      <c r="B23" s="33" t="s">
        <v>126</v>
      </c>
      <c r="C23" s="33" t="s">
        <v>132</v>
      </c>
      <c r="D23" s="33">
        <v>26660</v>
      </c>
      <c r="E23" s="34">
        <v>3</v>
      </c>
      <c r="F23" s="35">
        <f t="shared" si="3"/>
        <v>79980</v>
      </c>
      <c r="G23" s="36">
        <v>42009</v>
      </c>
      <c r="H23" s="33">
        <v>1236479</v>
      </c>
      <c r="I23" s="33" t="s">
        <v>470</v>
      </c>
      <c r="J23" s="33" t="s">
        <v>471</v>
      </c>
      <c r="K23" s="33" t="s">
        <v>472</v>
      </c>
      <c r="L23" s="33" t="s">
        <v>473</v>
      </c>
    </row>
    <row r="24" spans="1:12" x14ac:dyDescent="0.3">
      <c r="A24" s="32" t="s">
        <v>121</v>
      </c>
      <c r="B24" s="33" t="s">
        <v>133</v>
      </c>
      <c r="C24" s="33" t="s">
        <v>134</v>
      </c>
      <c r="D24" s="33">
        <v>19820</v>
      </c>
      <c r="E24" s="34">
        <v>4</v>
      </c>
      <c r="F24" s="35">
        <f t="shared" si="3"/>
        <v>79280</v>
      </c>
      <c r="G24" s="36">
        <v>42009</v>
      </c>
      <c r="H24" s="33">
        <v>1236479</v>
      </c>
      <c r="I24" s="33" t="s">
        <v>470</v>
      </c>
      <c r="J24" s="33" t="s">
        <v>471</v>
      </c>
      <c r="K24" s="33" t="s">
        <v>472</v>
      </c>
      <c r="L24" s="33" t="s">
        <v>473</v>
      </c>
    </row>
    <row r="25" spans="1:12" x14ac:dyDescent="0.3">
      <c r="A25" s="32" t="s">
        <v>118</v>
      </c>
      <c r="B25" s="33" t="s">
        <v>119</v>
      </c>
      <c r="C25" s="33" t="s">
        <v>120</v>
      </c>
      <c r="D25" s="33">
        <v>32146</v>
      </c>
      <c r="E25" s="34">
        <v>2</v>
      </c>
      <c r="F25" s="35">
        <f>D25*E25</f>
        <v>64292</v>
      </c>
      <c r="G25" s="36">
        <v>42009</v>
      </c>
      <c r="H25" s="33">
        <v>1236479</v>
      </c>
      <c r="I25" s="33" t="s">
        <v>470</v>
      </c>
      <c r="J25" s="33" t="s">
        <v>499</v>
      </c>
      <c r="K25" s="33" t="s">
        <v>472</v>
      </c>
      <c r="L25" s="33" t="s">
        <v>473</v>
      </c>
    </row>
    <row r="26" spans="1:12" x14ac:dyDescent="0.3">
      <c r="A26" s="32" t="s">
        <v>102</v>
      </c>
      <c r="B26" s="33" t="s">
        <v>500</v>
      </c>
      <c r="C26" s="33" t="s">
        <v>501</v>
      </c>
      <c r="D26" s="33">
        <v>13249</v>
      </c>
      <c r="E26" s="34">
        <v>4.32</v>
      </c>
      <c r="F26" s="35">
        <f>D26*E26</f>
        <v>57235.68</v>
      </c>
      <c r="G26" s="36">
        <v>42009</v>
      </c>
      <c r="H26" s="33">
        <v>15348679</v>
      </c>
      <c r="I26" s="33" t="s">
        <v>470</v>
      </c>
      <c r="J26" s="33" t="s">
        <v>491</v>
      </c>
      <c r="K26" s="33" t="s">
        <v>502</v>
      </c>
      <c r="L26" s="33" t="s">
        <v>473</v>
      </c>
    </row>
    <row r="27" spans="1:12" x14ac:dyDescent="0.3">
      <c r="A27" s="32" t="s">
        <v>102</v>
      </c>
      <c r="B27" s="33" t="s">
        <v>503</v>
      </c>
      <c r="C27" s="33" t="s">
        <v>504</v>
      </c>
      <c r="D27" s="33">
        <v>1123</v>
      </c>
      <c r="E27" s="34">
        <v>0.89</v>
      </c>
      <c r="F27" s="35">
        <f t="shared" ref="F27:F32" si="4">D27*E27</f>
        <v>999.47</v>
      </c>
      <c r="G27" s="36">
        <v>42009</v>
      </c>
      <c r="H27" s="33">
        <v>15348679</v>
      </c>
      <c r="I27" s="33" t="s">
        <v>470</v>
      </c>
      <c r="J27" s="33" t="s">
        <v>491</v>
      </c>
      <c r="K27" s="33" t="s">
        <v>502</v>
      </c>
      <c r="L27" s="33" t="s">
        <v>473</v>
      </c>
    </row>
    <row r="28" spans="1:12" x14ac:dyDescent="0.3">
      <c r="A28" s="32" t="s">
        <v>102</v>
      </c>
      <c r="B28" s="33" t="s">
        <v>505</v>
      </c>
      <c r="C28" s="33" t="s">
        <v>506</v>
      </c>
      <c r="D28" s="33">
        <v>46579</v>
      </c>
      <c r="E28" s="34">
        <v>17.420000000000002</v>
      </c>
      <c r="F28" s="35">
        <f t="shared" si="4"/>
        <v>811406.18</v>
      </c>
      <c r="G28" s="36">
        <v>42009</v>
      </c>
      <c r="H28" s="33">
        <v>15348679</v>
      </c>
      <c r="I28" s="33" t="s">
        <v>470</v>
      </c>
      <c r="J28" s="33" t="s">
        <v>491</v>
      </c>
      <c r="K28" s="33" t="s">
        <v>502</v>
      </c>
      <c r="L28" s="33" t="s">
        <v>473</v>
      </c>
    </row>
    <row r="29" spans="1:12" x14ac:dyDescent="0.3">
      <c r="A29" s="32" t="s">
        <v>102</v>
      </c>
      <c r="B29" s="33" t="s">
        <v>103</v>
      </c>
      <c r="C29" s="33" t="s">
        <v>104</v>
      </c>
      <c r="D29" s="33">
        <v>62197</v>
      </c>
      <c r="E29" s="34">
        <v>4.1500000000000004</v>
      </c>
      <c r="F29" s="35">
        <f t="shared" si="4"/>
        <v>258117.55000000002</v>
      </c>
      <c r="G29" s="36">
        <v>42009</v>
      </c>
      <c r="H29" s="33">
        <v>15348679</v>
      </c>
      <c r="I29" s="33" t="s">
        <v>470</v>
      </c>
      <c r="J29" s="33" t="s">
        <v>491</v>
      </c>
      <c r="K29" s="33" t="s">
        <v>502</v>
      </c>
      <c r="L29" s="33" t="s">
        <v>473</v>
      </c>
    </row>
    <row r="30" spans="1:12" x14ac:dyDescent="0.3">
      <c r="A30" s="32" t="s">
        <v>102</v>
      </c>
      <c r="B30" s="33" t="s">
        <v>507</v>
      </c>
      <c r="C30" s="33" t="s">
        <v>508</v>
      </c>
      <c r="D30" s="33">
        <v>3246</v>
      </c>
      <c r="E30" s="34">
        <v>29.76</v>
      </c>
      <c r="F30" s="35">
        <f t="shared" si="4"/>
        <v>96600.960000000006</v>
      </c>
      <c r="G30" s="36">
        <v>42009</v>
      </c>
      <c r="H30" s="33">
        <v>15348679</v>
      </c>
      <c r="I30" s="33" t="s">
        <v>470</v>
      </c>
      <c r="J30" s="33" t="s">
        <v>491</v>
      </c>
      <c r="K30" s="33" t="s">
        <v>502</v>
      </c>
      <c r="L30" s="33" t="s">
        <v>473</v>
      </c>
    </row>
    <row r="31" spans="1:12" x14ac:dyDescent="0.3">
      <c r="A31" s="32" t="s">
        <v>102</v>
      </c>
      <c r="B31" s="33" t="s">
        <v>509</v>
      </c>
      <c r="C31" s="33" t="s">
        <v>510</v>
      </c>
      <c r="D31" s="33">
        <v>1436</v>
      </c>
      <c r="E31" s="34">
        <v>2.4900000000000002</v>
      </c>
      <c r="F31" s="35">
        <f t="shared" si="4"/>
        <v>3575.6400000000003</v>
      </c>
      <c r="G31" s="36">
        <v>42009</v>
      </c>
      <c r="H31" s="33">
        <v>15348679</v>
      </c>
      <c r="I31" s="33" t="s">
        <v>470</v>
      </c>
      <c r="J31" s="33" t="s">
        <v>491</v>
      </c>
      <c r="K31" s="33" t="s">
        <v>502</v>
      </c>
      <c r="L31" s="33" t="s">
        <v>473</v>
      </c>
    </row>
    <row r="32" spans="1:12" x14ac:dyDescent="0.3">
      <c r="A32" s="32" t="s">
        <v>102</v>
      </c>
      <c r="B32" s="33" t="s">
        <v>105</v>
      </c>
      <c r="C32" s="33" t="s">
        <v>106</v>
      </c>
      <c r="D32" s="33">
        <v>43795</v>
      </c>
      <c r="E32" s="34">
        <v>1.88</v>
      </c>
      <c r="F32" s="35">
        <f t="shared" si="4"/>
        <v>82334.599999999991</v>
      </c>
      <c r="G32" s="36">
        <v>42009</v>
      </c>
      <c r="H32" s="33">
        <v>15348679</v>
      </c>
      <c r="I32" s="33" t="s">
        <v>470</v>
      </c>
      <c r="J32" s="33" t="s">
        <v>491</v>
      </c>
      <c r="K32" s="33" t="s">
        <v>502</v>
      </c>
      <c r="L32" s="33" t="s">
        <v>473</v>
      </c>
    </row>
    <row r="33" spans="1:12" x14ac:dyDescent="0.3">
      <c r="A33" s="32" t="s">
        <v>115</v>
      </c>
      <c r="B33" s="33" t="s">
        <v>116</v>
      </c>
      <c r="C33" s="33" t="s">
        <v>117</v>
      </c>
      <c r="D33" s="33">
        <v>43121</v>
      </c>
      <c r="E33" s="34">
        <v>4</v>
      </c>
      <c r="F33" s="35">
        <f>D33*E33</f>
        <v>172484</v>
      </c>
      <c r="G33" s="36">
        <v>42009</v>
      </c>
      <c r="H33" s="33">
        <v>1236479</v>
      </c>
      <c r="I33" s="33" t="s">
        <v>470</v>
      </c>
      <c r="J33" s="33" t="s">
        <v>499</v>
      </c>
      <c r="K33" s="33" t="s">
        <v>472</v>
      </c>
      <c r="L33" s="33" t="s">
        <v>473</v>
      </c>
    </row>
    <row r="34" spans="1:12" x14ac:dyDescent="0.3">
      <c r="A34" s="32" t="s">
        <v>511</v>
      </c>
      <c r="B34" s="33" t="s">
        <v>91</v>
      </c>
      <c r="C34" s="33" t="s">
        <v>512</v>
      </c>
      <c r="D34" s="33">
        <v>15423</v>
      </c>
      <c r="E34" s="34">
        <f>(7.34*0.9)</f>
        <v>6.6059999999999999</v>
      </c>
      <c r="F34" s="35">
        <f>D34*E34</f>
        <v>101884.338</v>
      </c>
      <c r="G34" s="36">
        <v>42009</v>
      </c>
      <c r="H34" s="33">
        <v>332232</v>
      </c>
      <c r="I34" s="33" t="s">
        <v>470</v>
      </c>
      <c r="J34" s="33" t="s">
        <v>491</v>
      </c>
      <c r="K34" s="33" t="s">
        <v>492</v>
      </c>
      <c r="L34" s="33" t="s">
        <v>473</v>
      </c>
    </row>
    <row r="35" spans="1:12" x14ac:dyDescent="0.3">
      <c r="A35" s="32" t="s">
        <v>511</v>
      </c>
      <c r="B35" s="33" t="s">
        <v>94</v>
      </c>
      <c r="C35" s="33" t="s">
        <v>95</v>
      </c>
      <c r="D35" s="33">
        <f>D34*2</f>
        <v>30846</v>
      </c>
      <c r="E35" s="34">
        <f>(0.09*0.9)</f>
        <v>8.1000000000000003E-2</v>
      </c>
      <c r="F35" s="35">
        <f t="shared" ref="F35" si="5">D35*E35</f>
        <v>2498.5260000000003</v>
      </c>
      <c r="G35" s="36">
        <v>42009</v>
      </c>
      <c r="H35" s="33">
        <v>332232</v>
      </c>
      <c r="I35" s="33" t="s">
        <v>470</v>
      </c>
      <c r="J35" s="33" t="s">
        <v>491</v>
      </c>
      <c r="K35" s="33" t="s">
        <v>492</v>
      </c>
      <c r="L35" s="33" t="s">
        <v>473</v>
      </c>
    </row>
    <row r="36" spans="1:12" x14ac:dyDescent="0.3">
      <c r="A36" s="32" t="s">
        <v>99</v>
      </c>
      <c r="B36" s="33" t="s">
        <v>513</v>
      </c>
      <c r="C36" s="33"/>
      <c r="D36" s="33">
        <v>1</v>
      </c>
      <c r="E36" s="34">
        <v>0.05</v>
      </c>
      <c r="F36" s="35" t="s">
        <v>514</v>
      </c>
      <c r="G36" s="36">
        <v>42350</v>
      </c>
      <c r="H36" s="33" t="s">
        <v>515</v>
      </c>
      <c r="I36" s="33"/>
      <c r="J36" s="33"/>
      <c r="K36" s="33"/>
      <c r="L36" s="33"/>
    </row>
    <row r="37" spans="1:12" x14ac:dyDescent="0.3">
      <c r="A37" s="32" t="s">
        <v>99</v>
      </c>
      <c r="B37" s="33" t="s">
        <v>516</v>
      </c>
      <c r="C37" s="33"/>
      <c r="D37" s="33">
        <v>1</v>
      </c>
      <c r="E37" s="34">
        <v>0.05</v>
      </c>
      <c r="F37" s="35" t="s">
        <v>514</v>
      </c>
      <c r="G37" s="36">
        <v>42350</v>
      </c>
      <c r="H37" s="33" t="s">
        <v>515</v>
      </c>
      <c r="I37" s="33"/>
      <c r="J37" s="33"/>
      <c r="K37" s="33"/>
      <c r="L37" s="33"/>
    </row>
    <row r="38" spans="1:12" x14ac:dyDescent="0.3">
      <c r="A38" s="32" t="s">
        <v>99</v>
      </c>
      <c r="B38" s="33" t="s">
        <v>517</v>
      </c>
      <c r="C38" s="33"/>
      <c r="D38" s="33">
        <v>712</v>
      </c>
      <c r="E38" s="34">
        <v>0.1</v>
      </c>
      <c r="F38" s="35" t="s">
        <v>518</v>
      </c>
      <c r="G38" s="36">
        <v>42350</v>
      </c>
      <c r="H38" s="33" t="s">
        <v>515</v>
      </c>
      <c r="I38" s="33"/>
      <c r="J38" s="33"/>
      <c r="K38" s="33"/>
      <c r="L38" s="33"/>
    </row>
    <row r="39" spans="1:12" x14ac:dyDescent="0.3">
      <c r="A39" s="32" t="s">
        <v>99</v>
      </c>
      <c r="B39" s="33" t="s">
        <v>519</v>
      </c>
      <c r="C39" s="33"/>
      <c r="D39" s="33">
        <v>845</v>
      </c>
      <c r="E39" s="34">
        <v>9.1199999999999992</v>
      </c>
      <c r="F39" s="35" t="s">
        <v>520</v>
      </c>
      <c r="G39" s="36">
        <v>42350</v>
      </c>
      <c r="H39" s="33" t="s">
        <v>515</v>
      </c>
      <c r="I39" s="33"/>
      <c r="J39" s="33"/>
      <c r="K39" s="33"/>
      <c r="L39" s="33"/>
    </row>
    <row r="40" spans="1:12" x14ac:dyDescent="0.3">
      <c r="A40" s="32" t="s">
        <v>99</v>
      </c>
      <c r="B40" s="33" t="s">
        <v>521</v>
      </c>
      <c r="C40" s="33"/>
      <c r="D40" s="33">
        <v>223</v>
      </c>
      <c r="E40" s="34">
        <v>44.12</v>
      </c>
      <c r="F40" s="35" t="s">
        <v>522</v>
      </c>
      <c r="G40" s="36">
        <v>42350</v>
      </c>
      <c r="H40" s="33" t="s">
        <v>515</v>
      </c>
      <c r="I40" s="33"/>
      <c r="J40" s="33"/>
      <c r="K40" s="33"/>
      <c r="L40" s="33"/>
    </row>
    <row r="41" spans="1:12" x14ac:dyDescent="0.3">
      <c r="A41" s="32" t="s">
        <v>99</v>
      </c>
      <c r="B41" s="33" t="s">
        <v>523</v>
      </c>
      <c r="C41" s="33"/>
      <c r="D41" s="33">
        <v>915</v>
      </c>
      <c r="E41" s="34">
        <v>21.73</v>
      </c>
      <c r="F41" s="35" t="s">
        <v>524</v>
      </c>
      <c r="G41" s="36">
        <v>42350</v>
      </c>
      <c r="H41" s="33" t="s">
        <v>515</v>
      </c>
      <c r="I41" s="33"/>
      <c r="J41" s="33"/>
      <c r="K41" s="33"/>
      <c r="L41" s="33"/>
    </row>
    <row r="42" spans="1:12" x14ac:dyDescent="0.3">
      <c r="A42" s="32" t="s">
        <v>99</v>
      </c>
      <c r="B42" s="33" t="s">
        <v>100</v>
      </c>
      <c r="C42" s="33" t="s">
        <v>101</v>
      </c>
      <c r="D42" s="33">
        <v>1455</v>
      </c>
      <c r="E42" s="34">
        <v>14.99</v>
      </c>
      <c r="F42" s="35" t="s">
        <v>525</v>
      </c>
      <c r="G42" s="36">
        <v>42350</v>
      </c>
      <c r="H42" s="33" t="s">
        <v>515</v>
      </c>
      <c r="I42" s="33"/>
      <c r="J42" s="33"/>
      <c r="K42" s="33"/>
      <c r="L42" s="33"/>
    </row>
    <row r="43" spans="1:12" x14ac:dyDescent="0.3">
      <c r="A43" s="32" t="s">
        <v>99</v>
      </c>
      <c r="B43" s="33" t="s">
        <v>526</v>
      </c>
      <c r="C43" s="33"/>
      <c r="D43" s="33">
        <v>2078</v>
      </c>
      <c r="E43" s="34">
        <v>56.78</v>
      </c>
      <c r="F43" s="35" t="s">
        <v>527</v>
      </c>
      <c r="G43" s="36">
        <v>42350</v>
      </c>
      <c r="H43" s="33" t="s">
        <v>515</v>
      </c>
      <c r="I43" s="33"/>
      <c r="J43" s="33"/>
      <c r="K43" s="33"/>
      <c r="L43" s="33"/>
    </row>
    <row r="44" spans="1:12" x14ac:dyDescent="0.3">
      <c r="A44" s="32" t="s">
        <v>99</v>
      </c>
      <c r="B44" s="33" t="s">
        <v>528</v>
      </c>
      <c r="C44" s="33"/>
      <c r="D44" s="33">
        <v>212</v>
      </c>
      <c r="E44" s="34">
        <v>81.010000000000005</v>
      </c>
      <c r="F44" s="35" t="s">
        <v>529</v>
      </c>
      <c r="G44" s="36">
        <v>42350</v>
      </c>
      <c r="H44" s="33" t="s">
        <v>515</v>
      </c>
      <c r="I44" s="33"/>
      <c r="J44" s="33"/>
      <c r="K44" s="33"/>
      <c r="L44" s="33"/>
    </row>
    <row r="45" spans="1:12" x14ac:dyDescent="0.3">
      <c r="A45" s="32" t="s">
        <v>99</v>
      </c>
      <c r="B45" s="33" t="s">
        <v>530</v>
      </c>
      <c r="C45" s="33"/>
      <c r="D45" s="33">
        <v>1</v>
      </c>
      <c r="E45" s="34">
        <v>37.78</v>
      </c>
      <c r="F45" s="35" t="s">
        <v>531</v>
      </c>
      <c r="G45" s="36">
        <v>42350</v>
      </c>
      <c r="H45" s="33" t="s">
        <v>515</v>
      </c>
      <c r="I45" s="33"/>
      <c r="J45" s="33"/>
      <c r="K45" s="33"/>
      <c r="L45" s="33"/>
    </row>
    <row r="46" spans="1:12" x14ac:dyDescent="0.3">
      <c r="A46" s="32" t="s">
        <v>99</v>
      </c>
      <c r="B46" s="33" t="s">
        <v>532</v>
      </c>
      <c r="C46" s="33"/>
      <c r="D46" s="33">
        <v>200</v>
      </c>
      <c r="E46" s="34">
        <v>1</v>
      </c>
      <c r="F46" s="35" t="s">
        <v>533</v>
      </c>
      <c r="G46" s="36">
        <v>42350</v>
      </c>
      <c r="H46" s="33" t="s">
        <v>515</v>
      </c>
      <c r="I46" s="33"/>
      <c r="J46" s="33"/>
      <c r="K46" s="33"/>
      <c r="L46" s="3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B6F8-2338-41CB-A1FF-CA90CB7395C4}">
  <dimension ref="A1:D72"/>
  <sheetViews>
    <sheetView workbookViewId="0"/>
  </sheetViews>
  <sheetFormatPr defaultRowHeight="14.4" x14ac:dyDescent="0.3"/>
  <cols>
    <col min="1" max="1" width="14.6640625" bestFit="1" customWidth="1"/>
    <col min="2" max="2" width="6.5546875" customWidth="1"/>
    <col min="3" max="3" width="6" customWidth="1"/>
    <col min="4" max="4" width="14.88671875" customWidth="1"/>
  </cols>
  <sheetData>
    <row r="1" spans="1:4" x14ac:dyDescent="0.3">
      <c r="A1" t="s">
        <v>83</v>
      </c>
      <c r="B1" t="s">
        <v>534</v>
      </c>
      <c r="C1" t="s">
        <v>87</v>
      </c>
      <c r="D1" t="s">
        <v>535</v>
      </c>
    </row>
    <row r="2" spans="1:4" x14ac:dyDescent="0.3">
      <c r="A2" s="85" t="s">
        <v>119</v>
      </c>
      <c r="B2">
        <v>1</v>
      </c>
      <c r="C2" s="85" t="s">
        <v>34</v>
      </c>
      <c r="D2" t="s">
        <v>304</v>
      </c>
    </row>
    <row r="3" spans="1:4" x14ac:dyDescent="0.3">
      <c r="A3" t="s">
        <v>536</v>
      </c>
      <c r="B3">
        <v>1</v>
      </c>
      <c r="C3" s="85" t="s">
        <v>36</v>
      </c>
      <c r="D3" t="s">
        <v>304</v>
      </c>
    </row>
    <row r="4" spans="1:4" x14ac:dyDescent="0.3">
      <c r="A4" t="s">
        <v>537</v>
      </c>
      <c r="B4">
        <v>1</v>
      </c>
      <c r="C4" s="85" t="s">
        <v>39</v>
      </c>
      <c r="D4" t="s">
        <v>304</v>
      </c>
    </row>
    <row r="5" spans="1:4" x14ac:dyDescent="0.3">
      <c r="A5" t="s">
        <v>538</v>
      </c>
      <c r="B5">
        <v>1</v>
      </c>
      <c r="C5" s="85" t="s">
        <v>42</v>
      </c>
      <c r="D5" s="85" t="s">
        <v>301</v>
      </c>
    </row>
    <row r="6" spans="1:4" x14ac:dyDescent="0.3">
      <c r="A6" s="85" t="s">
        <v>97</v>
      </c>
      <c r="B6">
        <v>2</v>
      </c>
      <c r="C6" s="85" t="s">
        <v>34</v>
      </c>
      <c r="D6" t="s">
        <v>304</v>
      </c>
    </row>
    <row r="7" spans="1:4" x14ac:dyDescent="0.3">
      <c r="A7" t="s">
        <v>539</v>
      </c>
      <c r="B7">
        <v>2</v>
      </c>
      <c r="C7" s="85" t="s">
        <v>36</v>
      </c>
      <c r="D7" s="85" t="s">
        <v>301</v>
      </c>
    </row>
    <row r="8" spans="1:4" x14ac:dyDescent="0.3">
      <c r="A8" t="s">
        <v>540</v>
      </c>
      <c r="B8">
        <v>2</v>
      </c>
      <c r="C8" s="85" t="s">
        <v>39</v>
      </c>
      <c r="D8" t="s">
        <v>304</v>
      </c>
    </row>
    <row r="9" spans="1:4" x14ac:dyDescent="0.3">
      <c r="A9" t="s">
        <v>541</v>
      </c>
      <c r="B9">
        <v>2</v>
      </c>
      <c r="C9" s="85" t="s">
        <v>42</v>
      </c>
      <c r="D9" s="85" t="s">
        <v>304</v>
      </c>
    </row>
    <row r="10" spans="1:4" x14ac:dyDescent="0.3">
      <c r="A10" t="s">
        <v>542</v>
      </c>
      <c r="B10">
        <v>3</v>
      </c>
      <c r="C10" s="85" t="s">
        <v>34</v>
      </c>
      <c r="D10" s="85" t="s">
        <v>301</v>
      </c>
    </row>
    <row r="11" spans="1:4" x14ac:dyDescent="0.3">
      <c r="A11" t="s">
        <v>543</v>
      </c>
      <c r="B11">
        <v>3</v>
      </c>
      <c r="C11" s="85" t="s">
        <v>36</v>
      </c>
      <c r="D11" s="85" t="s">
        <v>301</v>
      </c>
    </row>
    <row r="12" spans="1:4" x14ac:dyDescent="0.3">
      <c r="A12" s="85" t="s">
        <v>116</v>
      </c>
      <c r="B12">
        <v>3</v>
      </c>
      <c r="C12" s="85" t="s">
        <v>39</v>
      </c>
      <c r="D12" t="s">
        <v>304</v>
      </c>
    </row>
    <row r="13" spans="1:4" x14ac:dyDescent="0.3">
      <c r="A13" t="s">
        <v>544</v>
      </c>
      <c r="B13">
        <v>3</v>
      </c>
      <c r="C13" s="85" t="s">
        <v>42</v>
      </c>
      <c r="D13" t="s">
        <v>304</v>
      </c>
    </row>
    <row r="14" spans="1:4" x14ac:dyDescent="0.3">
      <c r="A14" t="s">
        <v>545</v>
      </c>
      <c r="B14">
        <v>4</v>
      </c>
      <c r="C14" s="85" t="s">
        <v>34</v>
      </c>
      <c r="D14" t="s">
        <v>304</v>
      </c>
    </row>
    <row r="15" spans="1:4" x14ac:dyDescent="0.3">
      <c r="A15" t="s">
        <v>546</v>
      </c>
      <c r="B15">
        <v>4</v>
      </c>
      <c r="C15" s="85" t="s">
        <v>36</v>
      </c>
      <c r="D15" t="s">
        <v>304</v>
      </c>
    </row>
    <row r="16" spans="1:4" x14ac:dyDescent="0.3">
      <c r="A16" t="s">
        <v>547</v>
      </c>
      <c r="B16">
        <v>4</v>
      </c>
      <c r="C16" s="85" t="s">
        <v>39</v>
      </c>
      <c r="D16" t="s">
        <v>304</v>
      </c>
    </row>
    <row r="17" spans="1:4" x14ac:dyDescent="0.3">
      <c r="A17" s="85" t="s">
        <v>100</v>
      </c>
      <c r="B17">
        <v>4</v>
      </c>
      <c r="C17" s="85" t="s">
        <v>42</v>
      </c>
      <c r="D17" s="85" t="s">
        <v>301</v>
      </c>
    </row>
    <row r="18" spans="1:4" x14ac:dyDescent="0.3">
      <c r="A18" t="s">
        <v>548</v>
      </c>
      <c r="B18">
        <v>4</v>
      </c>
      <c r="C18" s="85" t="s">
        <v>46</v>
      </c>
      <c r="D18" t="s">
        <v>304</v>
      </c>
    </row>
    <row r="19" spans="1:4" x14ac:dyDescent="0.3">
      <c r="A19" t="s">
        <v>549</v>
      </c>
      <c r="B19">
        <v>5</v>
      </c>
      <c r="C19" s="85" t="s">
        <v>34</v>
      </c>
      <c r="D19" t="s">
        <v>304</v>
      </c>
    </row>
    <row r="20" spans="1:4" x14ac:dyDescent="0.3">
      <c r="A20" t="s">
        <v>550</v>
      </c>
      <c r="B20">
        <v>5</v>
      </c>
      <c r="C20" s="85" t="s">
        <v>36</v>
      </c>
      <c r="D20" t="s">
        <v>304</v>
      </c>
    </row>
    <row r="21" spans="1:4" x14ac:dyDescent="0.3">
      <c r="A21" t="s">
        <v>551</v>
      </c>
      <c r="B21">
        <v>5</v>
      </c>
      <c r="C21" s="85" t="s">
        <v>39</v>
      </c>
      <c r="D21" t="s">
        <v>304</v>
      </c>
    </row>
    <row r="22" spans="1:4" x14ac:dyDescent="0.3">
      <c r="A22" t="s">
        <v>552</v>
      </c>
      <c r="B22">
        <v>5</v>
      </c>
      <c r="C22" s="85" t="s">
        <v>42</v>
      </c>
      <c r="D22" t="s">
        <v>304</v>
      </c>
    </row>
    <row r="23" spans="1:4" x14ac:dyDescent="0.3">
      <c r="A23" s="85" t="s">
        <v>103</v>
      </c>
      <c r="B23">
        <v>5</v>
      </c>
      <c r="C23" s="85" t="s">
        <v>46</v>
      </c>
      <c r="D23" s="85" t="s">
        <v>301</v>
      </c>
    </row>
    <row r="24" spans="1:4" x14ac:dyDescent="0.3">
      <c r="A24" t="s">
        <v>553</v>
      </c>
      <c r="B24">
        <v>6</v>
      </c>
      <c r="C24" s="85" t="s">
        <v>34</v>
      </c>
      <c r="D24" t="s">
        <v>304</v>
      </c>
    </row>
    <row r="25" spans="1:4" x14ac:dyDescent="0.3">
      <c r="A25" s="85" t="s">
        <v>105</v>
      </c>
      <c r="B25">
        <v>6</v>
      </c>
      <c r="C25" s="85" t="s">
        <v>36</v>
      </c>
      <c r="D25" t="s">
        <v>304</v>
      </c>
    </row>
    <row r="26" spans="1:4" x14ac:dyDescent="0.3">
      <c r="A26" t="s">
        <v>554</v>
      </c>
      <c r="B26">
        <v>6</v>
      </c>
      <c r="C26" s="85" t="s">
        <v>39</v>
      </c>
      <c r="D26" s="85" t="s">
        <v>301</v>
      </c>
    </row>
    <row r="27" spans="1:4" x14ac:dyDescent="0.3">
      <c r="A27" t="s">
        <v>555</v>
      </c>
      <c r="B27">
        <v>6</v>
      </c>
      <c r="C27" s="85" t="s">
        <v>42</v>
      </c>
      <c r="D27" s="85" t="s">
        <v>301</v>
      </c>
    </row>
    <row r="28" spans="1:4" x14ac:dyDescent="0.3">
      <c r="A28" t="s">
        <v>556</v>
      </c>
      <c r="B28">
        <v>6</v>
      </c>
      <c r="C28" s="85" t="s">
        <v>46</v>
      </c>
      <c r="D28" s="85" t="s">
        <v>301</v>
      </c>
    </row>
    <row r="29" spans="1:4" x14ac:dyDescent="0.3">
      <c r="A29" t="s">
        <v>557</v>
      </c>
      <c r="B29">
        <v>7</v>
      </c>
      <c r="C29" s="85" t="s">
        <v>34</v>
      </c>
      <c r="D29" t="s">
        <v>304</v>
      </c>
    </row>
    <row r="30" spans="1:4" x14ac:dyDescent="0.3">
      <c r="A30" t="s">
        <v>108</v>
      </c>
      <c r="B30">
        <v>7</v>
      </c>
      <c r="C30" s="85" t="s">
        <v>36</v>
      </c>
      <c r="D30" t="s">
        <v>304</v>
      </c>
    </row>
    <row r="31" spans="1:4" x14ac:dyDescent="0.3">
      <c r="A31" t="s">
        <v>558</v>
      </c>
      <c r="B31">
        <v>7</v>
      </c>
      <c r="C31" s="85" t="s">
        <v>39</v>
      </c>
      <c r="D31" t="s">
        <v>304</v>
      </c>
    </row>
    <row r="32" spans="1:4" x14ac:dyDescent="0.3">
      <c r="A32" t="s">
        <v>559</v>
      </c>
      <c r="B32">
        <v>7</v>
      </c>
      <c r="C32" s="85" t="s">
        <v>42</v>
      </c>
      <c r="D32" t="s">
        <v>304</v>
      </c>
    </row>
    <row r="33" spans="1:4" x14ac:dyDescent="0.3">
      <c r="A33" s="85" t="s">
        <v>113</v>
      </c>
      <c r="B33">
        <v>7</v>
      </c>
      <c r="C33" s="85" t="s">
        <v>46</v>
      </c>
      <c r="D33" s="85" t="s">
        <v>301</v>
      </c>
    </row>
    <row r="34" spans="1:4" x14ac:dyDescent="0.3">
      <c r="A34" t="s">
        <v>560</v>
      </c>
      <c r="B34">
        <v>8</v>
      </c>
      <c r="C34" s="85" t="s">
        <v>34</v>
      </c>
      <c r="D34" t="s">
        <v>304</v>
      </c>
    </row>
    <row r="35" spans="1:4" x14ac:dyDescent="0.3">
      <c r="A35" t="s">
        <v>561</v>
      </c>
      <c r="B35">
        <v>8</v>
      </c>
      <c r="C35" s="85" t="s">
        <v>36</v>
      </c>
      <c r="D35" t="s">
        <v>304</v>
      </c>
    </row>
    <row r="36" spans="1:4" x14ac:dyDescent="0.3">
      <c r="A36" t="s">
        <v>562</v>
      </c>
      <c r="B36">
        <v>8</v>
      </c>
      <c r="C36" s="85" t="s">
        <v>39</v>
      </c>
      <c r="D36" t="s">
        <v>304</v>
      </c>
    </row>
    <row r="37" spans="1:4" x14ac:dyDescent="0.3">
      <c r="A37" t="s">
        <v>563</v>
      </c>
      <c r="B37">
        <v>8</v>
      </c>
      <c r="C37" s="85" t="s">
        <v>42</v>
      </c>
      <c r="D37" t="s">
        <v>304</v>
      </c>
    </row>
    <row r="38" spans="1:4" x14ac:dyDescent="0.3">
      <c r="A38" t="s">
        <v>110</v>
      </c>
      <c r="B38">
        <v>8</v>
      </c>
      <c r="C38" s="85" t="s">
        <v>46</v>
      </c>
      <c r="D38" s="85" t="s">
        <v>301</v>
      </c>
    </row>
    <row r="39" spans="1:4" x14ac:dyDescent="0.3">
      <c r="A39" t="s">
        <v>564</v>
      </c>
      <c r="B39">
        <v>9</v>
      </c>
      <c r="C39" s="85" t="s">
        <v>34</v>
      </c>
      <c r="D39" t="s">
        <v>304</v>
      </c>
    </row>
    <row r="40" spans="1:4" x14ac:dyDescent="0.3">
      <c r="A40" t="s">
        <v>565</v>
      </c>
      <c r="B40">
        <v>9</v>
      </c>
      <c r="C40" s="85" t="s">
        <v>36</v>
      </c>
      <c r="D40" t="s">
        <v>304</v>
      </c>
    </row>
    <row r="41" spans="1:4" x14ac:dyDescent="0.3">
      <c r="A41" t="s">
        <v>566</v>
      </c>
      <c r="B41">
        <v>9</v>
      </c>
      <c r="C41" s="85" t="s">
        <v>39</v>
      </c>
      <c r="D41" t="s">
        <v>304</v>
      </c>
    </row>
    <row r="42" spans="1:4" x14ac:dyDescent="0.3">
      <c r="A42" t="s">
        <v>567</v>
      </c>
      <c r="B42">
        <v>9</v>
      </c>
      <c r="C42" s="85" t="s">
        <v>42</v>
      </c>
      <c r="D42" t="s">
        <v>304</v>
      </c>
    </row>
    <row r="43" spans="1:4" x14ac:dyDescent="0.3">
      <c r="A43" t="s">
        <v>568</v>
      </c>
      <c r="B43">
        <v>9</v>
      </c>
      <c r="C43" s="85" t="s">
        <v>46</v>
      </c>
      <c r="D43" s="85" t="s">
        <v>301</v>
      </c>
    </row>
    <row r="44" spans="1:4" x14ac:dyDescent="0.3">
      <c r="A44" t="s">
        <v>569</v>
      </c>
      <c r="B44">
        <v>10</v>
      </c>
      <c r="C44" s="85" t="s">
        <v>34</v>
      </c>
      <c r="D44" s="85" t="s">
        <v>301</v>
      </c>
    </row>
    <row r="45" spans="1:4" x14ac:dyDescent="0.3">
      <c r="A45" t="s">
        <v>570</v>
      </c>
      <c r="B45">
        <v>10</v>
      </c>
      <c r="C45" s="85" t="s">
        <v>36</v>
      </c>
      <c r="D45" s="85" t="s">
        <v>301</v>
      </c>
    </row>
    <row r="46" spans="1:4" x14ac:dyDescent="0.3">
      <c r="A46" s="85" t="s">
        <v>91</v>
      </c>
      <c r="B46">
        <v>10</v>
      </c>
      <c r="C46" s="85" t="s">
        <v>39</v>
      </c>
      <c r="D46" t="s">
        <v>304</v>
      </c>
    </row>
    <row r="47" spans="1:4" x14ac:dyDescent="0.3">
      <c r="A47" t="s">
        <v>571</v>
      </c>
      <c r="B47">
        <v>10</v>
      </c>
      <c r="C47" s="85" t="s">
        <v>42</v>
      </c>
      <c r="D47" t="s">
        <v>304</v>
      </c>
    </row>
    <row r="48" spans="1:4" x14ac:dyDescent="0.3">
      <c r="A48" s="85" t="s">
        <v>94</v>
      </c>
      <c r="B48">
        <v>10</v>
      </c>
      <c r="C48" s="85" t="s">
        <v>46</v>
      </c>
      <c r="D48" t="s">
        <v>304</v>
      </c>
    </row>
    <row r="49" spans="1:4" x14ac:dyDescent="0.3">
      <c r="A49" t="s">
        <v>572</v>
      </c>
      <c r="B49">
        <v>11</v>
      </c>
      <c r="C49" s="85" t="s">
        <v>34</v>
      </c>
      <c r="D49" t="s">
        <v>304</v>
      </c>
    </row>
    <row r="50" spans="1:4" x14ac:dyDescent="0.3">
      <c r="A50" t="s">
        <v>573</v>
      </c>
      <c r="B50">
        <v>11</v>
      </c>
      <c r="C50" s="85" t="s">
        <v>36</v>
      </c>
      <c r="D50" t="s">
        <v>304</v>
      </c>
    </row>
    <row r="51" spans="1:4" x14ac:dyDescent="0.3">
      <c r="A51" t="s">
        <v>574</v>
      </c>
      <c r="B51">
        <v>11</v>
      </c>
      <c r="C51" s="85" t="s">
        <v>39</v>
      </c>
      <c r="D51" t="s">
        <v>304</v>
      </c>
    </row>
    <row r="52" spans="1:4" x14ac:dyDescent="0.3">
      <c r="A52" t="s">
        <v>575</v>
      </c>
      <c r="B52">
        <v>11</v>
      </c>
      <c r="C52" s="85" t="s">
        <v>42</v>
      </c>
      <c r="D52" s="85" t="s">
        <v>301</v>
      </c>
    </row>
    <row r="53" spans="1:4" x14ac:dyDescent="0.3">
      <c r="A53" t="s">
        <v>576</v>
      </c>
      <c r="B53">
        <v>12</v>
      </c>
      <c r="C53" s="85" t="s">
        <v>34</v>
      </c>
      <c r="D53" t="s">
        <v>304</v>
      </c>
    </row>
    <row r="54" spans="1:4" x14ac:dyDescent="0.3">
      <c r="A54" t="s">
        <v>577</v>
      </c>
      <c r="B54">
        <v>12</v>
      </c>
      <c r="C54" s="85" t="s">
        <v>36</v>
      </c>
      <c r="D54" t="s">
        <v>304</v>
      </c>
    </row>
    <row r="55" spans="1:4" x14ac:dyDescent="0.3">
      <c r="A55" t="s">
        <v>578</v>
      </c>
      <c r="B55">
        <v>12</v>
      </c>
      <c r="C55" s="85" t="s">
        <v>39</v>
      </c>
      <c r="D55" t="s">
        <v>304</v>
      </c>
    </row>
    <row r="56" spans="1:4" x14ac:dyDescent="0.3">
      <c r="A56" t="s">
        <v>579</v>
      </c>
      <c r="B56">
        <v>13</v>
      </c>
      <c r="C56" s="85" t="s">
        <v>34</v>
      </c>
      <c r="D56" t="s">
        <v>304</v>
      </c>
    </row>
    <row r="57" spans="1:4" x14ac:dyDescent="0.3">
      <c r="A57" t="s">
        <v>580</v>
      </c>
      <c r="B57">
        <v>13</v>
      </c>
      <c r="C57" s="85" t="s">
        <v>36</v>
      </c>
      <c r="D57" s="85" t="s">
        <v>301</v>
      </c>
    </row>
    <row r="58" spans="1:4" x14ac:dyDescent="0.3">
      <c r="A58" t="s">
        <v>581</v>
      </c>
      <c r="B58">
        <v>13</v>
      </c>
      <c r="C58" s="85" t="s">
        <v>39</v>
      </c>
      <c r="D58" t="s">
        <v>304</v>
      </c>
    </row>
    <row r="59" spans="1:4" x14ac:dyDescent="0.3">
      <c r="A59" s="85" t="s">
        <v>122</v>
      </c>
      <c r="B59">
        <v>14</v>
      </c>
      <c r="C59" s="85" t="s">
        <v>34</v>
      </c>
      <c r="D59" t="s">
        <v>304</v>
      </c>
    </row>
    <row r="60" spans="1:4" x14ac:dyDescent="0.3">
      <c r="A60" t="s">
        <v>582</v>
      </c>
      <c r="B60">
        <v>14</v>
      </c>
      <c r="C60" s="85" t="s">
        <v>36</v>
      </c>
      <c r="D60" t="s">
        <v>304</v>
      </c>
    </row>
    <row r="61" spans="1:4" x14ac:dyDescent="0.3">
      <c r="A61" t="s">
        <v>583</v>
      </c>
      <c r="B61">
        <v>14</v>
      </c>
      <c r="C61" s="85" t="s">
        <v>39</v>
      </c>
      <c r="D61" t="s">
        <v>304</v>
      </c>
    </row>
    <row r="62" spans="1:4" x14ac:dyDescent="0.3">
      <c r="A62" t="s">
        <v>584</v>
      </c>
      <c r="B62">
        <v>15</v>
      </c>
      <c r="C62" s="85" t="s">
        <v>34</v>
      </c>
      <c r="D62" s="85" t="s">
        <v>301</v>
      </c>
    </row>
    <row r="63" spans="1:4" x14ac:dyDescent="0.3">
      <c r="A63" t="s">
        <v>585</v>
      </c>
      <c r="B63">
        <v>15</v>
      </c>
      <c r="C63" s="85" t="s">
        <v>36</v>
      </c>
      <c r="D63" t="s">
        <v>304</v>
      </c>
    </row>
    <row r="64" spans="1:4" x14ac:dyDescent="0.3">
      <c r="A64" t="s">
        <v>586</v>
      </c>
      <c r="B64">
        <v>15</v>
      </c>
      <c r="C64" s="85" t="s">
        <v>39</v>
      </c>
      <c r="D64" t="s">
        <v>304</v>
      </c>
    </row>
    <row r="65" spans="1:4" x14ac:dyDescent="0.3">
      <c r="A65" t="s">
        <v>587</v>
      </c>
      <c r="B65">
        <v>16</v>
      </c>
      <c r="C65" s="85" t="s">
        <v>34</v>
      </c>
      <c r="D65" t="s">
        <v>304</v>
      </c>
    </row>
    <row r="66" spans="1:4" x14ac:dyDescent="0.3">
      <c r="A66" t="s">
        <v>588</v>
      </c>
      <c r="B66">
        <v>16</v>
      </c>
      <c r="C66" s="85" t="s">
        <v>36</v>
      </c>
      <c r="D66" t="s">
        <v>304</v>
      </c>
    </row>
    <row r="67" spans="1:4" x14ac:dyDescent="0.3">
      <c r="A67" t="s">
        <v>589</v>
      </c>
      <c r="B67">
        <v>16</v>
      </c>
      <c r="C67" s="85" t="s">
        <v>39</v>
      </c>
      <c r="D67" s="85" t="s">
        <v>301</v>
      </c>
    </row>
    <row r="68" spans="1:4" x14ac:dyDescent="0.3">
      <c r="A68" t="s">
        <v>124</v>
      </c>
      <c r="B68">
        <v>14</v>
      </c>
      <c r="C68" t="s">
        <v>36</v>
      </c>
      <c r="D68" t="s">
        <v>304</v>
      </c>
    </row>
    <row r="69" spans="1:4" x14ac:dyDescent="0.3">
      <c r="A69" t="s">
        <v>127</v>
      </c>
      <c r="B69">
        <v>13</v>
      </c>
      <c r="C69" t="s">
        <v>42</v>
      </c>
      <c r="D69" t="s">
        <v>304</v>
      </c>
    </row>
    <row r="70" spans="1:4" x14ac:dyDescent="0.3">
      <c r="A70" t="s">
        <v>130</v>
      </c>
      <c r="B70">
        <v>14</v>
      </c>
      <c r="C70" t="s">
        <v>34</v>
      </c>
      <c r="D70" t="s">
        <v>304</v>
      </c>
    </row>
    <row r="71" spans="1:4" x14ac:dyDescent="0.3">
      <c r="A71" t="s">
        <v>126</v>
      </c>
      <c r="B71">
        <v>14</v>
      </c>
      <c r="C71" t="s">
        <v>36</v>
      </c>
      <c r="D71" t="s">
        <v>304</v>
      </c>
    </row>
    <row r="72" spans="1:4" x14ac:dyDescent="0.3">
      <c r="A72" t="s">
        <v>133</v>
      </c>
      <c r="B72">
        <v>13</v>
      </c>
      <c r="C72" t="s">
        <v>42</v>
      </c>
      <c r="D72" t="s">
        <v>304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6F1DEF3ADF014D9DF221CB4936D81B" ma:contentTypeVersion="11" ma:contentTypeDescription="Create a new document." ma:contentTypeScope="" ma:versionID="3e61a163d9421ea1b46b91cd38bf4f98">
  <xsd:schema xmlns:xsd="http://www.w3.org/2001/XMLSchema" xmlns:xs="http://www.w3.org/2001/XMLSchema" xmlns:p="http://schemas.microsoft.com/office/2006/metadata/properties" xmlns:ns3="4544cb93-c6b7-419f-af76-d8a0a770ea5a" xmlns:ns4="b56480dd-22db-4341-8d7a-10f9d4442f3d" targetNamespace="http://schemas.microsoft.com/office/2006/metadata/properties" ma:root="true" ma:fieldsID="1df0c53a71b3878111169dbd46bd3e2d" ns3:_="" ns4:_="">
    <xsd:import namespace="4544cb93-c6b7-419f-af76-d8a0a770ea5a"/>
    <xsd:import namespace="b56480dd-22db-4341-8d7a-10f9d4442f3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44cb93-c6b7-419f-af76-d8a0a770ea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6480dd-22db-4341-8d7a-10f9d4442f3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0A6567-D64C-44D7-9D72-E13B6BB1CBD9}">
  <ds:schemaRefs>
    <ds:schemaRef ds:uri="b56480dd-22db-4341-8d7a-10f9d4442f3d"/>
    <ds:schemaRef ds:uri="4544cb93-c6b7-419f-af76-d8a0a770ea5a"/>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5386F92-C0A1-46C0-BED1-CFE4DDF72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44cb93-c6b7-419f-af76-d8a0a770ea5a"/>
    <ds:schemaRef ds:uri="b56480dd-22db-4341-8d7a-10f9d4442f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5F66CA-4700-4F26-A0B6-B1648699139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ReadMeFirst</vt:lpstr>
      <vt:lpstr>Components</vt:lpstr>
      <vt:lpstr>A Picking</vt:lpstr>
      <vt:lpstr>T Picking</vt:lpstr>
      <vt:lpstr>A Assembly</vt:lpstr>
      <vt:lpstr>T Assembly</vt:lpstr>
      <vt:lpstr>A P&amp;L</vt:lpstr>
      <vt:lpstr>T P&amp;L</vt:lpstr>
      <vt:lpstr>Sunny Day</vt:lpstr>
      <vt:lpstr>Rainy Day</vt:lpstr>
      <vt:lpstr>Employees</vt:lpstr>
      <vt:lpstr>A Schedule</vt:lpstr>
      <vt:lpstr>T Schedule</vt:lpstr>
      <vt:lpstr>WholeSale</vt:lpstr>
      <vt:lpstr>DayProdn</vt:lpstr>
      <vt:lpstr>VerAvgProdn</vt:lpstr>
      <vt:lpstr>POs</vt:lpstr>
      <vt:lpstr>Shelving Inventory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INFO8440 Phase 3 As-Is</dc:title>
  <dc:subject/>
  <dc:creator>bnixon</dc:creator>
  <cp:keywords/>
  <dc:description/>
  <cp:lastModifiedBy>Mrunal Badhe</cp:lastModifiedBy>
  <cp:revision/>
  <dcterms:created xsi:type="dcterms:W3CDTF">2021-04-07T10:18:54Z</dcterms:created>
  <dcterms:modified xsi:type="dcterms:W3CDTF">2026-06-15T13:22:20Z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0x0101005B6F1DEF3ADF014D9DF221CB4936D81B</vt:lpwstr>
  </property>
</Properties>
</file>